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lene.marrou\Dropbox\RechercheMC\development SSM model - tools\Helene mars 2020_ nettoyage\"/>
    </mc:Choice>
  </mc:AlternateContent>
  <xr:revisionPtr revIDLastSave="0" documentId="13_ncr:1_{E4A0A1AB-7B4E-4F5E-96A7-2291AAEDB38C}" xr6:coauthVersionLast="43" xr6:coauthVersionMax="43" xr10:uidLastSave="{00000000-0000-0000-0000-000000000000}"/>
  <bookViews>
    <workbookView xWindow="-110" yWindow="-110" windowWidth="19420" windowHeight="10420" xr2:uid="{00000000-000D-0000-FFFF-FFFF00000000}"/>
  </bookViews>
  <sheets>
    <sheet name="Run" sheetId="1" r:id="rId1"/>
    <sheet name="DailyO" sheetId="4" r:id="rId2"/>
    <sheet name="Figures" sheetId="6" r:id="rId3"/>
    <sheet name="YearlyO" sheetId="11" r:id="rId4"/>
    <sheet name="LayerO" sheetId="16" r:id="rId5"/>
    <sheet name="Location" sheetId="2" r:id="rId6"/>
    <sheet name="Manag" sheetId="12" r:id="rId7"/>
    <sheet name="Soil" sheetId="8" r:id="rId8"/>
    <sheet name="Crop" sheetId="5" r:id="rId9"/>
    <sheet name="DOY" sheetId="10" r:id="rId10"/>
    <sheet name="Help" sheetId="3" r:id="rId11"/>
  </sheets>
  <definedNames>
    <definedName name="_xlnm._FilterDatabase" localSheetId="7" hidden="1">Soil!$A$1:$S$1693</definedName>
    <definedName name="Diameter">Run!#REF!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5" l="1"/>
  <c r="H4" i="5"/>
  <c r="M4" i="5"/>
  <c r="O4" i="5"/>
  <c r="Q4" i="5"/>
  <c r="D4" i="5"/>
  <c r="P4" i="10" l="1"/>
  <c r="Q4" i="10"/>
  <c r="Q5" i="10"/>
  <c r="Q6" i="10" s="1"/>
  <c r="Q7" i="10" s="1"/>
  <c r="Q8" i="10" s="1"/>
  <c r="Q9" i="10" s="1"/>
  <c r="Q10" i="10" s="1"/>
  <c r="Q11" i="10" s="1"/>
  <c r="Q12" i="10" s="1"/>
  <c r="Q13" i="10" s="1"/>
  <c r="Q14" i="10" s="1"/>
  <c r="Q15" i="10" s="1"/>
  <c r="Q16" i="10" s="1"/>
  <c r="Q17" i="10" s="1"/>
  <c r="Q18" i="10" s="1"/>
  <c r="Q19" i="10" s="1"/>
  <c r="Q20" i="10" s="1"/>
  <c r="Q21" i="10" s="1"/>
  <c r="Q22" i="10" s="1"/>
  <c r="Q23" i="10" s="1"/>
  <c r="Q24" i="10" s="1"/>
  <c r="Q25" i="10" s="1"/>
  <c r="Q26" i="10" s="1"/>
  <c r="Q27" i="10" s="1"/>
  <c r="Q28" i="10" s="1"/>
  <c r="Q29" i="10" s="1"/>
  <c r="Q30" i="10" s="1"/>
  <c r="Q31" i="10" s="1"/>
  <c r="Q32" i="10" s="1"/>
  <c r="Q33" i="10" s="1"/>
  <c r="R4" i="10"/>
  <c r="S4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T4" i="10"/>
  <c r="T5" i="10" s="1"/>
  <c r="U4" i="10"/>
  <c r="U5" i="10"/>
  <c r="U6" i="10" s="1"/>
  <c r="U7" i="10" s="1"/>
  <c r="U8" i="10" s="1"/>
  <c r="U9" i="10" s="1"/>
  <c r="U10" i="10" s="1"/>
  <c r="U11" i="10" s="1"/>
  <c r="U12" i="10" s="1"/>
  <c r="U13" i="10" s="1"/>
  <c r="U14" i="10" s="1"/>
  <c r="U15" i="10" s="1"/>
  <c r="U16" i="10" s="1"/>
  <c r="U17" i="10" s="1"/>
  <c r="U18" i="10" s="1"/>
  <c r="U19" i="10" s="1"/>
  <c r="U20" i="10" s="1"/>
  <c r="U21" i="10" s="1"/>
  <c r="U22" i="10" s="1"/>
  <c r="U23" i="10" s="1"/>
  <c r="U24" i="10" s="1"/>
  <c r="U25" i="10" s="1"/>
  <c r="U26" i="10" s="1"/>
  <c r="U27" i="10" s="1"/>
  <c r="U28" i="10" s="1"/>
  <c r="U29" i="10" s="1"/>
  <c r="U30" i="10" s="1"/>
  <c r="U31" i="10" s="1"/>
  <c r="U32" i="10" s="1"/>
  <c r="U33" i="10" s="1"/>
  <c r="V4" i="10"/>
  <c r="V5" i="10" s="1"/>
  <c r="V6" i="10" s="1"/>
  <c r="V7" i="10" s="1"/>
  <c r="V8" i="10" s="1"/>
  <c r="V9" i="10" s="1"/>
  <c r="V10" i="10" s="1"/>
  <c r="V11" i="10" s="1"/>
  <c r="V12" i="10" s="1"/>
  <c r="V13" i="10" s="1"/>
  <c r="V14" i="10" s="1"/>
  <c r="V15" i="10" s="1"/>
  <c r="V16" i="10" s="1"/>
  <c r="V17" i="10" s="1"/>
  <c r="V18" i="10" s="1"/>
  <c r="V19" i="10" s="1"/>
  <c r="V20" i="10" s="1"/>
  <c r="V21" i="10" s="1"/>
  <c r="V22" i="10" s="1"/>
  <c r="V23" i="10" s="1"/>
  <c r="V24" i="10" s="1"/>
  <c r="V25" i="10" s="1"/>
  <c r="V26" i="10" s="1"/>
  <c r="V27" i="10" s="1"/>
  <c r="V28" i="10" s="1"/>
  <c r="V29" i="10" s="1"/>
  <c r="V30" i="10" s="1"/>
  <c r="V31" i="10" s="1"/>
  <c r="V32" i="10" s="1"/>
  <c r="V33" i="10" s="1"/>
  <c r="W4" i="10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X4" i="10"/>
  <c r="Y4" i="10"/>
  <c r="Y5" i="10" s="1"/>
  <c r="Y6" i="10" s="1"/>
  <c r="Y7" i="10" s="1"/>
  <c r="Y8" i="10" s="1"/>
  <c r="Y9" i="10" s="1"/>
  <c r="Y10" i="10" s="1"/>
  <c r="Y11" i="10" s="1"/>
  <c r="Y12" i="10" s="1"/>
  <c r="Y13" i="10" s="1"/>
  <c r="Y14" i="10" s="1"/>
  <c r="Y15" i="10" s="1"/>
  <c r="Y16" i="10" s="1"/>
  <c r="Y17" i="10" s="1"/>
  <c r="Y18" i="10" s="1"/>
  <c r="Y19" i="10" s="1"/>
  <c r="Y20" i="10" s="1"/>
  <c r="Y21" i="10" s="1"/>
  <c r="Y22" i="10" s="1"/>
  <c r="Y23" i="10" s="1"/>
  <c r="Y24" i="10" s="1"/>
  <c r="Y25" i="10" s="1"/>
  <c r="Y26" i="10" s="1"/>
  <c r="Y27" i="10" s="1"/>
  <c r="Y28" i="10" s="1"/>
  <c r="Y29" i="10" s="1"/>
  <c r="Y30" i="10" s="1"/>
  <c r="Y31" i="10" s="1"/>
  <c r="Y32" i="10" s="1"/>
  <c r="Z4" i="10"/>
  <c r="Z5" i="10" s="1"/>
  <c r="Z6" i="10" s="1"/>
  <c r="Z7" i="10" s="1"/>
  <c r="Z8" i="10" s="1"/>
  <c r="Z9" i="10" s="1"/>
  <c r="Z10" i="10" s="1"/>
  <c r="Z11" i="10" s="1"/>
  <c r="Z12" i="10" s="1"/>
  <c r="Z13" i="10" s="1"/>
  <c r="AA4" i="10"/>
  <c r="AA5" i="10" s="1"/>
  <c r="AA6" i="10"/>
  <c r="AA7" i="10" s="1"/>
  <c r="AA8" i="10" s="1"/>
  <c r="AA9" i="10" s="1"/>
  <c r="AA10" i="10" s="1"/>
  <c r="AA11" i="10" s="1"/>
  <c r="AA12" i="10" s="1"/>
  <c r="AA13" i="10" s="1"/>
  <c r="AA14" i="10" s="1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B4" i="10"/>
  <c r="P5" i="10"/>
  <c r="P6" i="10" s="1"/>
  <c r="P7" i="10" s="1"/>
  <c r="P8" i="10" s="1"/>
  <c r="P9" i="10" s="1"/>
  <c r="P10" i="10" s="1"/>
  <c r="P11" i="10" s="1"/>
  <c r="P12" i="10" s="1"/>
  <c r="P13" i="10" s="1"/>
  <c r="P14" i="10" s="1"/>
  <c r="P15" i="10" s="1"/>
  <c r="P16" i="10" s="1"/>
  <c r="P17" i="10" s="1"/>
  <c r="P18" i="10" s="1"/>
  <c r="P19" i="10" s="1"/>
  <c r="P20" i="10" s="1"/>
  <c r="P21" i="10" s="1"/>
  <c r="P22" i="10" s="1"/>
  <c r="P23" i="10" s="1"/>
  <c r="P24" i="10" s="1"/>
  <c r="P25" i="10" s="1"/>
  <c r="P26" i="10" s="1"/>
  <c r="P27" i="10" s="1"/>
  <c r="P28" i="10" s="1"/>
  <c r="P29" i="10" s="1"/>
  <c r="P30" i="10" s="1"/>
  <c r="P31" i="10" s="1"/>
  <c r="P32" i="10" s="1"/>
  <c r="P33" i="10" s="1"/>
  <c r="R5" i="10"/>
  <c r="R6" i="10" s="1"/>
  <c r="R7" i="10" s="1"/>
  <c r="R8" i="10" s="1"/>
  <c r="R9" i="10" s="1"/>
  <c r="R10" i="10" s="1"/>
  <c r="R11" i="10" s="1"/>
  <c r="R12" i="10" s="1"/>
  <c r="R13" i="10" s="1"/>
  <c r="R14" i="10" s="1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T6" i="10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X5" i="10"/>
  <c r="X6" i="10" s="1"/>
  <c r="X7" i="10" s="1"/>
  <c r="X8" i="10" s="1"/>
  <c r="X9" i="10" s="1"/>
  <c r="X10" i="10" s="1"/>
  <c r="X11" i="10" s="1"/>
  <c r="X12" i="10" s="1"/>
  <c r="X13" i="10" s="1"/>
  <c r="X14" i="10" s="1"/>
  <c r="X15" i="10" s="1"/>
  <c r="X16" i="10" s="1"/>
  <c r="X17" i="10" s="1"/>
  <c r="X18" i="10" s="1"/>
  <c r="X19" i="10" s="1"/>
  <c r="X20" i="10" s="1"/>
  <c r="X21" i="10" s="1"/>
  <c r="X22" i="10" s="1"/>
  <c r="X23" i="10" s="1"/>
  <c r="X24" i="10" s="1"/>
  <c r="X25" i="10" s="1"/>
  <c r="X26" i="10" s="1"/>
  <c r="X27" i="10" s="1"/>
  <c r="X28" i="10" s="1"/>
  <c r="X29" i="10" s="1"/>
  <c r="X30" i="10" s="1"/>
  <c r="X31" i="10" s="1"/>
  <c r="X32" i="10" s="1"/>
  <c r="AB5" i="10"/>
  <c r="AB6" i="10"/>
  <c r="AB7" i="10" s="1"/>
  <c r="AB8" i="10" s="1"/>
  <c r="AB9" i="10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AB29" i="10" s="1"/>
  <c r="AB30" i="10" s="1"/>
  <c r="AB31" i="10" s="1"/>
  <c r="Z15" i="10"/>
  <c r="Z16" i="10" s="1"/>
  <c r="Z17" i="10" s="1"/>
  <c r="Z18" i="10" s="1"/>
  <c r="Z19" i="10" s="1"/>
  <c r="Z20" i="10" s="1"/>
  <c r="Z21" i="10" s="1"/>
  <c r="Z22" i="10" s="1"/>
  <c r="Z23" i="10" s="1"/>
  <c r="Z24" i="10" s="1"/>
  <c r="Z25" i="10" s="1"/>
  <c r="Z26" i="10" s="1"/>
  <c r="Z27" i="10"/>
  <c r="Z28" i="10" s="1"/>
  <c r="Z29" i="10" s="1"/>
  <c r="Z30" i="10" s="1"/>
  <c r="Z31" i="10" s="1"/>
  <c r="Z32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This should be Row # 7.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 Soltani</author>
  </authors>
  <commentList>
    <comment ref="AV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1 = normal maturity
2 = pre-mature due to LAI&lt;0.05
3 = Planting impossible in the window
4 = StopDoy reached
5 = Flood kill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  <author>Afshin Soltani</author>
  </authors>
  <commentList>
    <comment ref="A1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0 - Fixed sowing date. 
1 - Sow in the 5th day of a 5-day rainfree period.
2 - Sow in the 5th day  of a 5-day rainfree period + average temp &gt; SowTmp.
3 - Sow in the 5th day  of a 5-day rainfree period + average temp &lt; SowTmp.
4 - Sow when FTSW1 &gt; SowWat. 
5 - Sow when FTSW1 &lt; SowWat. 
6 - Sow when cumulative rainfall over a 5-day period &gt; SowWat. 
7 - Sow when soil profile ATSW &gt; SowWat. </t>
        </r>
      </text>
    </comment>
    <comment ref="D1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Start simulation DOY</t>
        </r>
      </text>
    </comment>
    <comment ref="E16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16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16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H16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temperature </t>
        </r>
      </text>
    </comment>
    <comment ref="I1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19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
0=non-N-limited conditions, 
2=N-limited conditions.</t>
        </r>
      </text>
    </comment>
    <comment ref="E19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
0=potential production, 1=automated irrigated, 2=rainfed, 
3=fixed irrigated</t>
        </r>
      </text>
    </comment>
    <comment ref="A21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21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A39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0 - Fixed sowing date. 
1 - Sow in the 5th day of a 5-day rainfree period.
2 - Sow in the 5th day  of a 5-day rainfree period + average temp &gt; SowTmp.
3 - Sow in the 5th day  of a 5-day rainfree period + average temp &lt; SowTmp.
4 - Sow when FTSW1 &gt; SowWat. 
5 - Sow when FTSW1 &lt; SowWat. 
6 - Sow when cumulative rainfall over a 5-day period &gt; SowWat. 
7 - Sow when soil profile ATSW &gt; SowWat. </t>
        </r>
      </text>
    </comment>
    <comment ref="D39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Start simulation DOY</t>
        </r>
      </text>
    </comment>
    <comment ref="E39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39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39" authorId="1" shapeId="0" xr:uid="{00000000-0006-0000-0600-000010000000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H39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temperature </t>
        </r>
      </text>
    </comment>
    <comment ref="I39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42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
0=non-N-limited conditions, 
2=N-limited conditions.</t>
        </r>
      </text>
    </comment>
    <comment ref="E42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
0=potential production, 1=automated irrigated, 2=rainfed, 
3=fixed irrigated</t>
        </r>
      </text>
    </comment>
    <comment ref="A44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44" authorId="0" shapeId="0" xr:uid="{00000000-0006-0000-0600-000016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A62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0 - Fixed sowing date. 
1 - Sow in the 5th day of a 5-day rainfree period.
2 - Sow in the 5th day  of a 5-day rainfree period + average temp &gt; SowTmp.
3 - Sow in the 5th day  of a 5-day rainfree period + average temp &lt; SowTmp.
4 - Sow when FTSW1 &gt; SowWat. 
5 - Sow when FTSW1 &lt; SowWat. 
6 - Sow when cumulative rainfall over a 5-day period &gt; SowWat. 
7 - Sow when soil profile ATSW &gt; SowWat. </t>
        </r>
      </text>
    </comment>
    <comment ref="D62" authorId="0" shapeId="0" xr:uid="{00000000-0006-0000-0600-000018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Start simulation DOY</t>
        </r>
      </text>
    </comment>
    <comment ref="E62" authorId="0" shapeId="0" xr:uid="{00000000-0006-0000-0600-000019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date for FixFind=0, or beginning of sowing window</t>
        </r>
      </text>
    </comment>
    <comment ref="F62" authorId="0" shapeId="0" xr:uid="{00000000-0006-0000-0600-00001A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Specifies the DOY of the end of sowing window</t>
        </r>
      </text>
    </comment>
    <comment ref="G62" authorId="1" shapeId="0" xr:uid="{00000000-0006-0000-0600-00001B000000}">
      <text>
        <r>
          <rPr>
            <b/>
            <sz val="9"/>
            <color indexed="81"/>
            <rFont val="Tahoma"/>
            <family val="2"/>
          </rPr>
          <t>Afshin Soltani:</t>
        </r>
        <r>
          <rPr>
            <sz val="9"/>
            <color indexed="81"/>
            <rFont val="Tahoma"/>
            <family val="2"/>
          </rPr>
          <t xml:space="preserve">
DOY when crop must be harvested even pre-maturely</t>
        </r>
      </text>
    </comment>
    <comment ref="H62" authorId="0" shapeId="0" xr:uid="{00000000-0006-0000-0600-00001C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Sowing temperature </t>
        </r>
      </text>
    </comment>
    <comment ref="I62" authorId="0" shapeId="0" xr:uid="{00000000-0006-0000-0600-00001D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Soil profile (not top layer) ATSW that allows sowing.</t>
        </r>
      </text>
    </comment>
    <comment ref="A65" authorId="0" shapeId="0" xr:uid="{00000000-0006-0000-0600-00001E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
0=non-N-limited conditions, 
2=N-limited conditions.</t>
        </r>
      </text>
    </comment>
    <comment ref="E65" authorId="0" shapeId="0" xr:uid="{00000000-0006-0000-0600-00001F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
0=potential production, 1=automated irrigated, 2=rainfed, 
3=fixed irrigated</t>
        </r>
      </text>
    </comment>
    <comment ref="A67" authorId="0" shapeId="0" xr:uid="{00000000-0006-0000-0600-000020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  <comment ref="E67" authorId="0" shapeId="0" xr:uid="{00000000-0006-0000-0600-000021000000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
2=CBD, 
3=DOY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tc={34A8E812-8DC1-4FAD-9505-1EF81AE54AAA}</author>
  </authors>
  <commentList>
    <comment ref="F8" authorId="0" shapeId="0" xr:uid="{34A8E812-8DC1-4FAD-9505-1EF81AE54AA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semethod=1: simplified evaporation calculation
semethod 2 : Ritchie two-stages evaporation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  <author>DR.Soltani</author>
  </authors>
  <commentList>
    <comment ref="S9" authorId="0" shapeId="0" xr:uid="{9B9AB364-BE75-4C27-9DDB-FCCDFB2334F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PLAPOW at density of 8 plants per m2</t>
        </r>
      </text>
    </comment>
    <comment ref="A10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a=1 if there is no estimate</t>
        </r>
      </text>
    </comment>
    <comment ref="A1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b=0 if there is no estimate</t>
        </r>
      </text>
    </comment>
    <comment ref="S11" authorId="0" shapeId="0" xr:uid="{9E535E81-C44E-4B9D-A49C-D3FFB4400888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valid for 4-12 plant/m2</t>
        </r>
      </text>
    </comment>
    <comment ref="A24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afshin:</t>
        </r>
        <r>
          <rPr>
            <sz val="9"/>
            <color indexed="81"/>
            <rFont val="Tahoma"/>
            <family val="2"/>
          </rPr>
          <t xml:space="preserve">
A coefficient that describes RUE response to CO2 in a curvinial response. </t>
        </r>
      </text>
    </comment>
    <comment ref="S79" authorId="0" shapeId="0" xr:uid="{062EE2FA-E1AE-49A0-9009-E961307001B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Sowing to emergence</t>
        </r>
      </text>
    </comment>
    <comment ref="S80" authorId="0" shapeId="0" xr:uid="{1EB46F6C-4DC7-43A7-A9A7-0EF0942839AC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Emergence to end of juvenile</t>
        </r>
      </text>
    </comment>
    <comment ref="S81" authorId="0" shapeId="0" xr:uid="{06495105-264B-4239-BBF8-61CC4E8FB24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Silking (last leaf ligule) to physiological maturity (black layer)</t>
        </r>
      </text>
    </comment>
    <comment ref="A95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DR.Soltani:</t>
        </r>
        <r>
          <rPr>
            <sz val="9"/>
            <color indexed="81"/>
            <rFont val="Tahoma"/>
            <family val="2"/>
          </rPr>
          <t xml:space="preserve">
Bioday from sowing to beginning biological nitrogen fixation (in legume crops). This should be set =&gt; bdMAT for non-legume crops. </t>
        </r>
      </text>
    </comment>
    <comment ref="S95" authorId="1" shapeId="0" xr:uid="{DC3B9FDD-A7F1-4DCD-95C3-F57159EB83D1}">
      <text>
        <r>
          <rPr>
            <b/>
            <sz val="9"/>
            <color indexed="81"/>
            <rFont val="Tahoma"/>
            <family val="2"/>
          </rPr>
          <t>DR.Soltani:</t>
        </r>
        <r>
          <rPr>
            <sz val="9"/>
            <color indexed="81"/>
            <rFont val="Tahoma"/>
            <family val="2"/>
          </rPr>
          <t xml:space="preserve">
Bioday from sowing to beginning biological nitrogen fixation (in legume crops). This should be set =&gt; bdMAT for non-legume crops. </t>
        </r>
      </text>
    </comment>
  </commentList>
</comments>
</file>

<file path=xl/sharedStrings.xml><?xml version="1.0" encoding="utf-8"?>
<sst xmlns="http://schemas.openxmlformats.org/spreadsheetml/2006/main" count="7562" uniqueCount="1286">
  <si>
    <t>CROP:</t>
  </si>
  <si>
    <t xml:space="preserve">WSSL = </t>
  </si>
  <si>
    <t xml:space="preserve">WSSG = </t>
  </si>
  <si>
    <t xml:space="preserve">WSSD = </t>
  </si>
  <si>
    <t xml:space="preserve">TBD = </t>
  </si>
  <si>
    <t xml:space="preserve">TP1D = </t>
  </si>
  <si>
    <t xml:space="preserve">TP2D = </t>
  </si>
  <si>
    <t xml:space="preserve">TCD = </t>
  </si>
  <si>
    <t xml:space="preserve">TBRUE = </t>
  </si>
  <si>
    <t xml:space="preserve">TP1RUE = </t>
  </si>
  <si>
    <t xml:space="preserve">TP2RUE = </t>
  </si>
  <si>
    <t xml:space="preserve">TCRUE = </t>
  </si>
  <si>
    <t xml:space="preserve">KPAR = </t>
  </si>
  <si>
    <t xml:space="preserve">IRUE = </t>
  </si>
  <si>
    <t xml:space="preserve">FRTRL = </t>
  </si>
  <si>
    <t>SRAD</t>
  </si>
  <si>
    <t>TMAX</t>
  </si>
  <si>
    <t xml:space="preserve">E/ET = </t>
  </si>
  <si>
    <t>Soil albedo</t>
  </si>
  <si>
    <t>mm</t>
  </si>
  <si>
    <t>cm.cm-1</t>
  </si>
  <si>
    <t>oC</t>
  </si>
  <si>
    <t>Phenology:</t>
  </si>
  <si>
    <t xml:space="preserve">Cultivar:  </t>
  </si>
  <si>
    <t xml:space="preserve">phyl = </t>
  </si>
  <si>
    <t xml:space="preserve">PLACON = </t>
  </si>
  <si>
    <t xml:space="preserve">SLA = </t>
  </si>
  <si>
    <t>GLAI</t>
  </si>
  <si>
    <t>DLAI</t>
  </si>
  <si>
    <t>TMP</t>
  </si>
  <si>
    <t>Growth:</t>
  </si>
  <si>
    <t>Yield:</t>
  </si>
  <si>
    <t>Layer#</t>
  </si>
  <si>
    <t>DLYER</t>
  </si>
  <si>
    <t>SAT</t>
  </si>
  <si>
    <t>DUL</t>
  </si>
  <si>
    <t>DRAINF</t>
  </si>
  <si>
    <t>Soil water:</t>
  </si>
  <si>
    <t xml:space="preserve">GRTDP = </t>
  </si>
  <si>
    <t>-</t>
  </si>
  <si>
    <t>oC / leaf</t>
  </si>
  <si>
    <t>m2 /g</t>
  </si>
  <si>
    <t>g / MJ</t>
  </si>
  <si>
    <t>g/g</t>
  </si>
  <si>
    <t>g / m2</t>
  </si>
  <si>
    <t>g / g</t>
  </si>
  <si>
    <t xml:space="preserve">SLNG = </t>
  </si>
  <si>
    <t xml:space="preserve">SLNS = </t>
  </si>
  <si>
    <t xml:space="preserve">SNCG = </t>
  </si>
  <si>
    <t>SNCS =</t>
  </si>
  <si>
    <t xml:space="preserve">MXNUP = </t>
  </si>
  <si>
    <t>g m-2</t>
  </si>
  <si>
    <t>g.g-1</t>
  </si>
  <si>
    <t>g.m-2</t>
  </si>
  <si>
    <t>g.m-2.d-1</t>
  </si>
  <si>
    <t xml:space="preserve">Amount </t>
  </si>
  <si>
    <t>BDL</t>
  </si>
  <si>
    <t>NORG</t>
  </si>
  <si>
    <t>FMIN</t>
  </si>
  <si>
    <t>NO3</t>
  </si>
  <si>
    <t>NH4</t>
  </si>
  <si>
    <t>(%)</t>
  </si>
  <si>
    <t>%</t>
  </si>
  <si>
    <t>g.cm-3</t>
  </si>
  <si>
    <t>mg.kg-1</t>
  </si>
  <si>
    <t>ppm</t>
  </si>
  <si>
    <t>FG</t>
  </si>
  <si>
    <t>Plant N:</t>
  </si>
  <si>
    <t>Soil N:</t>
  </si>
  <si>
    <t>(-)</t>
  </si>
  <si>
    <t>Days to emergence:</t>
  </si>
  <si>
    <t>Total crop mass (g.m-2):</t>
  </si>
  <si>
    <t>Grain yield (g.m-2):</t>
  </si>
  <si>
    <t>Harvest index (%):</t>
  </si>
  <si>
    <t>Irrigation number:</t>
  </si>
  <si>
    <t xml:space="preserve">Avail. soil water at sowing (mm): </t>
  </si>
  <si>
    <t>Cum. rainfall (mm):</t>
  </si>
  <si>
    <t>Cum. irrigation (mm):</t>
  </si>
  <si>
    <t>Avail. soil water at maturity (mm):</t>
  </si>
  <si>
    <t>Cum soil evaporation (mm):</t>
  </si>
  <si>
    <t>Evapotranspiration (mm):</t>
  </si>
  <si>
    <t xml:space="preserve">Number of appl. = </t>
  </si>
  <si>
    <t>Cum. runoff (mm):</t>
  </si>
  <si>
    <t>Cum. transpiration (mm):</t>
  </si>
  <si>
    <t>Cum. drainage (mm):</t>
  </si>
  <si>
    <t xml:space="preserve">Urea - surf. Appl. </t>
  </si>
  <si>
    <t>Humid</t>
  </si>
  <si>
    <t>Subhumid</t>
  </si>
  <si>
    <t>Dry</t>
  </si>
  <si>
    <t>Urea - Incorporated</t>
  </si>
  <si>
    <t>(NH4)2SO4 - suf. Appl.</t>
  </si>
  <si>
    <t>NH4NO3 - suf. Appl.</t>
  </si>
  <si>
    <t>NH4NO3 - incorp.</t>
  </si>
  <si>
    <t>Anhydrous NH3</t>
  </si>
  <si>
    <t>(NH4)2SO4 - incorp.</t>
  </si>
  <si>
    <t>Frac. Vol.</t>
  </si>
  <si>
    <t>Meisinger &amp; Randall, 1991</t>
  </si>
  <si>
    <t>NGRN</t>
  </si>
  <si>
    <t xml:space="preserve">nitrogen = </t>
  </si>
  <si>
    <t xml:space="preserve">GCC = </t>
  </si>
  <si>
    <t xml:space="preserve">iDEPORT = </t>
  </si>
  <si>
    <t>Pa</t>
  </si>
  <si>
    <t>water = 0   for potential production</t>
  </si>
  <si>
    <t>water = 1   for irrigated water-limited conditions</t>
  </si>
  <si>
    <t>water = 2   for rainfed water-limited conditions</t>
  </si>
  <si>
    <t>nitrogen = 0   for non-N-limited conditions</t>
  </si>
  <si>
    <t>Frac. Vol:</t>
  </si>
  <si>
    <t>(g/m2)</t>
  </si>
  <si>
    <t xml:space="preserve">FLF1A = </t>
  </si>
  <si>
    <t>FLF1B =</t>
  </si>
  <si>
    <t xml:space="preserve">WTOPL = </t>
  </si>
  <si>
    <t xml:space="preserve">FLF2 = </t>
  </si>
  <si>
    <t xml:space="preserve">MEED = </t>
  </si>
  <si>
    <t>Variable</t>
  </si>
  <si>
    <t>Unit</t>
  </si>
  <si>
    <t>Definition</t>
  </si>
  <si>
    <t>ALBEDO</t>
  </si>
  <si>
    <t>Suface albedo</t>
  </si>
  <si>
    <t xml:space="preserve">ATSW </t>
  </si>
  <si>
    <t>Actual transpirable soil water</t>
  </si>
  <si>
    <t xml:space="preserve">ATSW1 </t>
  </si>
  <si>
    <t>Actual transpirable soil water at top layer</t>
  </si>
  <si>
    <t xml:space="preserve">BD1 </t>
  </si>
  <si>
    <t>g cm-3</t>
  </si>
  <si>
    <t xml:space="preserve">Bulk density of top layer soil </t>
  </si>
  <si>
    <t xml:space="preserve">BSGDM </t>
  </si>
  <si>
    <t>Crop above-ground dry matter at beginning seed growth</t>
  </si>
  <si>
    <t xml:space="preserve">BSGLAI </t>
  </si>
  <si>
    <t>m2 m-2</t>
  </si>
  <si>
    <t>Leaf area index at beginning seed growth</t>
  </si>
  <si>
    <t>CALB</t>
  </si>
  <si>
    <t>Crop albedo</t>
  </si>
  <si>
    <t xml:space="preserve">CE </t>
  </si>
  <si>
    <t xml:space="preserve">Cumulative soil evaporation </t>
  </si>
  <si>
    <t xml:space="preserve">CIRGW </t>
  </si>
  <si>
    <t xml:space="preserve">Cumulative irrigation water </t>
  </si>
  <si>
    <t xml:space="preserve">CLL </t>
  </si>
  <si>
    <t>mm mm-1</t>
  </si>
  <si>
    <t xml:space="preserve">Volumetric soil water content at crop lower limit </t>
  </si>
  <si>
    <t xml:space="preserve">CN </t>
  </si>
  <si>
    <t xml:space="preserve">Curve number </t>
  </si>
  <si>
    <t xml:space="preserve">CNDNIT </t>
  </si>
  <si>
    <t>g N m-2</t>
  </si>
  <si>
    <t xml:space="preserve">Accumulated nitrogen denitrification </t>
  </si>
  <si>
    <t xml:space="preserve">CNFERT </t>
  </si>
  <si>
    <t xml:space="preserve">Accumulated nitrogen fertilizer applied </t>
  </si>
  <si>
    <t xml:space="preserve">CNLEACH </t>
  </si>
  <si>
    <t xml:space="preserve">Accumulated nitrogen leached </t>
  </si>
  <si>
    <t xml:space="preserve">CNMIN </t>
  </si>
  <si>
    <t xml:space="preserve">Accumulated nitrogen mineralization </t>
  </si>
  <si>
    <t xml:space="preserve">CNUP </t>
  </si>
  <si>
    <t xml:space="preserve">Accumulated nitrogen in above-ground crop organs </t>
  </si>
  <si>
    <t xml:space="preserve">CNVOL </t>
  </si>
  <si>
    <t xml:space="preserve">Accumulated nitrogen volatilization </t>
  </si>
  <si>
    <t xml:space="preserve">CRAIN </t>
  </si>
  <si>
    <t xml:space="preserve">Cumulative rainfall </t>
  </si>
  <si>
    <t xml:space="preserve">CRUNOF </t>
  </si>
  <si>
    <t xml:space="preserve">Cumulative run-off </t>
  </si>
  <si>
    <t xml:space="preserve">CTR </t>
  </si>
  <si>
    <t xml:space="preserve">Cumulative transpiration </t>
  </si>
  <si>
    <t xml:space="preserve">DAP </t>
  </si>
  <si>
    <t xml:space="preserve">Days after planting </t>
  </si>
  <si>
    <t xml:space="preserve">DAPNF </t>
  </si>
  <si>
    <t xml:space="preserve">Days after planting when N fertilizer is applied </t>
  </si>
  <si>
    <t xml:space="preserve">DDMP </t>
  </si>
  <si>
    <t>g m-2 d-1</t>
  </si>
  <si>
    <t>Daily dry matter production</t>
  </si>
  <si>
    <t xml:space="preserve">DEP1 </t>
  </si>
  <si>
    <t xml:space="preserve">Depth of top layer in calculation of water and nitrogen dynamics in soil </t>
  </si>
  <si>
    <t xml:space="preserve">DEPORT </t>
  </si>
  <si>
    <t>Current depth of roots</t>
  </si>
  <si>
    <t>m2 m-2 d-1</t>
  </si>
  <si>
    <t>Daily decrease (death) in leaf area index</t>
  </si>
  <si>
    <t xml:space="preserve">DOY </t>
  </si>
  <si>
    <t xml:space="preserve">Day of year </t>
  </si>
  <si>
    <t xml:space="preserve">DRAIN </t>
  </si>
  <si>
    <t xml:space="preserve">Amount of drainge water from soil profile </t>
  </si>
  <si>
    <t xml:space="preserve">DRAIN1 </t>
  </si>
  <si>
    <t xml:space="preserve">Amount of drainge water from top layer </t>
  </si>
  <si>
    <t xml:space="preserve">DRAINF </t>
  </si>
  <si>
    <t xml:space="preserve">Drainage factor </t>
  </si>
  <si>
    <t xml:space="preserve">DTBSG </t>
  </si>
  <si>
    <t>d</t>
  </si>
  <si>
    <t xml:space="preserve">Days to beginning seed growth </t>
  </si>
  <si>
    <t xml:space="preserve">DTEMR </t>
  </si>
  <si>
    <t xml:space="preserve">Days to emergence </t>
  </si>
  <si>
    <t xml:space="preserve">DTMAT </t>
  </si>
  <si>
    <t xml:space="preserve">Days to maturity </t>
  </si>
  <si>
    <t xml:space="preserve">DTTLM </t>
  </si>
  <si>
    <t xml:space="preserve">Days to termination leaf growth on mainstem </t>
  </si>
  <si>
    <t xml:space="preserve">DTTSG </t>
  </si>
  <si>
    <t xml:space="preserve">Days to termination seed growth </t>
  </si>
  <si>
    <t xml:space="preserve">DUL </t>
  </si>
  <si>
    <t xml:space="preserve">Volumetric soil water content at drained upper limit </t>
  </si>
  <si>
    <t xml:space="preserve">DYSE </t>
  </si>
  <si>
    <t xml:space="preserve">d </t>
  </si>
  <si>
    <t>Days since last rain and / or irrigation that has wetted soil top layer</t>
  </si>
  <si>
    <t xml:space="preserve">EEQ </t>
  </si>
  <si>
    <t>mm d-1</t>
  </si>
  <si>
    <t xml:space="preserve">Evaporation equivalent </t>
  </si>
  <si>
    <t xml:space="preserve">EOS </t>
  </si>
  <si>
    <t xml:space="preserve">Potential soil evaporation </t>
  </si>
  <si>
    <t xml:space="preserve">EOSMIN </t>
  </si>
  <si>
    <t xml:space="preserve">Minimum soil evaporation </t>
  </si>
  <si>
    <t>ETLAI</t>
  </si>
  <si>
    <t xml:space="preserve">Leaf area index used in calculation of evapotranspiration </t>
  </si>
  <si>
    <t xml:space="preserve">EWAT </t>
  </si>
  <si>
    <t xml:space="preserve">mm </t>
  </si>
  <si>
    <t xml:space="preserve">Amount of water become available for crop use due to root growth </t>
  </si>
  <si>
    <t xml:space="preserve">EXTR </t>
  </si>
  <si>
    <t xml:space="preserve">Volumetric soil water content available for extraction by crop roots </t>
  </si>
  <si>
    <t xml:space="preserve">FG </t>
  </si>
  <si>
    <t xml:space="preserve">Fraction coarse material in soil </t>
  </si>
  <si>
    <t xml:space="preserve">FINT </t>
  </si>
  <si>
    <t>Fraction intercepted radiation (PAR)</t>
  </si>
  <si>
    <t xml:space="preserve">FLF1A </t>
  </si>
  <si>
    <t>g g-1</t>
  </si>
  <si>
    <t>Partitioning coefficient to leaves during main phase of leaf area development at lower levels of total crop mass</t>
  </si>
  <si>
    <t xml:space="preserve">FLF1B </t>
  </si>
  <si>
    <t>Partitioning coefficient to leaves during main phase of leaf area development at higher levels of total crop mass</t>
  </si>
  <si>
    <t xml:space="preserve">FLF2 </t>
  </si>
  <si>
    <t>Partitioning coefficient to leaves from termination leaf growth on mainstem to beginning seed growth</t>
  </si>
  <si>
    <t xml:space="preserve">Fraction soil organic nitrogen available for mineralization </t>
  </si>
  <si>
    <t xml:space="preserve">FN </t>
  </si>
  <si>
    <t>#</t>
  </si>
  <si>
    <t>Number of N fertilizer application</t>
  </si>
  <si>
    <t xml:space="preserve">FROOT1 </t>
  </si>
  <si>
    <t>Fraction of soil top layer exploited by crop roots</t>
  </si>
  <si>
    <t>FRTRL</t>
  </si>
  <si>
    <t>Fraction crop mass at beginning seed growth which is translocateble to grains</t>
  </si>
  <si>
    <t xml:space="preserve">FTSW </t>
  </si>
  <si>
    <t xml:space="preserve">Fraction transpirable soil water </t>
  </si>
  <si>
    <t xml:space="preserve">FTSW1 </t>
  </si>
  <si>
    <t xml:space="preserve">Fraction transpirable soil water at top layer </t>
  </si>
  <si>
    <t>GCC</t>
  </si>
  <si>
    <t>Grain conversion coefficient</t>
  </si>
  <si>
    <t>Daily increase (growth) in leaf area index</t>
  </si>
  <si>
    <t xml:space="preserve">GLF </t>
  </si>
  <si>
    <t xml:space="preserve">Daily increase (growth) in leaf weight </t>
  </si>
  <si>
    <t xml:space="preserve">GNC </t>
  </si>
  <si>
    <t xml:space="preserve">Grain nitrogen concentration </t>
  </si>
  <si>
    <t xml:space="preserve">GRTD </t>
  </si>
  <si>
    <t xml:space="preserve">Daily increase (growth) in root depth </t>
  </si>
  <si>
    <t xml:space="preserve">GRTDP </t>
  </si>
  <si>
    <t xml:space="preserve">Potential daily increase (growth) in root depth </t>
  </si>
  <si>
    <t xml:space="preserve">GST </t>
  </si>
  <si>
    <t xml:space="preserve">Daily increase (growth) in stem dry weight </t>
  </si>
  <si>
    <t>INGRN</t>
  </si>
  <si>
    <t>g N m-2 d-1</t>
  </si>
  <si>
    <t xml:space="preserve">Daily rate of nitrogen accumulation in grains </t>
  </si>
  <si>
    <t xml:space="preserve">iniDMD </t>
  </si>
  <si>
    <t xml:space="preserve">A variable that indicates if dry matter distribution submodel has been initialized (1) or not (0) </t>
  </si>
  <si>
    <t xml:space="preserve">iniDMP </t>
  </si>
  <si>
    <t xml:space="preserve">A variable that indicates if dry matter production submodel has been initialized (1) or not (0) </t>
  </si>
  <si>
    <t xml:space="preserve">iniLAI </t>
  </si>
  <si>
    <t xml:space="preserve">A variable that indicates if crop LAI submodel has been initialized (1) or not (0) </t>
  </si>
  <si>
    <t xml:space="preserve">iniPheno </t>
  </si>
  <si>
    <t xml:space="preserve">A variable that indicates if phenology submodel has been initialized (1) or not (0) </t>
  </si>
  <si>
    <t>iniPNB</t>
  </si>
  <si>
    <t xml:space="preserve">A variable that indicates if plant nitrogen budget submodel has been initialized (1) or not (0) </t>
  </si>
  <si>
    <t>iniSNB</t>
  </si>
  <si>
    <t xml:space="preserve">A variable that indicates if soil nitrogen balance submodel has been initialized (1) or not (0) </t>
  </si>
  <si>
    <t xml:space="preserve">iniSW </t>
  </si>
  <si>
    <t xml:space="preserve">A variable that indicates if soil water submodel has been initialized (1) or not (0) </t>
  </si>
  <si>
    <t xml:space="preserve">INLF </t>
  </si>
  <si>
    <t xml:space="preserve">Daily rate of nitrogen accumulation in leaves </t>
  </si>
  <si>
    <t xml:space="preserve">INODE </t>
  </si>
  <si>
    <t># d-1</t>
  </si>
  <si>
    <t xml:space="preserve">Daily increase in mainstem node number </t>
  </si>
  <si>
    <t xml:space="preserve">INSOL </t>
  </si>
  <si>
    <t xml:space="preserve">Initial soil nitrogen in soil solution </t>
  </si>
  <si>
    <t xml:space="preserve">INST </t>
  </si>
  <si>
    <t xml:space="preserve">Daily rate of nitrogen accumulation in stems  </t>
  </si>
  <si>
    <t xml:space="preserve">IPATSW </t>
  </si>
  <si>
    <t xml:space="preserve">Actual transpirable soil water at sowing time </t>
  </si>
  <si>
    <t xml:space="preserve">IRGLVL </t>
  </si>
  <si>
    <t>FTSW when the crop needs to be irrigated; irrigation threshold level</t>
  </si>
  <si>
    <t xml:space="preserve">IRGNO </t>
  </si>
  <si>
    <t xml:space="preserve">Irrigation number </t>
  </si>
  <si>
    <t xml:space="preserve">IRGW </t>
  </si>
  <si>
    <t xml:space="preserve">Irrigation water </t>
  </si>
  <si>
    <t xml:space="preserve">IRUE </t>
  </si>
  <si>
    <t>g MJ-1</t>
  </si>
  <si>
    <t xml:space="preserve">Radiation use efficiency under optimal growth conditions </t>
  </si>
  <si>
    <t xml:space="preserve">KDNIT </t>
  </si>
  <si>
    <t>d-1</t>
  </si>
  <si>
    <t>A coefficient indicating soil temperature effect on nitrogen denitrification</t>
  </si>
  <si>
    <t xml:space="preserve">KET </t>
  </si>
  <si>
    <t xml:space="preserve">Extinction coefficient for golbal solar radiation which is used in calculation of evapotranspiration </t>
  </si>
  <si>
    <t xml:space="preserve">KN </t>
  </si>
  <si>
    <t xml:space="preserve">A coefficient indicating soil temperature effect on nitrogen mineralization </t>
  </si>
  <si>
    <t xml:space="preserve">KNMIN </t>
  </si>
  <si>
    <t xml:space="preserve">Exponent for calculation of nitrogen mineralization </t>
  </si>
  <si>
    <t xml:space="preserve">KPAR </t>
  </si>
  <si>
    <t>Extinction coefficient for photosyntheticaly active radiation (PAR)</t>
  </si>
  <si>
    <t xml:space="preserve">LAI </t>
  </si>
  <si>
    <t xml:space="preserve">Leaf area index </t>
  </si>
  <si>
    <t xml:space="preserve">Soil moisture availability index (0-1) in soil profile </t>
  </si>
  <si>
    <t xml:space="preserve">MAI1 </t>
  </si>
  <si>
    <t xml:space="preserve">Soil moisture availability index (0-1) in top-lyer </t>
  </si>
  <si>
    <t xml:space="preserve">MEED </t>
  </si>
  <si>
    <t>Maximum effective depth of water extraction from soil by roots</t>
  </si>
  <si>
    <t xml:space="preserve">MNORG </t>
  </si>
  <si>
    <t xml:space="preserve">Amount of soil organic nitrogen in top layer available for mineralization </t>
  </si>
  <si>
    <t xml:space="preserve">MSNN </t>
  </si>
  <si>
    <t xml:space="preserve">Mainstem node number </t>
  </si>
  <si>
    <t xml:space="preserve">MXLAI </t>
  </si>
  <si>
    <t xml:space="preserve">Maximum leaf area index </t>
  </si>
  <si>
    <t xml:space="preserve">MXNUP </t>
  </si>
  <si>
    <t xml:space="preserve">Maximum uptake (fixation) rate of nitrogen </t>
  </si>
  <si>
    <t xml:space="preserve">NCON </t>
  </si>
  <si>
    <t>g N g-1</t>
  </si>
  <si>
    <t xml:space="preserve">Nitrogen concentration in soil solution </t>
  </si>
  <si>
    <t xml:space="preserve">NDNIT </t>
  </si>
  <si>
    <t xml:space="preserve">Daily rate of nitrogen denitrification </t>
  </si>
  <si>
    <t xml:space="preserve">NFERT </t>
  </si>
  <si>
    <t xml:space="preserve">Amount of N fertilizer </t>
  </si>
  <si>
    <t>NFERTI</t>
  </si>
  <si>
    <t xml:space="preserve">Accumulated nitrogen in grains </t>
  </si>
  <si>
    <t xml:space="preserve">NH4 </t>
  </si>
  <si>
    <t xml:space="preserve">Amount of nitrogen in NH4 form in soil top layer </t>
  </si>
  <si>
    <t xml:space="preserve">nitrogen </t>
  </si>
  <si>
    <t>A variable that specifies nitrogen simulation: 0 for non-N-limited conditions, 1 for legumes N-limited conditions, and 2 for non-legumes N-limited conditions</t>
  </si>
  <si>
    <t xml:space="preserve">NLEACH </t>
  </si>
  <si>
    <t xml:space="preserve">Daily rate of nitrogen leached from the top layer </t>
  </si>
  <si>
    <t xml:space="preserve">NLF </t>
  </si>
  <si>
    <t xml:space="preserve">Accumulated nitrogen in leaves  </t>
  </si>
  <si>
    <t xml:space="preserve">NMIN </t>
  </si>
  <si>
    <t xml:space="preserve">Daily rate of soil nitrogen mineralization </t>
  </si>
  <si>
    <t xml:space="preserve">NO3 </t>
  </si>
  <si>
    <t xml:space="preserve">Amount of nitrogen in NO3 from in soil top layer </t>
  </si>
  <si>
    <t xml:space="preserve">NORG </t>
  </si>
  <si>
    <t xml:space="preserve">Amount of soil organic nitrogen in top layer </t>
  </si>
  <si>
    <t>NORGP</t>
  </si>
  <si>
    <t xml:space="preserve">Percentage soil organic nitrogen </t>
  </si>
  <si>
    <t xml:space="preserve">NSOL </t>
  </si>
  <si>
    <t xml:space="preserve">Total soil nitrogen in soil solution </t>
  </si>
  <si>
    <t xml:space="preserve">NST </t>
  </si>
  <si>
    <t xml:space="preserve">Accumulated nitrogen in stems </t>
  </si>
  <si>
    <t xml:space="preserve">NSTDF </t>
  </si>
  <si>
    <t xml:space="preserve">Amount of nitrogen required to bring stem nitrogen concentration to its target concentration </t>
  </si>
  <si>
    <t xml:space="preserve">NUP </t>
  </si>
  <si>
    <t>Daily rate of nitrogen accumulation in crop above-ground organs</t>
  </si>
  <si>
    <t xml:space="preserve">NVOL </t>
  </si>
  <si>
    <t xml:space="preserve">PDEN </t>
  </si>
  <si>
    <t># m-2</t>
  </si>
  <si>
    <t>Plant density</t>
  </si>
  <si>
    <t>pdoy</t>
  </si>
  <si>
    <t>Day of year (1-365) when crop is sown</t>
  </si>
  <si>
    <t xml:space="preserve">PET </t>
  </si>
  <si>
    <t xml:space="preserve">Potential evapotranspiration </t>
  </si>
  <si>
    <t xml:space="preserve">PHYL </t>
  </si>
  <si>
    <t xml:space="preserve">oC per leaf </t>
  </si>
  <si>
    <t xml:space="preserve">Phyllochron </t>
  </si>
  <si>
    <t xml:space="preserve">PLA1 </t>
  </si>
  <si>
    <t>cm2 per plant</t>
  </si>
  <si>
    <t xml:space="preserve">Plant leaf area yesterday </t>
  </si>
  <si>
    <t xml:space="preserve">PLA2 </t>
  </si>
  <si>
    <t>Plant leaf area today</t>
  </si>
  <si>
    <t xml:space="preserve">PLACON </t>
  </si>
  <si>
    <t xml:space="preserve">A coefficient (constant) in power relationship between plant leaf area and mainstem node number </t>
  </si>
  <si>
    <t xml:space="preserve">PLAPOW </t>
  </si>
  <si>
    <t xml:space="preserve">A coefficient (exponent) in power relationship between plant leaf area and mainstem node number </t>
  </si>
  <si>
    <t>pyear</t>
  </si>
  <si>
    <t>Year of sowing</t>
  </si>
  <si>
    <t xml:space="preserve">RAIN </t>
  </si>
  <si>
    <t xml:space="preserve">Daily rainfall </t>
  </si>
  <si>
    <t xml:space="preserve">RN </t>
  </si>
  <si>
    <t xml:space="preserve">A coefficient indicating soil moisture effect on nitrogen mineralization </t>
  </si>
  <si>
    <t xml:space="preserve">RUE </t>
  </si>
  <si>
    <t>Radiation use efficiency adjusted for temperature and water stress</t>
  </si>
  <si>
    <t xml:space="preserve">RUNOF </t>
  </si>
  <si>
    <t xml:space="preserve">Daily run-off </t>
  </si>
  <si>
    <t xml:space="preserve">S </t>
  </si>
  <si>
    <t xml:space="preserve">Soil retention parameter in calculation of run-off </t>
  </si>
  <si>
    <t xml:space="preserve">SALB </t>
  </si>
  <si>
    <t xml:space="preserve">SAT </t>
  </si>
  <si>
    <t>Volumetric soil water content at saturation</t>
  </si>
  <si>
    <t xml:space="preserve">SEVP </t>
  </si>
  <si>
    <t xml:space="preserve">Actual soil evaporation </t>
  </si>
  <si>
    <t xml:space="preserve">SGR </t>
  </si>
  <si>
    <t xml:space="preserve">Daily increase in seeds (grains) dry matter </t>
  </si>
  <si>
    <t xml:space="preserve">SLA </t>
  </si>
  <si>
    <t>m2 g-1</t>
  </si>
  <si>
    <t xml:space="preserve">Specific leaf area </t>
  </si>
  <si>
    <t xml:space="preserve">SLNG </t>
  </si>
  <si>
    <t>Specific leaf nitrogen in green leaves (target)</t>
  </si>
  <si>
    <t xml:space="preserve">SLNS </t>
  </si>
  <si>
    <t>Specific leaf nitrogen in senesced leaves (minimum)</t>
  </si>
  <si>
    <t xml:space="preserve">SNAVL </t>
  </si>
  <si>
    <t xml:space="preserve">Soil available nitrogen </t>
  </si>
  <si>
    <t>SNCG</t>
  </si>
  <si>
    <t xml:space="preserve">Stem nitrogen concentration in green stems (target) </t>
  </si>
  <si>
    <t xml:space="preserve">SNCS </t>
  </si>
  <si>
    <t xml:space="preserve">Stem nitrogen concentration in senesced stems (minimum) </t>
  </si>
  <si>
    <t>SOILM</t>
  </si>
  <si>
    <t xml:space="preserve">Soil weight in top layer </t>
  </si>
  <si>
    <t xml:space="preserve">SOLDEP </t>
  </si>
  <si>
    <t xml:space="preserve">Soil depth </t>
  </si>
  <si>
    <t>MJ m-2 d-1</t>
  </si>
  <si>
    <t xml:space="preserve">Solar radiation </t>
  </si>
  <si>
    <t xml:space="preserve">SWER </t>
  </si>
  <si>
    <t>TBD</t>
  </si>
  <si>
    <t xml:space="preserve">oC  </t>
  </si>
  <si>
    <t xml:space="preserve">Base temperature for development </t>
  </si>
  <si>
    <t>TBRUE</t>
  </si>
  <si>
    <t xml:space="preserve">Base temperature for dry matter production </t>
  </si>
  <si>
    <t>TCD</t>
  </si>
  <si>
    <t xml:space="preserve">Ceiling temperature for development </t>
  </si>
  <si>
    <t xml:space="preserve">TCFRUE </t>
  </si>
  <si>
    <t xml:space="preserve">A correction factor of radiation use efficiency for daily temperature </t>
  </si>
  <si>
    <t xml:space="preserve">TCRUE </t>
  </si>
  <si>
    <t xml:space="preserve">Ceiling temperature for dry matter production </t>
  </si>
  <si>
    <t xml:space="preserve">TD </t>
  </si>
  <si>
    <t>Air temperature during the day</t>
  </si>
  <si>
    <t xml:space="preserve">TEC </t>
  </si>
  <si>
    <t xml:space="preserve">Transpiration efficiency coefficient </t>
  </si>
  <si>
    <t xml:space="preserve">tempfun </t>
  </si>
  <si>
    <t xml:space="preserve">Temperature function (0-1) for development </t>
  </si>
  <si>
    <t xml:space="preserve">Maximum temperature </t>
  </si>
  <si>
    <t xml:space="preserve">TMIN </t>
  </si>
  <si>
    <t xml:space="preserve">Minimum temperature </t>
  </si>
  <si>
    <t xml:space="preserve">Average daily temperature </t>
  </si>
  <si>
    <t xml:space="preserve">TMPS </t>
  </si>
  <si>
    <t xml:space="preserve">Soil temperature </t>
  </si>
  <si>
    <t>TP1D</t>
  </si>
  <si>
    <t xml:space="preserve">Lower optimum temperature for development </t>
  </si>
  <si>
    <t>TP1RUE</t>
  </si>
  <si>
    <t xml:space="preserve">Lower optimum temperature for dry matter production </t>
  </si>
  <si>
    <t>TP2D</t>
  </si>
  <si>
    <t xml:space="preserve">Upper optimum temperature for development </t>
  </si>
  <si>
    <t>TP2RUE</t>
  </si>
  <si>
    <t xml:space="preserve">Upper optimum temperature for dry matter production </t>
  </si>
  <si>
    <t xml:space="preserve">TR </t>
  </si>
  <si>
    <t xml:space="preserve">Daily transpiration </t>
  </si>
  <si>
    <t xml:space="preserve">TR1 </t>
  </si>
  <si>
    <t xml:space="preserve">Daily transpirational water that is uptaken from top layer </t>
  </si>
  <si>
    <t xml:space="preserve">TRANSL </t>
  </si>
  <si>
    <t>Daily rate of dry matter translocation from vegetative organs to grains</t>
  </si>
  <si>
    <t xml:space="preserve">TRLDM </t>
  </si>
  <si>
    <t xml:space="preserve">Total crop mass at beginning seed growth which is translocateable to grains </t>
  </si>
  <si>
    <t>ttSOWEMR</t>
  </si>
  <si>
    <t xml:space="preserve">TTSW </t>
  </si>
  <si>
    <t xml:space="preserve">Total transpirable soil water </t>
  </si>
  <si>
    <t xml:space="preserve">TTSW1 </t>
  </si>
  <si>
    <t xml:space="preserve">Total transpirable soil water at top layer </t>
  </si>
  <si>
    <t xml:space="preserve">VOLF </t>
  </si>
  <si>
    <t>VOLFI</t>
  </si>
  <si>
    <t xml:space="preserve">Volatilization factor for a N application </t>
  </si>
  <si>
    <t xml:space="preserve">VPD </t>
  </si>
  <si>
    <t>kPa</t>
  </si>
  <si>
    <t xml:space="preserve">Vapor pressure deficit </t>
  </si>
  <si>
    <t xml:space="preserve">VPDF </t>
  </si>
  <si>
    <t>A coefficient to calculate VPD; 0.65 for humid and subhumid climates and 0.75 for arid and semi-arid climates</t>
  </si>
  <si>
    <t xml:space="preserve">VPTMAX </t>
  </si>
  <si>
    <t xml:space="preserve">Air vapor pressure at maximum temperature </t>
  </si>
  <si>
    <t>VPTMIN</t>
  </si>
  <si>
    <t xml:space="preserve">Air vapor pressure at minimum temperature </t>
  </si>
  <si>
    <t xml:space="preserve">WAT1 </t>
  </si>
  <si>
    <t xml:space="preserve">Amount of soil water in top layer </t>
  </si>
  <si>
    <t xml:space="preserve">water </t>
  </si>
  <si>
    <t>A variable that specifies soil water simulation: 0 for potential production, 1 for irrigated water-limited conditions, and 2 for rainfed water-limited conditions</t>
  </si>
  <si>
    <t xml:space="preserve">WETWAT </t>
  </si>
  <si>
    <t>Amount of rain and/or irrigation required to wet top layer and bring soil evaporation from stage II to I</t>
  </si>
  <si>
    <t xml:space="preserve">WGRN </t>
  </si>
  <si>
    <t xml:space="preserve">Accumulated grain dry matter </t>
  </si>
  <si>
    <t xml:space="preserve">WLF </t>
  </si>
  <si>
    <t xml:space="preserve">Accumulated leaf dry matter </t>
  </si>
  <si>
    <t xml:space="preserve">WLL1 </t>
  </si>
  <si>
    <t xml:space="preserve">Amount of soil water in top layer at lower limit </t>
  </si>
  <si>
    <t>WSAT1</t>
  </si>
  <si>
    <t xml:space="preserve">Amount of soil water in top layer at saturation </t>
  </si>
  <si>
    <t xml:space="preserve">WSFD </t>
  </si>
  <si>
    <t>Water stress factor for development</t>
  </si>
  <si>
    <t xml:space="preserve">WSFG </t>
  </si>
  <si>
    <t>Water stress factor for growth (dry matter production)</t>
  </si>
  <si>
    <t xml:space="preserve">WSFL </t>
  </si>
  <si>
    <t xml:space="preserve">Water stress factor for leaf area development </t>
  </si>
  <si>
    <t xml:space="preserve">WSSD </t>
  </si>
  <si>
    <t xml:space="preserve">A coefficient that specifies acceleration or retradation in development in response to water deficit </t>
  </si>
  <si>
    <t>WSSG</t>
  </si>
  <si>
    <t xml:space="preserve">FTSW threshold when dry matter production starts to decline </t>
  </si>
  <si>
    <t xml:space="preserve">WSSL </t>
  </si>
  <si>
    <t xml:space="preserve">FTSW threshold when leaf area development starts to decline </t>
  </si>
  <si>
    <t xml:space="preserve">WSSN </t>
  </si>
  <si>
    <t xml:space="preserve">FTSW threshold when nitrogen fixation starts to decline </t>
  </si>
  <si>
    <t xml:space="preserve">WST </t>
  </si>
  <si>
    <t xml:space="preserve">Accumulated stem dry matter </t>
  </si>
  <si>
    <t xml:space="preserve">WSTORG </t>
  </si>
  <si>
    <t>Amount of available soil water below crop root layer</t>
  </si>
  <si>
    <t xml:space="preserve">WTOP </t>
  </si>
  <si>
    <t xml:space="preserve">Accumulated crop (above-ground) dry matter </t>
  </si>
  <si>
    <t xml:space="preserve">WTOPL </t>
  </si>
  <si>
    <t>Total crop mass when leaf partitioning coefficient turns from FLF1A to FLF1B</t>
  </si>
  <si>
    <t xml:space="preserve">WVEG </t>
  </si>
  <si>
    <t xml:space="preserve">Accumulated vegetative (leaf + stem) dry matter </t>
  </si>
  <si>
    <t xml:space="preserve">XNCON </t>
  </si>
  <si>
    <t xml:space="preserve">Nitrogen concentration in soil solution used in calculation of nitrogen denitrification </t>
  </si>
  <si>
    <t xml:space="preserve">XNLF </t>
  </si>
  <si>
    <t xml:space="preserve">Daily rate of nitrogen mobilized from leaves </t>
  </si>
  <si>
    <t xml:space="preserve">XNST </t>
  </si>
  <si>
    <t xml:space="preserve">Daily rate of nitrogen mobilized from stems </t>
  </si>
  <si>
    <t xml:space="preserve">Yr </t>
  </si>
  <si>
    <t xml:space="preserve">Year  </t>
  </si>
  <si>
    <t>Non-leap year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</si>
  <si>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</si>
  <si>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</si>
  <si>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</si>
  <si>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</si>
  <si>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</si>
  <si>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</si>
  <si>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</si>
  <si>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</si>
  <si>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</si>
  <si>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</si>
  <si>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</si>
  <si>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</si>
  <si>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Leap year</t>
  </si>
  <si>
    <t>ALPHA</t>
  </si>
  <si>
    <t xml:space="preserve">An intermediate variable in calculation of photoperiod </t>
  </si>
  <si>
    <t>bd</t>
  </si>
  <si>
    <t>Biological day per calindar day</t>
  </si>
  <si>
    <t>bdBRP</t>
  </si>
  <si>
    <t>Biological day when response to photoperiod begins</t>
  </si>
  <si>
    <t>bdBRV</t>
  </si>
  <si>
    <t>Biological day when response to vernalization begins</t>
  </si>
  <si>
    <t>bdTRP</t>
  </si>
  <si>
    <t>Biological day when response to photoperiod terminates</t>
  </si>
  <si>
    <t>bdTRV</t>
  </si>
  <si>
    <t>Biological day when response to vernalization terminates</t>
  </si>
  <si>
    <t>CBD</t>
  </si>
  <si>
    <t>Cumulative biological days</t>
  </si>
  <si>
    <t>CEDSOC</t>
  </si>
  <si>
    <t>cpp</t>
  </si>
  <si>
    <t>h</t>
  </si>
  <si>
    <t>Critical photoperiod</t>
  </si>
  <si>
    <t>CUMVER</t>
  </si>
  <si>
    <t>Cumulative vernalization days</t>
  </si>
  <si>
    <t>DEC</t>
  </si>
  <si>
    <t>DL</t>
  </si>
  <si>
    <t>Day length</t>
  </si>
  <si>
    <t>DTBRP</t>
  </si>
  <si>
    <t xml:space="preserve">Days from sowing to beginning response to photoperiod </t>
  </si>
  <si>
    <t>DTTRP</t>
  </si>
  <si>
    <t xml:space="preserve">Days from sowing to termination response to photoperiod </t>
  </si>
  <si>
    <t>LANDA</t>
  </si>
  <si>
    <t>LAT</t>
  </si>
  <si>
    <t>o</t>
  </si>
  <si>
    <t>Latitude of location (negative for south latitudes)</t>
  </si>
  <si>
    <t>MAT</t>
  </si>
  <si>
    <t xml:space="preserve">A variable that indicate crop maturity. It has a value of 0 before crop maturity and 1 at crop maturity. </t>
  </si>
  <si>
    <t>Pi</t>
  </si>
  <si>
    <t>Pi number (3.14)</t>
  </si>
  <si>
    <t>pp</t>
  </si>
  <si>
    <t>Photoperiod duration</t>
  </si>
  <si>
    <t>ppfun</t>
  </si>
  <si>
    <t>Photoperiod function</t>
  </si>
  <si>
    <t>ppres</t>
  </si>
  <si>
    <t>Photoperiod response: 1=long day plant, 2=short day plant</t>
  </si>
  <si>
    <t>ppsen</t>
  </si>
  <si>
    <t>Photoperiod sensitivity coefficient</t>
  </si>
  <si>
    <t>RDN</t>
  </si>
  <si>
    <t>A constant to convert degree to radian</t>
  </si>
  <si>
    <t>SABH</t>
  </si>
  <si>
    <t>Sun angle below horizon</t>
  </si>
  <si>
    <t>SNOMLT</t>
  </si>
  <si>
    <t xml:space="preserve">cm </t>
  </si>
  <si>
    <t>Depth of melted snow</t>
  </si>
  <si>
    <t>SNOW</t>
  </si>
  <si>
    <t>Snow depth</t>
  </si>
  <si>
    <t>SOCRA</t>
  </si>
  <si>
    <t>TALSOC</t>
  </si>
  <si>
    <t>TBVER</t>
  </si>
  <si>
    <t>Base temperature for vernalization</t>
  </si>
  <si>
    <t>TCVER</t>
  </si>
  <si>
    <t>Ceiling temperature for vernalization</t>
  </si>
  <si>
    <t>TMAXCR</t>
  </si>
  <si>
    <t>Crowm maximum temperature</t>
  </si>
  <si>
    <t>TMINCR</t>
  </si>
  <si>
    <t xml:space="preserve">Crown minimum temperature </t>
  </si>
  <si>
    <t>TMPCR</t>
  </si>
  <si>
    <t>Crown mean temperature</t>
  </si>
  <si>
    <t>TP1VER</t>
  </si>
  <si>
    <t>Lower optimum temperature for vernalization</t>
  </si>
  <si>
    <t>TP2VER</t>
  </si>
  <si>
    <t>Upper optimum temperature for vernalization</t>
  </si>
  <si>
    <t>VDSAT</t>
  </si>
  <si>
    <t>Number of vernalization days which saturates vernalization response</t>
  </si>
  <si>
    <t>VERDAY</t>
  </si>
  <si>
    <t>d d-1</t>
  </si>
  <si>
    <t>Vernalization day per calinare day</t>
  </si>
  <si>
    <t>verfun</t>
  </si>
  <si>
    <t>Vernalization function</t>
  </si>
  <si>
    <t>vsen</t>
  </si>
  <si>
    <t>Vernalization sensitivity coefficient</t>
  </si>
  <si>
    <t>vzres</t>
  </si>
  <si>
    <t xml:space="preserve">Vernalization response: 1 if crop respond to vernalization. Otherwise it has a value of 0. </t>
  </si>
  <si>
    <t>CTU</t>
  </si>
  <si>
    <t>Cumulative temperature unit</t>
  </si>
  <si>
    <t>DELT</t>
  </si>
  <si>
    <t>mbar oK-1</t>
  </si>
  <si>
    <t xml:space="preserve">Slope of satuated vapor pressure versus temperature for daily temperature </t>
  </si>
  <si>
    <t>DNF</t>
  </si>
  <si>
    <t>Actual rate of biological nitrogen fixation</t>
  </si>
  <si>
    <t>DTU</t>
  </si>
  <si>
    <t>Daily temperature unit</t>
  </si>
  <si>
    <t>NFC</t>
  </si>
  <si>
    <t>Coefficient of biological nitrogen fixation per unit vegetative mass</t>
  </si>
  <si>
    <t>PDNF</t>
  </si>
  <si>
    <t>Potential rate of biological nitrogen fixation</t>
  </si>
  <si>
    <t>tuBNF</t>
  </si>
  <si>
    <t>Temperature unit from sowing to beginning biological nitrogen fixation (in legume crops)</t>
  </si>
  <si>
    <t xml:space="preserve">tuBRG </t>
  </si>
  <si>
    <t>Temperature unit from sowing to beginning root growth</t>
  </si>
  <si>
    <t xml:space="preserve">tuBSG </t>
  </si>
  <si>
    <t xml:space="preserve">Temperature unit from sowing to beginning seed growth </t>
  </si>
  <si>
    <t>tuBSGTSG</t>
  </si>
  <si>
    <t>Temperature unit from beginning seed growth to termination seed growth</t>
  </si>
  <si>
    <t xml:space="preserve">tuEMR </t>
  </si>
  <si>
    <t xml:space="preserve">Temperature unit from sowing to emergence </t>
  </si>
  <si>
    <t>tuEMRTLM</t>
  </si>
  <si>
    <t>Temperature unit from emergence to termination leaf growth on main stem</t>
  </si>
  <si>
    <t xml:space="preserve">tuMAT </t>
  </si>
  <si>
    <t xml:space="preserve">Temperature unit from sowing to maturity </t>
  </si>
  <si>
    <t xml:space="preserve">tuTLM </t>
  </si>
  <si>
    <t>Temperature unit from sowing to termination leaf growth on mainstem</t>
  </si>
  <si>
    <t>tuTLMBSG</t>
  </si>
  <si>
    <t xml:space="preserve">Temperature unit from termination leaf growth on mainstem to beginning seed growth </t>
  </si>
  <si>
    <t xml:space="preserve">tuTRG </t>
  </si>
  <si>
    <t>Temperature unit from sowing to termination root growth</t>
  </si>
  <si>
    <t xml:space="preserve">tuTSG </t>
  </si>
  <si>
    <t xml:space="preserve">Temperature unit from sowing to termination seed growth </t>
  </si>
  <si>
    <t>tuTSGMAT</t>
  </si>
  <si>
    <t>Temperature unit from termination seed growth to maturity</t>
  </si>
  <si>
    <t xml:space="preserve">vsen = </t>
  </si>
  <si>
    <t xml:space="preserve">cpp = </t>
  </si>
  <si>
    <t xml:space="preserve">ppsen = </t>
  </si>
  <si>
    <t xml:space="preserve">PDHI = </t>
  </si>
  <si>
    <t xml:space="preserve">WDHI1 = </t>
  </si>
  <si>
    <t xml:space="preserve">WDHI2 = </t>
  </si>
  <si>
    <t xml:space="preserve">WDHI3 = </t>
  </si>
  <si>
    <t xml:space="preserve">WDHI4 = </t>
  </si>
  <si>
    <t>g/m2</t>
  </si>
  <si>
    <t>g/g/d</t>
  </si>
  <si>
    <t>for PDEN=300</t>
  </si>
  <si>
    <t>nitrogen = 2   for N-limited conditions</t>
  </si>
  <si>
    <t>Main-stem node number:</t>
  </si>
  <si>
    <t>* For definition of abbreviations refer to 'Help' sheet</t>
  </si>
  <si>
    <t xml:space="preserve">FLDKL = </t>
  </si>
  <si>
    <t xml:space="preserve">TKILL = </t>
  </si>
  <si>
    <t xml:space="preserve">FRZLDR = </t>
  </si>
  <si>
    <t>m2/m2/oC</t>
  </si>
  <si>
    <t>Cum. leaf N (g.m-2):</t>
  </si>
  <si>
    <t>Cum. stem N (g.m-2):</t>
  </si>
  <si>
    <t>Cum. vegetative N (g.m-2):</t>
  </si>
  <si>
    <t>Cum. grain N (g.m-2):</t>
  </si>
  <si>
    <t>Cum. total N (g.m-2):</t>
  </si>
  <si>
    <t>Soil N at sowing (g.m-2):</t>
  </si>
  <si>
    <t>Cum. fertilizer N (g.m-2):</t>
  </si>
  <si>
    <t>Cum N minaralization (g.m-2):</t>
  </si>
  <si>
    <t>Soil N at maturity (g.m-2):</t>
  </si>
  <si>
    <t>Cum. crop uptake (g.m-2):</t>
  </si>
  <si>
    <t>Cum. N volatilization (g.m-2):</t>
  </si>
  <si>
    <t>Cum. N leaching (g.m-2):</t>
  </si>
  <si>
    <t>Cum. N denitrification (g.m-2):</t>
  </si>
  <si>
    <t>DAP/CBD</t>
  </si>
  <si>
    <t>Ref: Modeling Physiology of Crop Development, Growth and Yield (2012) Soltani &amp; Sinclair</t>
  </si>
  <si>
    <t>Location</t>
  </si>
  <si>
    <t>Latitute</t>
  </si>
  <si>
    <t>VPDF</t>
  </si>
  <si>
    <t>Description</t>
  </si>
  <si>
    <t>&lt;--- MangRowNo</t>
  </si>
  <si>
    <t>Code</t>
  </si>
  <si>
    <t>Description:</t>
  </si>
  <si>
    <t>FixFind</t>
  </si>
  <si>
    <t>Fyear</t>
  </si>
  <si>
    <t>IRGLVL</t>
  </si>
  <si>
    <t>&lt;-- SoilRowNo</t>
  </si>
  <si>
    <t>SALB</t>
  </si>
  <si>
    <t>CN2</t>
  </si>
  <si>
    <t>LDRAIN</t>
  </si>
  <si>
    <t>NLYER</t>
  </si>
  <si>
    <t>CropColNo --&gt;</t>
  </si>
  <si>
    <t>WthFirstRow</t>
  </si>
  <si>
    <t xml:space="preserve">No of scenarios = </t>
  </si>
  <si>
    <t xml:space="preserve">Scenario </t>
  </si>
  <si>
    <t>LocRowNo</t>
  </si>
  <si>
    <t>MangRowNo</t>
  </si>
  <si>
    <t>SoilRowNo</t>
  </si>
  <si>
    <t>CropColNo</t>
  </si>
  <si>
    <t>INPUTS:</t>
  </si>
  <si>
    <t>&lt;-- LocRowNo</t>
  </si>
  <si>
    <r>
      <t>SUMMARY OUTPUTS (</t>
    </r>
    <r>
      <rPr>
        <b/>
        <u/>
        <sz val="14"/>
        <color indexed="10"/>
        <rFont val="Arial"/>
        <family val="2"/>
      </rPr>
      <t>for when no of scenarios=1 &amp; no of years of simulation =1</t>
    </r>
    <r>
      <rPr>
        <b/>
        <sz val="14"/>
        <rFont val="Arial"/>
        <family val="2"/>
      </rPr>
      <t>):</t>
    </r>
  </si>
  <si>
    <t>Weather File Path &amp; Name</t>
  </si>
  <si>
    <t>mm/bd</t>
  </si>
  <si>
    <t>U</t>
  </si>
  <si>
    <t>bdSOWEMR</t>
  </si>
  <si>
    <t>bdEMRTIL</t>
  </si>
  <si>
    <t>bdTILSEL</t>
  </si>
  <si>
    <t>bdSELBOT</t>
  </si>
  <si>
    <t>bdBOTEAR</t>
  </si>
  <si>
    <t>bdEARANT</t>
  </si>
  <si>
    <t>bdANTPM</t>
  </si>
  <si>
    <t>bdPMHM</t>
  </si>
  <si>
    <t xml:space="preserve">water = </t>
  </si>
  <si>
    <t>DAP-, CBD- or DOY-based:</t>
  </si>
  <si>
    <t>DAP/CBD/DOY</t>
  </si>
  <si>
    <t>Amount</t>
  </si>
  <si>
    <t>(mm)</t>
  </si>
  <si>
    <t xml:space="preserve">(-) </t>
  </si>
  <si>
    <t>No</t>
  </si>
  <si>
    <t xml:space="preserve">Number of irrig. = </t>
  </si>
  <si>
    <t>water = 3   for fixed irrigation at defined time(s)</t>
  </si>
  <si>
    <t>LAI at anthesis:</t>
  </si>
  <si>
    <t>Crop mass at anthesis (g.m-2):</t>
  </si>
  <si>
    <t>biological days from sowing to emergence</t>
  </si>
  <si>
    <t>biological days from emergence to first-tiller</t>
  </si>
  <si>
    <t>biological days from first-tiller to first-node (stem-elongation)</t>
  </si>
  <si>
    <t>biological days from first-node to booting (ligule of flag leaf visible)</t>
  </si>
  <si>
    <t>biological days from booting to ear emergence</t>
  </si>
  <si>
    <t>biological days from ear emergence to anthesis</t>
  </si>
  <si>
    <t>biological days from anthesis to physiological maturity</t>
  </si>
  <si>
    <t>biological days from physiological manturity to harvest maturity</t>
  </si>
  <si>
    <t>Critical minimum temp for leaf destruction due to frosts</t>
  </si>
  <si>
    <t>Fraction leaf destruction below the critical by each degree centigrad</t>
  </si>
  <si>
    <t>Potential slope of harvest index (DHI)</t>
  </si>
  <si>
    <t>A critical point for DHI</t>
  </si>
  <si>
    <t>Depth of roots at emergence</t>
  </si>
  <si>
    <t>Killing no. of consecutive flooding</t>
  </si>
  <si>
    <t>g m-3</t>
  </si>
  <si>
    <t>g m-4</t>
  </si>
  <si>
    <t>g m-5</t>
  </si>
  <si>
    <t>SRAINT</t>
  </si>
  <si>
    <t>MTMINT</t>
  </si>
  <si>
    <t>MTMAXT</t>
  </si>
  <si>
    <t>SSRADT</t>
  </si>
  <si>
    <t>SUMETT</t>
  </si>
  <si>
    <t>SRAIN12</t>
  </si>
  <si>
    <t>MTMIN12</t>
  </si>
  <si>
    <t>MTMAX12</t>
  </si>
  <si>
    <t>SSRAD12</t>
  </si>
  <si>
    <t>SUMET12</t>
  </si>
  <si>
    <t>SRAIN3</t>
  </si>
  <si>
    <t>MTMIN3</t>
  </si>
  <si>
    <t>MTMAX3</t>
  </si>
  <si>
    <t>SSRAD3</t>
  </si>
  <si>
    <t>SUMET3</t>
  </si>
  <si>
    <t>SRAIN2</t>
  </si>
  <si>
    <t>MTMIN2</t>
  </si>
  <si>
    <t>MTMAX2</t>
  </si>
  <si>
    <t>SSRAD2</t>
  </si>
  <si>
    <t>SUMET2</t>
  </si>
  <si>
    <t>Cumulative rainfall from sowing to PM</t>
  </si>
  <si>
    <t>Average TMIN from sowing to PM</t>
  </si>
  <si>
    <t>Average TMAX from sowing to PM</t>
  </si>
  <si>
    <t>Cumulative radiation from sowing to PM</t>
  </si>
  <si>
    <t>Cumulative ET from sowing to PM</t>
  </si>
  <si>
    <t>MJ/m2</t>
  </si>
  <si>
    <t>Cumulative rainfall from sowing to anthesis</t>
  </si>
  <si>
    <t>Average TMIN from sowing to  anthesis</t>
  </si>
  <si>
    <t>Average TMAX from sowing to  anthesis</t>
  </si>
  <si>
    <t>Cumulative radiation from sowing to  anthesis</t>
  </si>
  <si>
    <t>Cumulative ET from sowing to  anthesis</t>
  </si>
  <si>
    <t>Cumulative rainfall from anthesis to PM</t>
  </si>
  <si>
    <t>Average TMIN from anthesis to PM</t>
  </si>
  <si>
    <t>Average TMAX from anthesis to PM</t>
  </si>
  <si>
    <t>Cumulative radiation from anthesis to PM</t>
  </si>
  <si>
    <t>Cumulative ET from anthesis to PM</t>
  </si>
  <si>
    <t>Cumulative rainfall from stem elongation to anthesis</t>
  </si>
  <si>
    <t>Average TMIN fromstem elongation to anthesis</t>
  </si>
  <si>
    <t>Average TMAX fromstem elongation to anthesis</t>
  </si>
  <si>
    <t>Cumulative radiation fromstem elongation to anthesis</t>
  </si>
  <si>
    <t>Cumulative ET fromstem elongation to anthesis</t>
  </si>
  <si>
    <t>SowWat</t>
  </si>
  <si>
    <t>SowTmp</t>
  </si>
  <si>
    <t>yrno</t>
  </si>
  <si>
    <t>Fpdoy</t>
  </si>
  <si>
    <t>SimDoy</t>
  </si>
  <si>
    <t>Far</t>
  </si>
  <si>
    <t>Ord</t>
  </si>
  <si>
    <t>Kho</t>
  </si>
  <si>
    <t>Tir</t>
  </si>
  <si>
    <t>Mor</t>
  </si>
  <si>
    <t>Sha</t>
  </si>
  <si>
    <t>Meh</t>
  </si>
  <si>
    <t>Aba</t>
  </si>
  <si>
    <t>Aza</t>
  </si>
  <si>
    <t>Dey</t>
  </si>
  <si>
    <t>Bah</t>
  </si>
  <si>
    <t>Esf</t>
  </si>
  <si>
    <t>Pden</t>
  </si>
  <si>
    <t xml:space="preserve">HeatTH = </t>
  </si>
  <si>
    <t xml:space="preserve">FrzTh = </t>
  </si>
  <si>
    <t xml:space="preserve">HtLDR = </t>
  </si>
  <si>
    <t xml:space="preserve">FrzLDR = </t>
  </si>
  <si>
    <t xml:space="preserve">GNCmax = </t>
  </si>
  <si>
    <t xml:space="preserve">WSSN = </t>
  </si>
  <si>
    <t xml:space="preserve">bdBRP = </t>
  </si>
  <si>
    <t xml:space="preserve">bdTRP = </t>
  </si>
  <si>
    <t xml:space="preserve">bdBSG = </t>
  </si>
  <si>
    <t xml:space="preserve">bdTSG = </t>
  </si>
  <si>
    <t xml:space="preserve">bdTLM = </t>
  </si>
  <si>
    <t xml:space="preserve">bdTLP = </t>
  </si>
  <si>
    <t xml:space="preserve">bdBLS = </t>
  </si>
  <si>
    <t xml:space="preserve">bdBNF = </t>
  </si>
  <si>
    <t>Days to R0 (first tiller):</t>
  </si>
  <si>
    <t>Days to R1 (first node):</t>
  </si>
  <si>
    <t>Days to R2 (booting):</t>
  </si>
  <si>
    <t>Days to R3 (ear emergence):</t>
  </si>
  <si>
    <t>Days to R4 (anthesis):</t>
  </si>
  <si>
    <t>Days to R5 (beg. seed growth):</t>
  </si>
  <si>
    <t>Days to R6 (termin. seed growth):</t>
  </si>
  <si>
    <t>Days to R7 (physiological maturity):</t>
  </si>
  <si>
    <t>Days to R8 (harvest maturity):</t>
  </si>
  <si>
    <t>LL</t>
  </si>
  <si>
    <t>iniWL</t>
  </si>
  <si>
    <t>ADRY</t>
  </si>
  <si>
    <t xml:space="preserve">First Scenario Row = </t>
  </si>
  <si>
    <t>Lpdoy</t>
  </si>
  <si>
    <t xml:space="preserve">GNCmin = </t>
  </si>
  <si>
    <r>
      <t>Contact us:</t>
    </r>
    <r>
      <rPr>
        <b/>
        <sz val="11"/>
        <rFont val="Arial"/>
        <family val="2"/>
      </rPr>
      <t xml:space="preserve"> Afshin.Soltani@gmail.com</t>
    </r>
  </si>
  <si>
    <t>A simple crop model for potential, water- and N-limited conditions for wheat, maize and grain legumes.</t>
  </si>
  <si>
    <t>STBLW</t>
  </si>
  <si>
    <t>StopDAP</t>
  </si>
  <si>
    <t>MAI  = iniWL</t>
  </si>
  <si>
    <t>iniWL = MAI</t>
  </si>
  <si>
    <t>Ble_Dur_1</t>
  </si>
  <si>
    <t>345_-65</t>
  </si>
  <si>
    <t>Climatic data / Morocco / Latitude = 34,5 , Longitude= -6,5</t>
  </si>
  <si>
    <t>Longitude</t>
  </si>
  <si>
    <t>275_-25</t>
  </si>
  <si>
    <t>Climatic data / Morocco / Latitude = 27,5 , Longitude= -2,5</t>
  </si>
  <si>
    <t>275_-35</t>
  </si>
  <si>
    <t>Climatic data / Morocco / Latitude = 27,5 , Longitude= -3,5</t>
  </si>
  <si>
    <t>275_-45</t>
  </si>
  <si>
    <t>Climatic data / Morocco / Latitude = 27,5 , Longitude= -4,5</t>
  </si>
  <si>
    <t>275_-55</t>
  </si>
  <si>
    <t>Climatic data / Morocco / Latitude = 27,5 , Longitude= -5,5</t>
  </si>
  <si>
    <t>275_-65</t>
  </si>
  <si>
    <t>Climatic data / Morocco / Latitude = 27,5 , Longitude= -6,5</t>
  </si>
  <si>
    <t>275_-75</t>
  </si>
  <si>
    <t>Climatic data / Morocco / Latitude = 27,5 , Longitude= -7,5</t>
  </si>
  <si>
    <t>275_-85</t>
  </si>
  <si>
    <t>Climatic data / Morocco / Latitude = 27,5 , Longitude= -8,5</t>
  </si>
  <si>
    <t>275_-95</t>
  </si>
  <si>
    <t>Climatic data / Morocco / Latitude = 27,5 , Longitude= -9,5</t>
  </si>
  <si>
    <t>275_-105</t>
  </si>
  <si>
    <t>Climatic data / Morocco / Latitude = 27,5 , Longitude= -10,5</t>
  </si>
  <si>
    <t>275_-115</t>
  </si>
  <si>
    <t>Climatic data / Morocco / Latitude = 27,5 , Longitude= -11,5</t>
  </si>
  <si>
    <t>275_-125</t>
  </si>
  <si>
    <t>Climatic data / Morocco / Latitude = 27,5 , Longitude= -12,5</t>
  </si>
  <si>
    <t>285_-15</t>
  </si>
  <si>
    <t>Climatic data / Morocco / Latitude = 28,5 , Longitude= -1,5</t>
  </si>
  <si>
    <t>285_-25</t>
  </si>
  <si>
    <t>Climatic data / Morocco / Latitude = 28,5 , Longitude= -2,5</t>
  </si>
  <si>
    <t>285_-35</t>
  </si>
  <si>
    <t>Climatic data / Morocco / Latitude = 28,5 , Longitude= -3,5</t>
  </si>
  <si>
    <t>285_-45</t>
  </si>
  <si>
    <t>Climatic data / Morocco / Latitude = 28,5 , Longitude= -4,5</t>
  </si>
  <si>
    <t>285_-55</t>
  </si>
  <si>
    <t>Climatic data / Morocco / Latitude = 28,5 , Longitude= -5,5</t>
  </si>
  <si>
    <t>285_-65</t>
  </si>
  <si>
    <t>Climatic data / Morocco / Latitude = 28,5 , Longitude= -6,5</t>
  </si>
  <si>
    <t>285_-75</t>
  </si>
  <si>
    <t>Climatic data / Morocco / Latitude = 28,5 , Longitude= -7,5</t>
  </si>
  <si>
    <t>285_-85</t>
  </si>
  <si>
    <t>Climatic data / Morocco / Latitude = 28,5 , Longitude= -8,5</t>
  </si>
  <si>
    <t>285_-95</t>
  </si>
  <si>
    <t>Climatic data / Morocco / Latitude = 28,5 , Longitude= -9,5</t>
  </si>
  <si>
    <t>285_-105</t>
  </si>
  <si>
    <t>Climatic data / Morocco / Latitude = 28,5 , Longitude= -10,5</t>
  </si>
  <si>
    <t>295_-15</t>
  </si>
  <si>
    <t>Climatic data / Morocco / Latitude = 29,5 , Longitude= -1,5</t>
  </si>
  <si>
    <t>295_-25</t>
  </si>
  <si>
    <t>Climatic data / Morocco / Latitude = 29,5 , Longitude= -2,5</t>
  </si>
  <si>
    <t>295_-35</t>
  </si>
  <si>
    <t>Climatic data / Morocco / Latitude = 29,5 , Longitude= -3,5</t>
  </si>
  <si>
    <t>295_-45</t>
  </si>
  <si>
    <t>Climatic data / Morocco / Latitude = 29,5 , Longitude= -4,5</t>
  </si>
  <si>
    <t>295_-55</t>
  </si>
  <si>
    <t>Climatic data / Morocco / Latitude = 29,5 , Longitude= -5,5</t>
  </si>
  <si>
    <t>295_-65</t>
  </si>
  <si>
    <t>Climatic data / Morocco / Latitude = 29,5 , Longitude= -6,5</t>
  </si>
  <si>
    <t>295_-75</t>
  </si>
  <si>
    <t>Climatic data / Morocco / Latitude = 29,5 , Longitude= -7,5</t>
  </si>
  <si>
    <t>295_-85</t>
  </si>
  <si>
    <t>Climatic data / Morocco / Latitude = 29,5 , Longitude= -8,5</t>
  </si>
  <si>
    <t>295_-95</t>
  </si>
  <si>
    <t>Climatic data / Morocco / Latitude = 29,5 , Longitude= -9,5</t>
  </si>
  <si>
    <t>305_-15</t>
  </si>
  <si>
    <t>Climatic data / Morocco / Latitude = 30,5 , Longitude= -1,5</t>
  </si>
  <si>
    <t>305_-25</t>
  </si>
  <si>
    <t>Climatic data / Morocco / Latitude = 30,5 , Longitude= -2,5</t>
  </si>
  <si>
    <t>305_-35</t>
  </si>
  <si>
    <t>Climatic data / Morocco / Latitude = 30,5 , Longitude= -3,5</t>
  </si>
  <si>
    <t>305_-45</t>
  </si>
  <si>
    <t>Climatic data / Morocco / Latitude = 30,5 , Longitude= -4,5</t>
  </si>
  <si>
    <t>305_-55</t>
  </si>
  <si>
    <t>Climatic data / Morocco / Latitude = 30,5 , Longitude= -5,5</t>
  </si>
  <si>
    <t>305_-65</t>
  </si>
  <si>
    <t>Climatic data / Morocco / Latitude = 30,5 , Longitude= -6,5</t>
  </si>
  <si>
    <t>305_-75</t>
  </si>
  <si>
    <t>Climatic data / Morocco / Latitude = 30,5 , Longitude= -7,5</t>
  </si>
  <si>
    <t>305_-85</t>
  </si>
  <si>
    <t>Climatic data / Morocco / Latitude = 30,5 , Longitude= -8,5</t>
  </si>
  <si>
    <t>305_-95</t>
  </si>
  <si>
    <t>Climatic data / Morocco / Latitude = 30,5 , Longitude= -9,5</t>
  </si>
  <si>
    <t>315_-15</t>
  </si>
  <si>
    <t>Climatic data / Morocco / Latitude = 31,5 , Longitude= -1,5</t>
  </si>
  <si>
    <t>315_-25</t>
  </si>
  <si>
    <t>Climatic data / Morocco / Latitude = 31,5 , Longitude= -2,5</t>
  </si>
  <si>
    <t>315_-35</t>
  </si>
  <si>
    <t>Climatic data / Morocco / Latitude = 31,5 , Longitude= -3,5</t>
  </si>
  <si>
    <t>315_-45</t>
  </si>
  <si>
    <t>Climatic data / Morocco / Latitude = 31,5 , Longitude= -4,5</t>
  </si>
  <si>
    <t>315_-55</t>
  </si>
  <si>
    <t>Climatic data / Morocco / Latitude = 31,5 , Longitude= -5,5</t>
  </si>
  <si>
    <t>315_-65</t>
  </si>
  <si>
    <t>Climatic data / Morocco / Latitude = 31,5 , Longitude= -6,5</t>
  </si>
  <si>
    <t>315_-75</t>
  </si>
  <si>
    <t>Climatic data / Morocco / Latitude = 31,5 , Longitude= -7,5</t>
  </si>
  <si>
    <t>315_-85</t>
  </si>
  <si>
    <t>Climatic data / Morocco / Latitude = 31,5 , Longitude= -8,5</t>
  </si>
  <si>
    <t>315_-95</t>
  </si>
  <si>
    <t>Climatic data / Morocco / Latitude = 31,5 , Longitude= -9,5</t>
  </si>
  <si>
    <t>325_-15</t>
  </si>
  <si>
    <t>Climatic data / Morocco / Latitude = 32,5 , Longitude= -1,5</t>
  </si>
  <si>
    <t>325_-25</t>
  </si>
  <si>
    <t>Climatic data / Morocco / Latitude = 32,5 , Longitude= -2,5</t>
  </si>
  <si>
    <t>325_-35</t>
  </si>
  <si>
    <t>Climatic data / Morocco / Latitude = 32,5 , Longitude= -3,5</t>
  </si>
  <si>
    <t>325_-45</t>
  </si>
  <si>
    <t>Climatic data / Morocco / Latitude = 32,5 , Longitude= -4,5</t>
  </si>
  <si>
    <t>325_-55</t>
  </si>
  <si>
    <t>Climatic data / Morocco / Latitude = 32,5 , Longitude= -5,5</t>
  </si>
  <si>
    <t>325_-65</t>
  </si>
  <si>
    <t>Climatic data / Morocco / Latitude = 32,5 , Longitude= -6,5</t>
  </si>
  <si>
    <t>325_-75</t>
  </si>
  <si>
    <t>Climatic data / Morocco / Latitude = 32,5 , Longitude= -7,5</t>
  </si>
  <si>
    <t>325_-85</t>
  </si>
  <si>
    <t>Climatic data / Morocco / Latitude = 32,5 , Longitude= -8,5</t>
  </si>
  <si>
    <t>335_-15</t>
  </si>
  <si>
    <t>Climatic data / Morocco / Latitude = 33,5 , Longitude= -1,5</t>
  </si>
  <si>
    <t>335_-25</t>
  </si>
  <si>
    <t>Climatic data / Morocco / Latitude = 33,5 , Longitude= -2,5</t>
  </si>
  <si>
    <t>335_-35</t>
  </si>
  <si>
    <t>Climatic data / Morocco / Latitude = 33,5 , Longitude= -3,5</t>
  </si>
  <si>
    <t>335_-45</t>
  </si>
  <si>
    <t>Climatic data / Morocco / Latitude = 33,5 , Longitude= -4,5</t>
  </si>
  <si>
    <t>335_-55</t>
  </si>
  <si>
    <t>Climatic data / Morocco / Latitude = 33,5 , Longitude= -5,5</t>
  </si>
  <si>
    <t>335_-65</t>
  </si>
  <si>
    <t>Climatic data / Morocco / Latitude = 33,5 , Longitude= -6,5</t>
  </si>
  <si>
    <t>335_-75</t>
  </si>
  <si>
    <t>Climatic data / Morocco / Latitude = 33,5 , Longitude= -7,5</t>
  </si>
  <si>
    <t>345_-15</t>
  </si>
  <si>
    <t>Climatic data / Morocco / Latitude = 34,5 , Longitude= -1,5</t>
  </si>
  <si>
    <t>345_-25</t>
  </si>
  <si>
    <t>Climatic data / Morocco / Latitude = 34,5 , Longitude= -2,5</t>
  </si>
  <si>
    <t>345_-35</t>
  </si>
  <si>
    <t>Climatic data / Morocco / Latitude = 34,5 , Longitude= -3,5</t>
  </si>
  <si>
    <t>345_-45</t>
  </si>
  <si>
    <t>Climatic data / Morocco / Latitude = 34,5 , Longitude= -4,5</t>
  </si>
  <si>
    <t>345_-55</t>
  </si>
  <si>
    <t>Climatic data / Morocco / Latitude = 34,5 , Longitude= -5,5</t>
  </si>
  <si>
    <t xml:space="preserve"> </t>
  </si>
  <si>
    <t>355_-55</t>
  </si>
  <si>
    <t>275_-135</t>
  </si>
  <si>
    <t>285_-115</t>
  </si>
  <si>
    <t>285_-125</t>
  </si>
  <si>
    <t>285_-135</t>
  </si>
  <si>
    <t>295_-105</t>
  </si>
  <si>
    <t>295_-115</t>
  </si>
  <si>
    <t>295_-125</t>
  </si>
  <si>
    <t>295_-135</t>
  </si>
  <si>
    <t>305_-105</t>
  </si>
  <si>
    <t>305_-115</t>
  </si>
  <si>
    <t>305_-125</t>
  </si>
  <si>
    <t>305_-135</t>
  </si>
  <si>
    <t>315_-105</t>
  </si>
  <si>
    <t>315_-115</t>
  </si>
  <si>
    <t>315_-125</t>
  </si>
  <si>
    <t>315_-135</t>
  </si>
  <si>
    <t>325_-95</t>
  </si>
  <si>
    <t>325_-105</t>
  </si>
  <si>
    <t>ROTATION_BLE</t>
  </si>
  <si>
    <t>ROTATION_BLE_IRRIGUE</t>
  </si>
  <si>
    <t>ROTATION_POISCHICHE</t>
  </si>
  <si>
    <t>WHEAT</t>
  </si>
  <si>
    <t>Chickpea</t>
  </si>
  <si>
    <t>Avoine_Romani</t>
  </si>
  <si>
    <t>Cocorit</t>
  </si>
  <si>
    <t>Ble_Tendre_1</t>
  </si>
  <si>
    <t>Ble_Tendre_2</t>
  </si>
  <si>
    <t>Ghab2</t>
  </si>
  <si>
    <t>BD/PC</t>
  </si>
  <si>
    <t>BD/BD/PC</t>
  </si>
  <si>
    <t>BD_IRR/PC</t>
  </si>
  <si>
    <t>BD_IRR/BD_IRR/PC</t>
  </si>
  <si>
    <t>BT1/BT1</t>
  </si>
  <si>
    <t>BT1/PC</t>
  </si>
  <si>
    <t>BT1/BT1/PC</t>
  </si>
  <si>
    <t>BT1_IRR/PC</t>
  </si>
  <si>
    <t>BT1_IRR/BT1_IRR/PC</t>
  </si>
  <si>
    <t>BT2/BT2</t>
  </si>
  <si>
    <t>BT2/PC</t>
  </si>
  <si>
    <t>BT2/BT2/PC</t>
  </si>
  <si>
    <t>BT2_IRR/PC</t>
  </si>
  <si>
    <t>BT2_IRR/BT2_IRR/PC</t>
  </si>
  <si>
    <t>sName</t>
  </si>
  <si>
    <t>Manag</t>
  </si>
  <si>
    <t>Soil</t>
  </si>
  <si>
    <t>Crop</t>
  </si>
  <si>
    <t>Pyear</t>
  </si>
  <si>
    <t>Year</t>
  </si>
  <si>
    <t>DOY</t>
  </si>
  <si>
    <t>DAP</t>
  </si>
  <si>
    <t>MSNN</t>
  </si>
  <si>
    <t>LAI</t>
  </si>
  <si>
    <t>TCFRUE</t>
  </si>
  <si>
    <t>FINT</t>
  </si>
  <si>
    <t>DDMP</t>
  </si>
  <si>
    <t>GLF</t>
  </si>
  <si>
    <t>GST</t>
  </si>
  <si>
    <t>SGR</t>
  </si>
  <si>
    <t>WLF</t>
  </si>
  <si>
    <t>WST</t>
  </si>
  <si>
    <t>WVEG</t>
  </si>
  <si>
    <t>WGRN</t>
  </si>
  <si>
    <t>WTOP</t>
  </si>
  <si>
    <t>DEPORT</t>
  </si>
  <si>
    <t>RAIN</t>
  </si>
  <si>
    <t>IRGW</t>
  </si>
  <si>
    <t>RUNOF</t>
  </si>
  <si>
    <t>PET</t>
  </si>
  <si>
    <t>SEVP</t>
  </si>
  <si>
    <t>TR</t>
  </si>
  <si>
    <t>DRAIN</t>
  </si>
  <si>
    <t>ATSWRZ</t>
  </si>
  <si>
    <t>FTSWRZ</t>
  </si>
  <si>
    <t>CRAIN</t>
  </si>
  <si>
    <t>CIRGW</t>
  </si>
  <si>
    <t>IRGNO</t>
  </si>
  <si>
    <t>CRUNOF</t>
  </si>
  <si>
    <t>CE</t>
  </si>
  <si>
    <t>CTR</t>
  </si>
  <si>
    <t>CDRAIN</t>
  </si>
  <si>
    <t>NFERT</t>
  </si>
  <si>
    <t>CNFERT</t>
  </si>
  <si>
    <t>NVOL</t>
  </si>
  <si>
    <t>CNVOL</t>
  </si>
  <si>
    <t>NLEACH</t>
  </si>
  <si>
    <t>CNLEACH</t>
  </si>
  <si>
    <t>NMIN</t>
  </si>
  <si>
    <t>CNMIN</t>
  </si>
  <si>
    <t>NDNIT</t>
  </si>
  <si>
    <t>CNDNIT</t>
  </si>
  <si>
    <t>SNAVL</t>
  </si>
  <si>
    <t>NSOL</t>
  </si>
  <si>
    <t>NUP</t>
  </si>
  <si>
    <t>NLF</t>
  </si>
  <si>
    <t>NST</t>
  </si>
  <si>
    <t>NVEG</t>
  </si>
  <si>
    <t>CNUP</t>
  </si>
  <si>
    <t>CUMBNF</t>
  </si>
  <si>
    <t>WL(1)</t>
  </si>
  <si>
    <t>WL(2)</t>
  </si>
  <si>
    <t>WL(3)</t>
  </si>
  <si>
    <t>WL(4)</t>
  </si>
  <si>
    <t>WL(5)</t>
  </si>
  <si>
    <t>WL(6)</t>
  </si>
  <si>
    <t>WL(7)</t>
  </si>
  <si>
    <t>WL(8)</t>
  </si>
  <si>
    <t>WL(9)</t>
  </si>
  <si>
    <t>WL(10)</t>
  </si>
  <si>
    <t>SWL</t>
  </si>
  <si>
    <t>Pdoy</t>
  </si>
  <si>
    <t>dtEMR</t>
  </si>
  <si>
    <t>R0.TIL.TSE</t>
  </si>
  <si>
    <t>R1.SEL.SIL</t>
  </si>
  <si>
    <t>R2.BOT</t>
  </si>
  <si>
    <t>R3.EAR</t>
  </si>
  <si>
    <t>R4.ANT</t>
  </si>
  <si>
    <t>R5.BSG</t>
  </si>
  <si>
    <t>R6.TSG</t>
  </si>
  <si>
    <t>R7.PM</t>
  </si>
  <si>
    <t>R8.MAT</t>
  </si>
  <si>
    <t>R5.ANTLAI</t>
  </si>
  <si>
    <t>R5.ANTDM</t>
  </si>
  <si>
    <t>HI</t>
  </si>
  <si>
    <t>IPASW</t>
  </si>
  <si>
    <t>ATSWSL</t>
  </si>
  <si>
    <t>ET</t>
  </si>
  <si>
    <t>E/ET</t>
  </si>
  <si>
    <t>ISOLN</t>
  </si>
  <si>
    <t>CNSOL</t>
  </si>
  <si>
    <t>MATYP</t>
  </si>
  <si>
    <t>iATSW1</t>
  </si>
  <si>
    <t>iATSW2</t>
  </si>
  <si>
    <t>iATSW3</t>
  </si>
  <si>
    <t>iATSW4</t>
  </si>
  <si>
    <t>iATSW5</t>
  </si>
  <si>
    <t>iATSW6</t>
  </si>
  <si>
    <t>iATSW7</t>
  </si>
  <si>
    <t>iATSW8</t>
  </si>
  <si>
    <t>iATSW9</t>
  </si>
  <si>
    <t>iATSW10</t>
  </si>
  <si>
    <t>iFTSW1</t>
  </si>
  <si>
    <t>iFTSW2</t>
  </si>
  <si>
    <t>iFTSW3</t>
  </si>
  <si>
    <t>iFTSW4</t>
  </si>
  <si>
    <t>iFTSW5</t>
  </si>
  <si>
    <t>iFTSW6</t>
  </si>
  <si>
    <t>iFTSW7</t>
  </si>
  <si>
    <t>iFTSW8</t>
  </si>
  <si>
    <t>iFTSW9</t>
  </si>
  <si>
    <t>iFTSW10</t>
  </si>
  <si>
    <t>iNSOL1</t>
  </si>
  <si>
    <t>iNSOL2</t>
  </si>
  <si>
    <t>iNSOL3</t>
  </si>
  <si>
    <t>iNSOL4</t>
  </si>
  <si>
    <t>iNSOL5</t>
  </si>
  <si>
    <t>iNSOL6</t>
  </si>
  <si>
    <t>iNSOL7</t>
  </si>
  <si>
    <t>iNSOL8</t>
  </si>
  <si>
    <t>iNSOL9</t>
  </si>
  <si>
    <t>iNSOL10</t>
  </si>
  <si>
    <t>fATSW1</t>
  </si>
  <si>
    <t>fATSW2</t>
  </si>
  <si>
    <t>fATSW3</t>
  </si>
  <si>
    <t>fATSW4</t>
  </si>
  <si>
    <t>fATSW5</t>
  </si>
  <si>
    <t>fATSW6</t>
  </si>
  <si>
    <t>fATSW7</t>
  </si>
  <si>
    <t>fATSW8</t>
  </si>
  <si>
    <t>fATSW9</t>
  </si>
  <si>
    <t>fATSW10</t>
  </si>
  <si>
    <t>fFTSW1</t>
  </si>
  <si>
    <t>fFTSW2</t>
  </si>
  <si>
    <t>fFTSW3</t>
  </si>
  <si>
    <t>fFTSW4</t>
  </si>
  <si>
    <t>fFTSW5</t>
  </si>
  <si>
    <t>fFTSW6</t>
  </si>
  <si>
    <t>fFTSW7</t>
  </si>
  <si>
    <t>fFTSW8</t>
  </si>
  <si>
    <t>fFTSW9</t>
  </si>
  <si>
    <t>fFTSW10</t>
  </si>
  <si>
    <t>fNSOL1</t>
  </si>
  <si>
    <t>fNSOL2</t>
  </si>
  <si>
    <t>fNSOL3</t>
  </si>
  <si>
    <t>fNSOL4</t>
  </si>
  <si>
    <t>fNSOL5</t>
  </si>
  <si>
    <t>fNSOL6</t>
  </si>
  <si>
    <t>fNSOL7</t>
  </si>
  <si>
    <t>fNSOL8</t>
  </si>
  <si>
    <t>fNSOL9</t>
  </si>
  <si>
    <t>fNSOL10</t>
  </si>
  <si>
    <t>MNORG1</t>
  </si>
  <si>
    <t>MNORG2</t>
  </si>
  <si>
    <t>MNORG3</t>
  </si>
  <si>
    <t>MNORG4</t>
  </si>
  <si>
    <t>MNORG5</t>
  </si>
  <si>
    <t>MNORG6</t>
  </si>
  <si>
    <t>MNORG7</t>
  </si>
  <si>
    <t>MNORG8</t>
  </si>
  <si>
    <t>MNORG9</t>
  </si>
  <si>
    <t>MNORG10</t>
  </si>
  <si>
    <t xml:space="preserve">PLAPOW = </t>
  </si>
  <si>
    <t>Crop:</t>
  </si>
  <si>
    <t>Culivar</t>
  </si>
  <si>
    <t xml:space="preserve">IRUE1 = </t>
  </si>
  <si>
    <t xml:space="preserve">GCF = </t>
  </si>
  <si>
    <t>g.g-1.d-1</t>
  </si>
  <si>
    <t xml:space="preserve">DEPORT = </t>
  </si>
  <si>
    <t xml:space="preserve">EED = </t>
  </si>
  <si>
    <t>mm/day</t>
  </si>
  <si>
    <t xml:space="preserve">TEC = </t>
  </si>
  <si>
    <t xml:space="preserve">CPP = </t>
  </si>
  <si>
    <t>LDP+; SDP-</t>
  </si>
  <si>
    <t xml:space="preserve">bdSOWEMR = </t>
  </si>
  <si>
    <t xml:space="preserve">bdEMRR1 = </t>
  </si>
  <si>
    <t xml:space="preserve">bdR1R3 = </t>
  </si>
  <si>
    <t xml:space="preserve">bdR3R5 = </t>
  </si>
  <si>
    <t xml:space="preserve">bdR5R7 = </t>
  </si>
  <si>
    <t xml:space="preserve">bdR7R8 = </t>
  </si>
  <si>
    <t>semethed</t>
  </si>
  <si>
    <t>semethod</t>
  </si>
  <si>
    <t>TBVER=</t>
  </si>
  <si>
    <t>TP1VER=</t>
  </si>
  <si>
    <t>TP2VER=</t>
  </si>
  <si>
    <t>TCVER =</t>
  </si>
  <si>
    <t>VDSAT=</t>
  </si>
  <si>
    <t>FLDKIL=</t>
  </si>
  <si>
    <t>vpdtp=</t>
  </si>
  <si>
    <t>VPDcr=</t>
  </si>
  <si>
    <t>EPCOND =</t>
  </si>
  <si>
    <t>LTLRWC =</t>
  </si>
  <si>
    <t>bdSOWEMR=</t>
  </si>
  <si>
    <t>bdEMRTIL=</t>
  </si>
  <si>
    <t>bdTILSEL=</t>
  </si>
  <si>
    <t>bdSELBOT=</t>
  </si>
  <si>
    <t>bdBOTEAR=</t>
  </si>
  <si>
    <t>bdEARANT=</t>
  </si>
  <si>
    <t>bdANTPM=</t>
  </si>
  <si>
    <t>bdPMHM=</t>
  </si>
  <si>
    <t>°C</t>
  </si>
  <si>
    <t>nb days</t>
  </si>
  <si>
    <t>mm.s-1</t>
  </si>
  <si>
    <t xml:space="preserve">- </t>
  </si>
  <si>
    <t>-, quadratic response</t>
  </si>
  <si>
    <t>Maize</t>
  </si>
  <si>
    <t>B73*MO17 (SC704)</t>
  </si>
  <si>
    <t>for PDEN=8</t>
  </si>
  <si>
    <t>bdEMREJU</t>
  </si>
  <si>
    <t>bdSILPM</t>
  </si>
  <si>
    <t>i</t>
  </si>
  <si>
    <t>C:\Users\helene.marrou\Dropbox\RechercheMC\development SSM model - tools\Climate\Lens_275_-25.xlsx</t>
  </si>
  <si>
    <t>C:\Users\helene.marrou\Dropbox\RechercheMC\development SSM model - tools\Climate\Lens_275_-35.xlsx</t>
  </si>
  <si>
    <t>C:\Users\helene.marrou\Dropbox\RechercheMC\development SSM model - tools\Climate\Lens_275_-45.xlsx</t>
  </si>
  <si>
    <t>C:\Users\helene.marrou\Dropbox\RechercheMC\development SSM model - tools\Climate\Lens_275_-55.xlsx</t>
  </si>
  <si>
    <t>C:\Users\helene.marrou\Dropbox\RechercheMC\development SSM model - tools\Climate\Lens_275_-65.xlsx</t>
  </si>
  <si>
    <t>C:\Users\helene.marrou\Dropbox\RechercheMC\development SSM model - tools\Climate\Lens_275_-75.xlsx</t>
  </si>
  <si>
    <t>C:\Users\helene.marrou\Dropbox\RechercheMC\development SSM model - tools\Climate\Lens_275_-85.xlsx</t>
  </si>
  <si>
    <t>C:\Users\helene.marrou\Dropbox\RechercheMC\development SSM model - tools\Climate\Lens_275_-95.xlsx</t>
  </si>
  <si>
    <t>C:\Users\helene.marrou\Dropbox\RechercheMC\development SSM model - tools\Climate\Lens_275_-105.xlsx</t>
  </si>
  <si>
    <t>C:\Users\helene.marrou\Dropbox\RechercheMC\development SSM model - tools\Climate\Lens_275_-115.xlsx</t>
  </si>
  <si>
    <t>C:\Users\helene.marrou\Dropbox\RechercheMC\development SSM model - tools\Climate\Lens_275_-125.xlsx</t>
  </si>
  <si>
    <t>C:\Users\helene.marrou\Dropbox\RechercheMC\development SSM model - tools\Climate\Lens_285_-15.xlsx</t>
  </si>
  <si>
    <t>C:\Users\helene.marrou\Dropbox\RechercheMC\development SSM model - tools\Climate\Lens_285_-25.xlsx</t>
  </si>
  <si>
    <t>C:\Users\helene.marrou\Dropbox\RechercheMC\development SSM model - tools\Climate\Lens_285_-35.xlsx</t>
  </si>
  <si>
    <t>C:\Users\helene.marrou\Dropbox\RechercheMC\development SSM model - tools\Climate\Lens_285_-45.xlsx</t>
  </si>
  <si>
    <t>C:\Users\helene.marrou\Dropbox\RechercheMC\development SSM model - tools\Climate\Lens_285_-55.xlsx</t>
  </si>
  <si>
    <t>C:\Users\helene.marrou\Dropbox\RechercheMC\development SSM model - tools\Climate\Lens_285_-65.xlsx</t>
  </si>
  <si>
    <t>C:\Users\helene.marrou\Dropbox\RechercheMC\development SSM model - tools\Climate\Lens_285_-75.xlsx</t>
  </si>
  <si>
    <t>C:\Users\helene.marrou\Dropbox\RechercheMC\development SSM model - tools\Climate\Lens_285_-85.xlsx</t>
  </si>
  <si>
    <t>C:\Users\helene.marrou\Dropbox\RechercheMC\development SSM model - tools\Climate\Lens_285_-95.xlsx</t>
  </si>
  <si>
    <t>C:\Users\helene.marrou\Dropbox\RechercheMC\development SSM model - tools\Climate\Lens_285_-105.xlsx</t>
  </si>
  <si>
    <t>C:\Users\helene.marrou\Dropbox\RechercheMC\development SSM model - tools\Climate\Lens_295_-15.xlsx</t>
  </si>
  <si>
    <t>C:\Users\helene.marrou\Dropbox\RechercheMC\development SSM model - tools\Climate\Lens_295_-25.xlsx</t>
  </si>
  <si>
    <t>C:\Users\helene.marrou\Dropbox\RechercheMC\development SSM model - tools\Climate\Lens_295_-35.xlsx</t>
  </si>
  <si>
    <t>C:\Users\helene.marrou\Dropbox\RechercheMC\development SSM model - tools\Climate\Lens_295_-45.xlsx</t>
  </si>
  <si>
    <t>C:\Users\helene.marrou\Dropbox\RechercheMC\development SSM model - tools\Climate\Lens_295_-55.xlsx</t>
  </si>
  <si>
    <t>C:\Users\helene.marrou\Dropbox\RechercheMC\development SSM model - tools\Climate\Lens_295_-65.xlsx</t>
  </si>
  <si>
    <t>C:\Users\helene.marrou\Dropbox\RechercheMC\development SSM model - tools\Climate\Lens_295_-75.xlsx</t>
  </si>
  <si>
    <t>C:\Users\helene.marrou\Dropbox\RechercheMC\development SSM model - tools\Climate\Lens_295_-85.xlsx</t>
  </si>
  <si>
    <t>C:\Users\helene.marrou\Dropbox\RechercheMC\development SSM model - tools\Climate\Lens_295_-95.xlsx</t>
  </si>
  <si>
    <t>C:\Users\helene.marrou\Dropbox\RechercheMC\development SSM model - tools\Climate\Lens_305_-15.xlsx</t>
  </si>
  <si>
    <t>C:\Users\helene.marrou\Dropbox\RechercheMC\development SSM model - tools\Climate\Lens_305_-25.xlsx</t>
  </si>
  <si>
    <t>C:\Users\helene.marrou\Dropbox\RechercheMC\development SSM model - tools\Climate\Lens_305_-35.xlsx</t>
  </si>
  <si>
    <t>C:\Users\helene.marrou\Dropbox\RechercheMC\development SSM model - tools\Climate\Lens_305_-45.xlsx</t>
  </si>
  <si>
    <t>C:\Users\helene.marrou\Dropbox\RechercheMC\development SSM model - tools\Climate\Lens_305_-55.xlsx</t>
  </si>
  <si>
    <t>C:\Users\helene.marrou\Dropbox\RechercheMC\development SSM model - tools\Climate\Lens_305_-65.xlsx</t>
  </si>
  <si>
    <t>C:\Users\helene.marrou\Dropbox\RechercheMC\development SSM model - tools\Climate\Lens_305_-75.xlsx</t>
  </si>
  <si>
    <t>C:\Users\helene.marrou\Dropbox\RechercheMC\development SSM model - tools\Climate\Lens_305_-85.xlsx</t>
  </si>
  <si>
    <t>C:\Users\helene.marrou\Dropbox\RechercheMC\development SSM model - tools\Climate\Lens_305_-95.xlsx</t>
  </si>
  <si>
    <t>C:\Users\helene.marrou\Dropbox\RechercheMC\development SSM model - tools\Climate\Lens_315_-15.xlsx</t>
  </si>
  <si>
    <t>C:\Users\helene.marrou\Dropbox\RechercheMC\development SSM model - tools\Climate\Lens_315_-25.xlsx</t>
  </si>
  <si>
    <t>C:\Users\helene.marrou\Dropbox\RechercheMC\development SSM model - tools\Climate\Lens_315_-35.xlsx</t>
  </si>
  <si>
    <t>C:\Users\helene.marrou\Dropbox\RechercheMC\development SSM model - tools\Climate\Lens_315_-45.xlsx</t>
  </si>
  <si>
    <t>C:\Users\helene.marrou\Dropbox\RechercheMC\development SSM model - tools\Climate\Lens_315_-55.xlsx</t>
  </si>
  <si>
    <t>C:\Users\helene.marrou\Dropbox\RechercheMC\development SSM model - tools\Climate\Lens_315_-65.xlsx</t>
  </si>
  <si>
    <t>C:\Users\helene.marrou\Dropbox\RechercheMC\development SSM model - tools\Climate\Lens_315_-75.xlsx</t>
  </si>
  <si>
    <t>C:\Users\helene.marrou\Dropbox\RechercheMC\development SSM model - tools\Climate\Lens_315_-85.xlsx</t>
  </si>
  <si>
    <t>C:\Users\helene.marrou\Dropbox\RechercheMC\development SSM model - tools\Climate\Lens_315_-95.xlsx</t>
  </si>
  <si>
    <t>C:\Users\helene.marrou\Dropbox\RechercheMC\development SSM model - tools\Climate\Lens_325_-15.xlsx</t>
  </si>
  <si>
    <t>C:\Users\helene.marrou\Dropbox\RechercheMC\development SSM model - tools\Climate\Lens_325_-25.xlsx</t>
  </si>
  <si>
    <t>C:\Users\helene.marrou\Dropbox\RechercheMC\development SSM model - tools\Climate\Lens_325_-35.xlsx</t>
  </si>
  <si>
    <t>C:\Users\helene.marrou\Dropbox\RechercheMC\development SSM model - tools\Climate\Lens_325_-45.xlsx</t>
  </si>
  <si>
    <t>C:\Users\helene.marrou\Dropbox\RechercheMC\development SSM model - tools\Climate\Lens_325_-55.xlsx</t>
  </si>
  <si>
    <t>C:\Users\helene.marrou\Dropbox\RechercheMC\development SSM model - tools\Climate\Lens_325_-65.xlsx</t>
  </si>
  <si>
    <t>C:\Users\helene.marrou\Dropbox\RechercheMC\development SSM model - tools\Climate\Lens_325_-75.xlsx</t>
  </si>
  <si>
    <t>C:\Users\helene.marrou\Dropbox\RechercheMC\development SSM model - tools\Climate\Lens_325_-85.xlsx</t>
  </si>
  <si>
    <t>C:\Users\helene.marrou\Dropbox\RechercheMC\development SSM model - tools\Climate\Lens_335_-15.xlsx</t>
  </si>
  <si>
    <t>C:\Users\helene.marrou\Dropbox\RechercheMC\development SSM model - tools\Climate\Lens_335_-25.xlsx</t>
  </si>
  <si>
    <t>C:\Users\helene.marrou\Dropbox\RechercheMC\development SSM model - tools\Climate\Lens_335_-35.xlsx</t>
  </si>
  <si>
    <t>C:\Users\helene.marrou\Dropbox\RechercheMC\development SSM model - tools\Climate\Lens_335_-45.xlsx</t>
  </si>
  <si>
    <t>C:\Users\helene.marrou\Dropbox\RechercheMC\development SSM model - tools\Climate\Lens_335_-55.xlsx</t>
  </si>
  <si>
    <t>C:\Users\helene.marrou\Dropbox\RechercheMC\development SSM model - tools\Climate\Lens_335_-65.xlsx</t>
  </si>
  <si>
    <t>C:\Users\helene.marrou\Dropbox\RechercheMC\development SSM model - tools\Climate\Lens_335_-75.xlsx</t>
  </si>
  <si>
    <t>C:\Users\helene.marrou\Dropbox\RechercheMC\development SSM model - tools\Climate\Lens_345_-15.xlsx</t>
  </si>
  <si>
    <t>C:\Users\helene.marrou\Dropbox\RechercheMC\development SSM model - tools\Climate\Lens_345_-25.xlsx</t>
  </si>
  <si>
    <t>C:\Users\helene.marrou\Dropbox\RechercheMC\development SSM model - tools\Climate\Lens_345_-35.xlsx</t>
  </si>
  <si>
    <t>C:\Users\helene.marrou\Dropbox\RechercheMC\development SSM model - tools\Climate\Lens_345_-45.xlsx</t>
  </si>
  <si>
    <t>C:\Users\helene.marrou\Dropbox\RechercheMC\development SSM model - tools\Climate\Lens_345_-55.xlsx</t>
  </si>
  <si>
    <t>C:\Users\helene.marrou\Dropbox\RechercheMC\development SSM model - tools\Climate\Lens_345_-65.xlsx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</si>
</sst>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44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color indexed="61"/>
      <name val="Arial"/>
      <family val="2"/>
      <charset val="178"/>
    </font>
    <font>
      <sz val="10"/>
      <color indexed="12"/>
      <name val="Arial"/>
      <family val="2"/>
      <charset val="178"/>
    </font>
    <font>
      <sz val="10"/>
      <color indexed="14"/>
      <name val="Arial"/>
      <family val="2"/>
      <charset val="178"/>
    </font>
    <font>
      <sz val="10"/>
      <color indexed="8"/>
      <name val="Arial"/>
      <family val="2"/>
      <charset val="178"/>
    </font>
    <font>
      <b/>
      <i/>
      <sz val="11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4"/>
      <color indexed="10"/>
      <name val="Arial"/>
      <family val="2"/>
    </font>
    <font>
      <b/>
      <u/>
      <sz val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C00000"/>
      <name val="Arial"/>
      <family val="2"/>
    </font>
    <font>
      <sz val="10"/>
      <color rgb="FF3366FF"/>
      <name val="Arial"/>
      <family val="2"/>
    </font>
    <font>
      <sz val="10"/>
      <color theme="0" tint="-0.499984740745262"/>
      <name val="Arial"/>
      <family val="2"/>
    </font>
    <font>
      <sz val="10"/>
      <color rgb="FF0070C0"/>
      <name val="Arial"/>
      <family val="2"/>
    </font>
    <font>
      <b/>
      <sz val="10"/>
      <color theme="0" tint="-0.499984740745262"/>
      <name val="Arial"/>
      <family val="2"/>
    </font>
    <font>
      <b/>
      <sz val="10"/>
      <color rgb="FF0070C0"/>
      <name val="Arial"/>
      <family val="2"/>
    </font>
    <font>
      <sz val="10"/>
      <color theme="0" tint="-0.34998626667073579"/>
      <name val="Arial"/>
      <family val="2"/>
    </font>
    <font>
      <b/>
      <sz val="14"/>
      <color rgb="FF800000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0" tint="-0.249977111117893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1"/>
      <color theme="0" tint="-0.1499984740745262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1FF8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60">
    <xf numFmtId="0" fontId="0" fillId="0" borderId="0" xfId="0"/>
    <xf numFmtId="0" fontId="4" fillId="2" borderId="0" xfId="0" applyFont="1" applyFill="1"/>
    <xf numFmtId="0" fontId="3" fillId="3" borderId="0" xfId="0" applyFont="1" applyFill="1"/>
    <xf numFmtId="0" fontId="0" fillId="0" borderId="0" xfId="0" applyAlignment="1">
      <alignment horizontal="center"/>
    </xf>
    <xf numFmtId="1" fontId="5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7" fillId="0" borderId="0" xfId="0" applyFont="1" applyFill="1" applyBorder="1"/>
    <xf numFmtId="0" fontId="5" fillId="2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2" borderId="0" xfId="0" applyFill="1"/>
    <xf numFmtId="0" fontId="0" fillId="0" borderId="0" xfId="0" applyFill="1"/>
    <xf numFmtId="0" fontId="5" fillId="0" borderId="0" xfId="0" applyFont="1" applyFill="1" applyBorder="1"/>
    <xf numFmtId="1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1" fontId="5" fillId="5" borderId="1" xfId="0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2" xfId="0" applyFont="1" applyFill="1" applyBorder="1"/>
    <xf numFmtId="0" fontId="0" fillId="5" borderId="1" xfId="0" applyFill="1" applyBorder="1"/>
    <xf numFmtId="1" fontId="5" fillId="4" borderId="0" xfId="0" applyNumberFormat="1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4" fillId="2" borderId="3" xfId="0" applyFont="1" applyFill="1" applyBorder="1"/>
    <xf numFmtId="0" fontId="8" fillId="5" borderId="4" xfId="0" applyFont="1" applyFill="1" applyBorder="1"/>
    <xf numFmtId="0" fontId="5" fillId="4" borderId="3" xfId="0" applyFont="1" applyFill="1" applyBorder="1"/>
    <xf numFmtId="164" fontId="5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2" fontId="5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" fontId="5" fillId="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Font="1" applyFill="1" applyAlignment="1">
      <alignment horizontal="center"/>
    </xf>
    <xf numFmtId="2" fontId="5" fillId="4" borderId="0" xfId="0" applyNumberFormat="1" applyFont="1" applyFill="1" applyBorder="1" applyAlignment="1">
      <alignment horizontal="center"/>
    </xf>
    <xf numFmtId="0" fontId="11" fillId="0" borderId="0" xfId="0" applyFont="1" applyFill="1"/>
    <xf numFmtId="0" fontId="0" fillId="2" borderId="0" xfId="0" applyFill="1" applyBorder="1"/>
    <xf numFmtId="0" fontId="7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center"/>
    </xf>
    <xf numFmtId="0" fontId="0" fillId="3" borderId="0" xfId="0" applyFill="1"/>
    <xf numFmtId="0" fontId="7" fillId="0" borderId="0" xfId="0" applyFont="1" applyFill="1"/>
    <xf numFmtId="0" fontId="5" fillId="2" borderId="0" xfId="0" applyFont="1" applyFill="1" applyBorder="1" applyAlignment="1">
      <alignment horizontal="center"/>
    </xf>
    <xf numFmtId="164" fontId="5" fillId="5" borderId="1" xfId="0" applyNumberFormat="1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0" fillId="0" borderId="0" xfId="0" applyBorder="1"/>
    <xf numFmtId="0" fontId="5" fillId="2" borderId="0" xfId="0" applyFont="1" applyFill="1" applyBorder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5" xfId="0" applyBorder="1"/>
    <xf numFmtId="0" fontId="13" fillId="0" borderId="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1" fontId="5" fillId="0" borderId="0" xfId="0" applyNumberFormat="1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6" fillId="0" borderId="0" xfId="0" applyFont="1" applyFill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5" fillId="8" borderId="0" xfId="0" applyFont="1" applyFill="1"/>
    <xf numFmtId="0" fontId="7" fillId="0" borderId="0" xfId="0" applyFont="1" applyFill="1" applyAlignment="1">
      <alignment horizontal="center"/>
    </xf>
    <xf numFmtId="0" fontId="5" fillId="6" borderId="0" xfId="0" applyFont="1" applyFill="1"/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" fontId="7" fillId="0" borderId="0" xfId="0" applyNumberFormat="1" applyFont="1" applyFill="1" applyAlignment="1">
      <alignment horizontal="center"/>
    </xf>
    <xf numFmtId="2" fontId="7" fillId="0" borderId="0" xfId="0" applyNumberFormat="1" applyFont="1" applyFill="1" applyAlignment="1">
      <alignment horizontal="center"/>
    </xf>
    <xf numFmtId="0" fontId="5" fillId="8" borderId="6" xfId="0" applyFon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5" fillId="2" borderId="9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7" fillId="0" borderId="9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9" xfId="0" applyFont="1" applyFill="1" applyBorder="1" applyAlignment="1">
      <alignment horizontal="left"/>
    </xf>
    <xf numFmtId="0" fontId="5" fillId="4" borderId="9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9" xfId="0" applyBorder="1"/>
    <xf numFmtId="0" fontId="5" fillId="2" borderId="9" xfId="0" applyFont="1" applyFill="1" applyBorder="1"/>
    <xf numFmtId="0" fontId="18" fillId="2" borderId="9" xfId="0" applyFont="1" applyFill="1" applyBorder="1"/>
    <xf numFmtId="0" fontId="12" fillId="2" borderId="9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7" fillId="0" borderId="12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23" fillId="3" borderId="0" xfId="0" applyFont="1" applyFill="1"/>
    <xf numFmtId="0" fontId="7" fillId="4" borderId="0" xfId="0" applyFont="1" applyFill="1" applyBorder="1" applyAlignment="1">
      <alignment horizontal="left"/>
    </xf>
    <xf numFmtId="0" fontId="7" fillId="4" borderId="0" xfId="0" applyFont="1" applyFill="1" applyBorder="1"/>
    <xf numFmtId="0" fontId="5" fillId="9" borderId="5" xfId="0" applyFont="1" applyFill="1" applyBorder="1"/>
    <xf numFmtId="0" fontId="5" fillId="9" borderId="5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0" fillId="9" borderId="1" xfId="0" applyFill="1" applyBorder="1"/>
    <xf numFmtId="0" fontId="5" fillId="10" borderId="0" xfId="0" applyFont="1" applyFill="1" applyBorder="1"/>
    <xf numFmtId="0" fontId="18" fillId="10" borderId="0" xfId="0" applyFont="1" applyFill="1" applyBorder="1" applyAlignment="1">
      <alignment horizontal="center"/>
    </xf>
    <xf numFmtId="0" fontId="18" fillId="10" borderId="0" xfId="0" applyFont="1" applyFill="1" applyBorder="1"/>
    <xf numFmtId="2" fontId="0" fillId="0" borderId="0" xfId="0" applyNumberFormat="1" applyFill="1" applyAlignment="1">
      <alignment horizont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7" fillId="11" borderId="0" xfId="0" applyFont="1" applyFill="1"/>
    <xf numFmtId="0" fontId="7" fillId="11" borderId="0" xfId="0" applyFont="1" applyFill="1" applyAlignment="1">
      <alignment horizontal="center"/>
    </xf>
    <xf numFmtId="0" fontId="7" fillId="11" borderId="0" xfId="0" applyFont="1" applyFill="1" applyBorder="1"/>
    <xf numFmtId="0" fontId="7" fillId="11" borderId="0" xfId="0" applyFont="1" applyFill="1" applyBorder="1" applyAlignment="1">
      <alignment horizontal="center"/>
    </xf>
    <xf numFmtId="0" fontId="5" fillId="12" borderId="0" xfId="0" applyFont="1" applyFill="1" applyAlignment="1">
      <alignment horizontal="center"/>
    </xf>
    <xf numFmtId="2" fontId="5" fillId="12" borderId="0" xfId="0" applyNumberFormat="1" applyFont="1" applyFill="1" applyAlignment="1">
      <alignment horizontal="center"/>
    </xf>
    <xf numFmtId="164" fontId="5" fillId="12" borderId="0" xfId="0" applyNumberFormat="1" applyFont="1" applyFill="1" applyAlignment="1">
      <alignment horizontal="left"/>
    </xf>
    <xf numFmtId="164" fontId="5" fillId="12" borderId="0" xfId="0" applyNumberFormat="1" applyFont="1" applyFill="1" applyAlignment="1">
      <alignment horizontal="center"/>
    </xf>
    <xf numFmtId="0" fontId="28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5" fillId="12" borderId="0" xfId="0" applyNumberFormat="1" applyFont="1" applyFill="1" applyAlignment="1">
      <alignment horizontal="center"/>
    </xf>
    <xf numFmtId="0" fontId="0" fillId="0" borderId="0" xfId="0" applyNumberFormat="1" applyAlignment="1">
      <alignment horizontal="center"/>
    </xf>
    <xf numFmtId="166" fontId="5" fillId="12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6" fontId="5" fillId="13" borderId="0" xfId="0" applyNumberFormat="1" applyFont="1" applyFill="1" applyAlignment="1">
      <alignment horizontal="center"/>
    </xf>
    <xf numFmtId="164" fontId="5" fillId="13" borderId="0" xfId="0" applyNumberFormat="1" applyFont="1" applyFill="1" applyAlignment="1">
      <alignment horizontal="center"/>
    </xf>
    <xf numFmtId="0" fontId="5" fillId="12" borderId="0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1" fontId="31" fillId="0" borderId="0" xfId="0" applyNumberFormat="1" applyFont="1" applyFill="1" applyAlignment="1">
      <alignment horizontal="center"/>
    </xf>
    <xf numFmtId="0" fontId="31" fillId="0" borderId="0" xfId="0" applyFont="1" applyFill="1" applyAlignment="1">
      <alignment horizontal="center"/>
    </xf>
    <xf numFmtId="0" fontId="5" fillId="10" borderId="0" xfId="0" applyFont="1" applyFill="1" applyBorder="1" applyAlignment="1">
      <alignment horizontal="center"/>
    </xf>
    <xf numFmtId="0" fontId="0" fillId="10" borderId="0" xfId="0" applyFill="1" applyBorder="1"/>
    <xf numFmtId="0" fontId="0" fillId="0" borderId="10" xfId="0" applyFill="1" applyBorder="1"/>
    <xf numFmtId="0" fontId="0" fillId="0" borderId="12" xfId="0" applyFill="1" applyBorder="1"/>
    <xf numFmtId="0" fontId="0" fillId="0" borderId="13" xfId="0" applyFill="1" applyBorder="1"/>
    <xf numFmtId="0" fontId="5" fillId="15" borderId="0" xfId="0" applyFont="1" applyFill="1" applyBorder="1"/>
    <xf numFmtId="0" fontId="5" fillId="15" borderId="0" xfId="0" applyFont="1" applyFill="1"/>
    <xf numFmtId="0" fontId="33" fillId="15" borderId="0" xfId="0" applyFont="1" applyFill="1" applyBorder="1"/>
    <xf numFmtId="0" fontId="33" fillId="15" borderId="0" xfId="0" applyFont="1" applyFill="1"/>
    <xf numFmtId="0" fontId="0" fillId="16" borderId="0" xfId="0" applyFill="1"/>
    <xf numFmtId="0" fontId="0" fillId="16" borderId="0" xfId="0" applyFill="1" applyBorder="1"/>
    <xf numFmtId="0" fontId="5" fillId="14" borderId="0" xfId="0" applyFont="1" applyFill="1"/>
    <xf numFmtId="0" fontId="34" fillId="14" borderId="0" xfId="0" applyFont="1" applyFill="1"/>
    <xf numFmtId="0" fontId="34" fillId="14" borderId="0" xfId="0" applyFont="1" applyFill="1" applyBorder="1"/>
    <xf numFmtId="0" fontId="5" fillId="14" borderId="0" xfId="0" applyFont="1" applyFill="1" applyAlignment="1">
      <alignment horizontal="center"/>
    </xf>
    <xf numFmtId="0" fontId="33" fillId="14" borderId="0" xfId="0" applyFont="1" applyFill="1"/>
    <xf numFmtId="0" fontId="35" fillId="0" borderId="0" xfId="0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5" fillId="0" borderId="0" xfId="0" applyFont="1"/>
    <xf numFmtId="0" fontId="34" fillId="14" borderId="0" xfId="0" applyFont="1" applyFill="1" applyAlignment="1">
      <alignment horizontal="center"/>
    </xf>
    <xf numFmtId="0" fontId="32" fillId="0" borderId="0" xfId="0" applyFont="1" applyFill="1" applyBorder="1" applyAlignment="1">
      <alignment horizontal="left"/>
    </xf>
    <xf numFmtId="0" fontId="32" fillId="0" borderId="0" xfId="0" applyFont="1"/>
    <xf numFmtId="164" fontId="5" fillId="17" borderId="0" xfId="0" applyNumberFormat="1" applyFont="1" applyFill="1" applyAlignment="1">
      <alignment horizontal="center"/>
    </xf>
    <xf numFmtId="2" fontId="5" fillId="18" borderId="0" xfId="0" applyNumberFormat="1" applyFont="1" applyFill="1" applyAlignment="1">
      <alignment horizontal="center"/>
    </xf>
    <xf numFmtId="0" fontId="31" fillId="0" borderId="0" xfId="0" applyFont="1" applyFill="1" applyBorder="1" applyAlignment="1">
      <alignment horizontal="left"/>
    </xf>
    <xf numFmtId="0" fontId="31" fillId="0" borderId="0" xfId="0" applyFont="1"/>
    <xf numFmtId="0" fontId="5" fillId="3" borderId="2" xfId="1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5" fillId="19" borderId="0" xfId="1" applyNumberFormat="1" applyFont="1" applyFill="1" applyBorder="1" applyAlignment="1">
      <alignment horizontal="center"/>
    </xf>
    <xf numFmtId="166" fontId="5" fillId="19" borderId="0" xfId="1" applyNumberFormat="1" applyFont="1" applyFill="1" applyBorder="1" applyAlignment="1">
      <alignment horizontal="center"/>
    </xf>
    <xf numFmtId="0" fontId="33" fillId="19" borderId="0" xfId="1" applyNumberFormat="1" applyFont="1" applyFill="1" applyBorder="1" applyAlignment="1">
      <alignment horizontal="center"/>
    </xf>
    <xf numFmtId="0" fontId="0" fillId="19" borderId="0" xfId="0" applyFill="1"/>
    <xf numFmtId="0" fontId="10" fillId="19" borderId="0" xfId="1" applyNumberFormat="1" applyFont="1" applyFill="1" applyBorder="1" applyAlignment="1">
      <alignment horizontal="center"/>
    </xf>
    <xf numFmtId="0" fontId="1" fillId="19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Border="1"/>
    <xf numFmtId="0" fontId="5" fillId="20" borderId="0" xfId="0" applyFont="1" applyFill="1"/>
    <xf numFmtId="0" fontId="5" fillId="20" borderId="0" xfId="0" applyFont="1" applyFill="1" applyBorder="1"/>
    <xf numFmtId="1" fontId="1" fillId="0" borderId="0" xfId="0" applyNumberFormat="1" applyFont="1" applyFill="1" applyAlignment="1">
      <alignment horizontal="center"/>
    </xf>
    <xf numFmtId="0" fontId="1" fillId="0" borderId="9" xfId="0" applyFont="1" applyBorder="1" applyAlignment="1">
      <alignment horizontal="center"/>
    </xf>
    <xf numFmtId="0" fontId="0" fillId="16" borderId="0" xfId="0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5" fillId="14" borderId="0" xfId="0" applyNumberFormat="1" applyFont="1" applyFill="1" applyAlignment="1">
      <alignment horizontal="center"/>
    </xf>
    <xf numFmtId="0" fontId="7" fillId="0" borderId="0" xfId="0" applyNumberFormat="1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37" fillId="15" borderId="0" xfId="0" applyFont="1" applyFill="1" applyBorder="1"/>
    <xf numFmtId="0" fontId="29" fillId="15" borderId="0" xfId="0" applyFont="1" applyFill="1"/>
    <xf numFmtId="0" fontId="5" fillId="8" borderId="6" xfId="1" applyFont="1" applyFill="1" applyBorder="1" applyAlignment="1">
      <alignment horizontal="left"/>
    </xf>
    <xf numFmtId="0" fontId="5" fillId="0" borderId="7" xfId="1" applyFont="1" applyFill="1" applyBorder="1" applyAlignment="1">
      <alignment horizontal="center"/>
    </xf>
    <xf numFmtId="0" fontId="5" fillId="2" borderId="9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1" fillId="0" borderId="11" xfId="1" applyFont="1" applyBorder="1" applyAlignment="1">
      <alignment horizontal="center"/>
    </xf>
    <xf numFmtId="0" fontId="7" fillId="0" borderId="12" xfId="1" applyBorder="1" applyAlignment="1">
      <alignment horizontal="center"/>
    </xf>
    <xf numFmtId="0" fontId="27" fillId="0" borderId="0" xfId="0" applyFont="1" applyAlignment="1">
      <alignment horizontal="center"/>
    </xf>
    <xf numFmtId="0" fontId="39" fillId="6" borderId="0" xfId="0" applyFont="1" applyFill="1" applyAlignment="1">
      <alignment horizontal="center"/>
    </xf>
    <xf numFmtId="0" fontId="39" fillId="3" borderId="5" xfId="0" applyFont="1" applyFill="1" applyBorder="1" applyAlignment="1">
      <alignment horizontal="center"/>
    </xf>
    <xf numFmtId="0" fontId="39" fillId="15" borderId="0" xfId="0" applyFont="1" applyFill="1" applyBorder="1" applyAlignment="1">
      <alignment horizontal="center"/>
    </xf>
    <xf numFmtId="0" fontId="39" fillId="15" borderId="0" xfId="0" applyFont="1" applyFill="1" applyAlignment="1">
      <alignment horizontal="center"/>
    </xf>
    <xf numFmtId="0" fontId="39" fillId="14" borderId="0" xfId="0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38" fillId="15" borderId="0" xfId="0" applyFont="1" applyFill="1" applyAlignment="1">
      <alignment horizontal="center"/>
    </xf>
    <xf numFmtId="0" fontId="27" fillId="16" borderId="0" xfId="0" applyFont="1" applyFill="1" applyAlignment="1">
      <alignment horizontal="center"/>
    </xf>
    <xf numFmtId="0" fontId="5" fillId="21" borderId="0" xfId="1" applyNumberFormat="1" applyFont="1" applyFill="1" applyAlignment="1">
      <alignment horizontal="center"/>
    </xf>
    <xf numFmtId="0" fontId="40" fillId="0" borderId="0" xfId="0" applyFont="1" applyFill="1"/>
    <xf numFmtId="0" fontId="40" fillId="0" borderId="0" xfId="0" applyFont="1"/>
    <xf numFmtId="0" fontId="40" fillId="0" borderId="8" xfId="0" applyFont="1" applyFill="1" applyBorder="1"/>
    <xf numFmtId="0" fontId="40" fillId="0" borderId="8" xfId="0" applyFont="1" applyBorder="1"/>
    <xf numFmtId="0" fontId="7" fillId="0" borderId="10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12" borderId="0" xfId="0" applyFont="1" applyFill="1" applyBorder="1"/>
    <xf numFmtId="0" fontId="29" fillId="12" borderId="0" xfId="0" applyFont="1" applyFill="1"/>
    <xf numFmtId="0" fontId="5" fillId="0" borderId="0" xfId="0" applyFont="1" applyAlignment="1">
      <alignment horizontal="center"/>
    </xf>
    <xf numFmtId="0" fontId="1" fillId="0" borderId="0" xfId="0" applyFont="1"/>
    <xf numFmtId="0" fontId="0" fillId="0" borderId="11" xfId="0" applyBorder="1" applyAlignment="1">
      <alignment horizontal="center"/>
    </xf>
    <xf numFmtId="0" fontId="1" fillId="0" borderId="12" xfId="1" applyFont="1" applyBorder="1" applyAlignment="1">
      <alignment horizontal="center"/>
    </xf>
    <xf numFmtId="0" fontId="7" fillId="0" borderId="0" xfId="1" applyAlignment="1">
      <alignment horizontal="center"/>
    </xf>
    <xf numFmtId="20" fontId="0" fillId="0" borderId="0" xfId="0" applyNumberFormat="1" applyFill="1" applyBorder="1"/>
    <xf numFmtId="0" fontId="1" fillId="0" borderId="0" xfId="0" applyFont="1" applyBorder="1" applyAlignment="1">
      <alignment horizontal="center"/>
    </xf>
    <xf numFmtId="0" fontId="5" fillId="15" borderId="0" xfId="0" applyFont="1" applyFill="1" applyBorder="1" applyAlignment="1">
      <alignment horizontal="left"/>
    </xf>
    <xf numFmtId="0" fontId="5" fillId="15" borderId="0" xfId="0" applyFont="1" applyFill="1" applyAlignment="1">
      <alignment horizontal="left"/>
    </xf>
    <xf numFmtId="0" fontId="35" fillId="0" borderId="0" xfId="0" applyFont="1" applyFill="1" applyAlignment="1">
      <alignment horizontal="center"/>
    </xf>
    <xf numFmtId="0" fontId="3" fillId="3" borderId="0" xfId="1" applyNumberFormat="1" applyFont="1" applyFill="1" applyAlignment="1">
      <alignment horizontal="left"/>
    </xf>
    <xf numFmtId="0" fontId="5" fillId="3" borderId="2" xfId="0" applyFont="1" applyFill="1" applyBorder="1" applyAlignment="1">
      <alignment horizontal="left"/>
    </xf>
    <xf numFmtId="0" fontId="5" fillId="19" borderId="0" xfId="0" applyFont="1" applyFill="1" applyBorder="1"/>
    <xf numFmtId="0" fontId="5" fillId="19" borderId="0" xfId="0" applyFont="1" applyFill="1"/>
    <xf numFmtId="0" fontId="33" fillId="19" borderId="0" xfId="0" applyFont="1" applyFill="1" applyBorder="1"/>
    <xf numFmtId="0" fontId="33" fillId="19" borderId="0" xfId="0" applyFont="1" applyFill="1"/>
    <xf numFmtId="0" fontId="1" fillId="0" borderId="0" xfId="0" applyFont="1" applyFill="1"/>
    <xf numFmtId="0" fontId="0" fillId="19" borderId="0" xfId="0" applyFill="1" applyBorder="1"/>
    <xf numFmtId="0" fontId="10" fillId="19" borderId="0" xfId="0" applyFont="1" applyFill="1" applyBorder="1"/>
    <xf numFmtId="0" fontId="5" fillId="19" borderId="0" xfId="0" applyFont="1" applyFill="1" applyAlignment="1">
      <alignment horizontal="left"/>
    </xf>
    <xf numFmtId="0" fontId="29" fillId="19" borderId="0" xfId="0" applyFont="1" applyFill="1"/>
    <xf numFmtId="0" fontId="5" fillId="16" borderId="0" xfId="0" applyFont="1" applyFill="1" applyBorder="1"/>
    <xf numFmtId="0" fontId="1" fillId="16" borderId="0" xfId="0" applyFont="1" applyFill="1"/>
    <xf numFmtId="0" fontId="41" fillId="15" borderId="0" xfId="0" applyFont="1" applyFill="1" applyBorder="1"/>
    <xf numFmtId="0" fontId="42" fillId="0" borderId="0" xfId="0" applyFont="1" applyFill="1" applyBorder="1" applyAlignment="1">
      <alignment horizontal="left"/>
    </xf>
    <xf numFmtId="0" fontId="42" fillId="0" borderId="0" xfId="0" applyFont="1"/>
    <xf numFmtId="0" fontId="43" fillId="15" borderId="0" xfId="0" applyFont="1" applyFill="1" applyAlignment="1">
      <alignment horizontal="center"/>
    </xf>
    <xf numFmtId="0" fontId="41" fillId="19" borderId="0" xfId="0" applyFont="1" applyFill="1" applyBorder="1"/>
    <xf numFmtId="0" fontId="41" fillId="19" borderId="0" xfId="1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quotePrefix="1" applyFont="1" applyFill="1" applyBorder="1" applyAlignment="1">
      <alignment horizontal="left"/>
    </xf>
    <xf numFmtId="0" fontId="1" fillId="0" borderId="0" xfId="0" quotePrefix="1" applyFont="1" applyFill="1"/>
    <xf numFmtId="0" fontId="5" fillId="0" borderId="0" xfId="0" applyFont="1" applyFill="1"/>
    <xf numFmtId="0" fontId="5" fillId="6" borderId="0" xfId="0" applyFont="1" applyFill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14" borderId="0" xfId="0" applyFont="1" applyFill="1" applyBorder="1"/>
    <xf numFmtId="0" fontId="5" fillId="14" borderId="0" xfId="0" applyFont="1" applyFill="1" applyBorder="1" applyAlignment="1">
      <alignment horizontal="center"/>
    </xf>
    <xf numFmtId="0" fontId="5" fillId="14" borderId="0" xfId="1" applyNumberFormat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0" fontId="33" fillId="14" borderId="0" xfId="0" applyFont="1" applyFill="1" applyBorder="1"/>
    <xf numFmtId="0" fontId="10" fillId="14" borderId="0" xfId="1" applyNumberFormat="1" applyFont="1" applyFill="1" applyBorder="1" applyAlignment="1">
      <alignment horizontal="center"/>
    </xf>
    <xf numFmtId="0" fontId="29" fillId="14" borderId="0" xfId="0" applyFont="1" applyFill="1"/>
    <xf numFmtId="0" fontId="0" fillId="0" borderId="0" xfId="0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DDFFDD"/>
      <color rgb="FFB3FFB3"/>
      <color rgb="FF81FF81"/>
      <color rgb="FFEECDFF"/>
      <color rgb="FFD47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250000000000001"/>
          <c:y val="5.5350653235004245E-2"/>
          <c:w val="0.79062500000000002"/>
          <c:h val="0.73800870980005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DailyO!$L$1</c:f>
              <c:strCache>
                <c:ptCount val="1"/>
                <c:pt idx="0">
                  <c:v>CBD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DailyO!$H$2:$H$300</c:f>
              <c:numCache>
                <c:formatCode>0</c:formatCode>
                <c:ptCount val="299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DailyO!$L$2:$L$307</c:f>
              <c:numCache>
                <c:formatCode>0.0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C-4792-A613-0A23868B8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94080"/>
        <c:axId val="133894656"/>
      </c:scatterChart>
      <c:valAx>
        <c:axId val="13389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875000000000004"/>
              <c:y val="0.89299047951109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3894656"/>
        <c:crosses val="autoZero"/>
        <c:crossBetween val="midCat"/>
      </c:valAx>
      <c:valAx>
        <c:axId val="1338946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MSNN</a:t>
                </a:r>
              </a:p>
            </c:rich>
          </c:tx>
          <c:layout>
            <c:manualLayout>
              <c:xMode val="edge"/>
              <c:yMode val="edge"/>
              <c:x val="2.8125000000000001E-2"/>
              <c:y val="0.383764612449274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3894080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708077124292029"/>
          <c:y val="5.4945251492572018E-2"/>
          <c:w val="0.78260988240289331"/>
          <c:h val="0.73992938676663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DailyO!$O$1</c:f>
              <c:strCache>
                <c:ptCount val="1"/>
                <c:pt idx="0">
                  <c:v>DLAI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DailyO!$H$2:$H$299</c:f>
              <c:numCache>
                <c:formatCode>0</c:formatCode>
                <c:ptCount val="298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DailyO!$O$2:$O$299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2-42BE-9A07-A4785E1EA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227200"/>
        <c:axId val="158227776"/>
      </c:scatterChart>
      <c:valAx>
        <c:axId val="158227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484537258929587"/>
              <c:y val="0.893775970311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8227776"/>
        <c:crossesAt val="0"/>
        <c:crossBetween val="midCat"/>
      </c:valAx>
      <c:valAx>
        <c:axId val="158227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LAI</a:t>
                </a:r>
              </a:p>
            </c:rich>
          </c:tx>
          <c:layout>
            <c:manualLayout>
              <c:xMode val="edge"/>
              <c:yMode val="edge"/>
              <c:x val="2.7950310559006212E-2"/>
              <c:y val="0.388279926547643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58227200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0429048536115"/>
          <c:y val="5.4744623105010951E-2"/>
          <c:w val="0.76367389060887514"/>
          <c:h val="0.74087723268781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DailyO!$Z$1</c:f>
              <c:strCache>
                <c:ptCount val="1"/>
                <c:pt idx="0">
                  <c:v>WGRN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DailyO!$Z$2:$Z$307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54-4995-91A8-8843214903E8}"/>
            </c:ext>
          </c:extLst>
        </c:ser>
        <c:ser>
          <c:idx val="3"/>
          <c:order val="1"/>
          <c:tx>
            <c:strRef>
              <c:f>DailyO!$Y$1</c:f>
              <c:strCache>
                <c:ptCount val="1"/>
                <c:pt idx="0">
                  <c:v>WVEG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DailyO!$Y$2:$Y$307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54-4995-91A8-884321490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29024"/>
        <c:axId val="162129600"/>
      </c:scatterChart>
      <c:valAx>
        <c:axId val="162129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012383900928794"/>
              <c:y val="0.894162116596739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29600"/>
        <c:crosses val="autoZero"/>
        <c:crossBetween val="midCat"/>
      </c:valAx>
      <c:valAx>
        <c:axId val="1621296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Crop top / grain dry matter </a:t>
                </a:r>
              </a:p>
            </c:rich>
          </c:tx>
          <c:layout>
            <c:manualLayout>
              <c:xMode val="edge"/>
              <c:yMode val="edge"/>
              <c:x val="7.2239422084623322E-3"/>
              <c:y val="0.145672739812632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290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23102348410979"/>
          <c:y val="5.4348018384915597E-2"/>
          <c:w val="0.78461656342632724"/>
          <c:h val="0.7427562512605131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DailyO!$AJ$1</c:f>
              <c:strCache>
                <c:ptCount val="1"/>
                <c:pt idx="0">
                  <c:v>ATSWRZ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DailyO!$AJ$2:$AJ$307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1.0188660564787662</c:v>
                </c:pt>
                <c:pt idx="263">
                  <c:v>1.1863600184710823</c:v>
                </c:pt>
                <c:pt idx="264">
                  <c:v>2.1610623043212671</c:v>
                </c:pt>
                <c:pt idx="265">
                  <c:v>2.1968568389515228</c:v>
                </c:pt>
                <c:pt idx="266">
                  <c:v>2.1637490968625031</c:v>
                </c:pt>
                <c:pt idx="267">
                  <c:v>2.1371933008305555</c:v>
                </c:pt>
                <c:pt idx="268">
                  <c:v>2.1001387074735476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2-47B6-9A76-B775D6F47CD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Figures!$L$36:$L$37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xVal>
          <c:yVal>
            <c:numRef>
              <c:f>Figures!$M$36:$M$37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C2-47B6-9A76-B775D6F47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31904"/>
        <c:axId val="162132480"/>
      </c:scatterChart>
      <c:valAx>
        <c:axId val="16213190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307756915001002"/>
              <c:y val="0.894930579329757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32480"/>
        <c:crosses val="autoZero"/>
        <c:crossBetween val="midCat"/>
        <c:majorUnit val="50"/>
      </c:valAx>
      <c:valAx>
        <c:axId val="162132480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FTSWRZ</a:t>
                </a:r>
              </a:p>
            </c:rich>
          </c:tx>
          <c:layout>
            <c:manualLayout>
              <c:xMode val="edge"/>
              <c:yMode val="edge"/>
              <c:x val="2.7692307692307693E-2"/>
              <c:y val="0.34058085130663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31904"/>
        <c:crosses val="autoZero"/>
        <c:crossBetween val="midCat"/>
        <c:majorUnit val="0.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66055045871561"/>
          <c:y val="5.0359712230215826E-2"/>
          <c:w val="0.74923547400611623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DailyO!$AO$1</c:f>
              <c:strCache>
                <c:ptCount val="1"/>
                <c:pt idx="0">
                  <c:v>CRUNOF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DailyO!$AO$2:$AO$307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3-46CA-A6C9-4CD2414DE477}"/>
            </c:ext>
          </c:extLst>
        </c:ser>
        <c:ser>
          <c:idx val="1"/>
          <c:order val="1"/>
          <c:tx>
            <c:strRef>
              <c:f>DailyO!$AP$1</c:f>
              <c:strCache>
                <c:ptCount val="1"/>
                <c:pt idx="0">
                  <c:v>CE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DailyO!$AP$2:$AP$307</c:f>
              <c:numCache>
                <c:formatCode>0</c:formatCode>
                <c:ptCount val="306"/>
                <c:pt idx="0">
                  <c:v>1.7428952540940135</c:v>
                </c:pt>
                <c:pt idx="1">
                  <c:v>3.0669930295834642</c:v>
                </c:pt>
                <c:pt idx="2">
                  <c:v>4.1603444045451496</c:v>
                </c:pt>
                <c:pt idx="3">
                  <c:v>5.0754281522688043</c:v>
                </c:pt>
                <c:pt idx="4">
                  <c:v>5.9105569966249707</c:v>
                </c:pt>
                <c:pt idx="5">
                  <c:v>6.7851948531285915</c:v>
                </c:pt>
                <c:pt idx="6">
                  <c:v>7.6333497460415751</c:v>
                </c:pt>
                <c:pt idx="7">
                  <c:v>8.4506470311386455</c:v>
                </c:pt>
                <c:pt idx="8">
                  <c:v>9.2314512348974915</c:v>
                </c:pt>
                <c:pt idx="9">
                  <c:v>9.9994077616514385</c:v>
                </c:pt>
                <c:pt idx="10">
                  <c:v>10.445171439395784</c:v>
                </c:pt>
                <c:pt idx="11">
                  <c:v>11.099146039011591</c:v>
                </c:pt>
                <c:pt idx="12">
                  <c:v>11.607121816255264</c:v>
                </c:pt>
                <c:pt idx="13">
                  <c:v>12.162480608461751</c:v>
                </c:pt>
                <c:pt idx="14">
                  <c:v>12.744768085523724</c:v>
                </c:pt>
                <c:pt idx="15">
                  <c:v>13.363507294603874</c:v>
                </c:pt>
                <c:pt idx="16">
                  <c:v>13.978646272476198</c:v>
                </c:pt>
                <c:pt idx="17">
                  <c:v>14.512631353918451</c:v>
                </c:pt>
                <c:pt idx="18">
                  <c:v>15.051754555133581</c:v>
                </c:pt>
                <c:pt idx="19">
                  <c:v>15.571744364568611</c:v>
                </c:pt>
                <c:pt idx="20">
                  <c:v>16.11578791931608</c:v>
                </c:pt>
                <c:pt idx="21">
                  <c:v>16.657752451267218</c:v>
                </c:pt>
                <c:pt idx="22">
                  <c:v>17.220411100697259</c:v>
                </c:pt>
                <c:pt idx="23">
                  <c:v>17.728019611328033</c:v>
                </c:pt>
                <c:pt idx="24">
                  <c:v>18.239661905877174</c:v>
                </c:pt>
                <c:pt idx="25">
                  <c:v>18.755311503442002</c:v>
                </c:pt>
                <c:pt idx="26">
                  <c:v>19.31816914555937</c:v>
                </c:pt>
                <c:pt idx="27">
                  <c:v>19.92411974824563</c:v>
                </c:pt>
                <c:pt idx="28">
                  <c:v>20.502102870895172</c:v>
                </c:pt>
                <c:pt idx="29">
                  <c:v>20.981253277368133</c:v>
                </c:pt>
                <c:pt idx="30">
                  <c:v>21.460931168167868</c:v>
                </c:pt>
                <c:pt idx="31">
                  <c:v>21.9261908299131</c:v>
                </c:pt>
                <c:pt idx="32">
                  <c:v>22.421751402081693</c:v>
                </c:pt>
                <c:pt idx="33">
                  <c:v>22.877019936281233</c:v>
                </c:pt>
                <c:pt idx="34">
                  <c:v>23.327764175423642</c:v>
                </c:pt>
                <c:pt idx="35">
                  <c:v>23.774175848570898</c:v>
                </c:pt>
                <c:pt idx="36">
                  <c:v>24.212340138687619</c:v>
                </c:pt>
                <c:pt idx="37">
                  <c:v>24.647993457874897</c:v>
                </c:pt>
                <c:pt idx="38">
                  <c:v>25.123873562723311</c:v>
                </c:pt>
                <c:pt idx="39">
                  <c:v>25.642829559631487</c:v>
                </c:pt>
                <c:pt idx="40">
                  <c:v>26.159796076582886</c:v>
                </c:pt>
                <c:pt idx="41">
                  <c:v>26.586135926539725</c:v>
                </c:pt>
                <c:pt idx="42">
                  <c:v>26.991838540737849</c:v>
                </c:pt>
                <c:pt idx="43">
                  <c:v>27.455573246705558</c:v>
                </c:pt>
                <c:pt idx="44">
                  <c:v>27.940895221104004</c:v>
                </c:pt>
                <c:pt idx="45">
                  <c:v>28.321664943240357</c:v>
                </c:pt>
                <c:pt idx="46">
                  <c:v>28.817007659083401</c:v>
                </c:pt>
                <c:pt idx="47">
                  <c:v>29.24896997783911</c:v>
                </c:pt>
                <c:pt idx="48">
                  <c:v>29.574208603801026</c:v>
                </c:pt>
                <c:pt idx="49">
                  <c:v>30.128497300159857</c:v>
                </c:pt>
                <c:pt idx="50">
                  <c:v>30.538942321279048</c:v>
                </c:pt>
                <c:pt idx="51">
                  <c:v>30.749528382653519</c:v>
                </c:pt>
                <c:pt idx="52">
                  <c:v>31.268931600661286</c:v>
                </c:pt>
                <c:pt idx="53">
                  <c:v>31.739894838878715</c:v>
                </c:pt>
                <c:pt idx="54">
                  <c:v>32.055677505355455</c:v>
                </c:pt>
                <c:pt idx="55">
                  <c:v>32.431529055063102</c:v>
                </c:pt>
                <c:pt idx="56">
                  <c:v>32.864753248652534</c:v>
                </c:pt>
                <c:pt idx="57">
                  <c:v>33.224147532504119</c:v>
                </c:pt>
                <c:pt idx="58">
                  <c:v>33.557268584244611</c:v>
                </c:pt>
                <c:pt idx="59">
                  <c:v>33.883508182531372</c:v>
                </c:pt>
                <c:pt idx="60">
                  <c:v>34.202978527945056</c:v>
                </c:pt>
                <c:pt idx="61">
                  <c:v>34.526910313483761</c:v>
                </c:pt>
                <c:pt idx="62">
                  <c:v>34.85588174795226</c:v>
                </c:pt>
                <c:pt idx="63">
                  <c:v>35.184411895133294</c:v>
                </c:pt>
                <c:pt idx="64">
                  <c:v>35.516064080341053</c:v>
                </c:pt>
                <c:pt idx="65">
                  <c:v>35.856547415357177</c:v>
                </c:pt>
                <c:pt idx="66">
                  <c:v>36.178978265345449</c:v>
                </c:pt>
                <c:pt idx="67">
                  <c:v>36.537784929891551</c:v>
                </c:pt>
                <c:pt idx="68">
                  <c:v>36.946682928291416</c:v>
                </c:pt>
                <c:pt idx="69">
                  <c:v>37.387868601783495</c:v>
                </c:pt>
                <c:pt idx="70">
                  <c:v>37.842305333371407</c:v>
                </c:pt>
                <c:pt idx="71">
                  <c:v>38.284968648061096</c:v>
                </c:pt>
                <c:pt idx="72">
                  <c:v>38.70245303618853</c:v>
                </c:pt>
                <c:pt idx="73">
                  <c:v>39.121468567303921</c:v>
                </c:pt>
                <c:pt idx="74">
                  <c:v>39.54002044343688</c:v>
                </c:pt>
                <c:pt idx="75">
                  <c:v>39.961422800623055</c:v>
                </c:pt>
                <c:pt idx="76">
                  <c:v>40.394451817249276</c:v>
                </c:pt>
                <c:pt idx="77">
                  <c:v>40.854054911689246</c:v>
                </c:pt>
                <c:pt idx="78">
                  <c:v>41.293432143092474</c:v>
                </c:pt>
                <c:pt idx="79">
                  <c:v>41.717177051932225</c:v>
                </c:pt>
                <c:pt idx="80">
                  <c:v>42.153496737480751</c:v>
                </c:pt>
                <c:pt idx="81">
                  <c:v>42.548622253667162</c:v>
                </c:pt>
                <c:pt idx="82">
                  <c:v>42.912462288838867</c:v>
                </c:pt>
                <c:pt idx="83">
                  <c:v>43.278952842491947</c:v>
                </c:pt>
                <c:pt idx="84">
                  <c:v>43.690829601161461</c:v>
                </c:pt>
                <c:pt idx="85">
                  <c:v>43.924028163390545</c:v>
                </c:pt>
                <c:pt idx="86">
                  <c:v>44.293602626477124</c:v>
                </c:pt>
                <c:pt idx="87">
                  <c:v>44.656011692040224</c:v>
                </c:pt>
                <c:pt idx="88">
                  <c:v>45.032622079561371</c:v>
                </c:pt>
                <c:pt idx="89">
                  <c:v>45.422271283310373</c:v>
                </c:pt>
                <c:pt idx="90">
                  <c:v>45.830123403386935</c:v>
                </c:pt>
                <c:pt idx="91">
                  <c:v>46.232327395024591</c:v>
                </c:pt>
                <c:pt idx="92">
                  <c:v>46.6307646462325</c:v>
                </c:pt>
                <c:pt idx="93">
                  <c:v>47.045239677955188</c:v>
                </c:pt>
                <c:pt idx="94">
                  <c:v>47.411851770811666</c:v>
                </c:pt>
                <c:pt idx="95">
                  <c:v>47.751255879797071</c:v>
                </c:pt>
                <c:pt idx="96">
                  <c:v>48.070208101126923</c:v>
                </c:pt>
                <c:pt idx="97">
                  <c:v>48.359196318805822</c:v>
                </c:pt>
                <c:pt idx="98">
                  <c:v>48.655057253764362</c:v>
                </c:pt>
                <c:pt idx="99">
                  <c:v>48.972496928381076</c:v>
                </c:pt>
                <c:pt idx="100">
                  <c:v>49.303264779231853</c:v>
                </c:pt>
                <c:pt idx="101">
                  <c:v>49.640621723076066</c:v>
                </c:pt>
                <c:pt idx="102">
                  <c:v>49.896278519930505</c:v>
                </c:pt>
                <c:pt idx="103">
                  <c:v>50.200567783492083</c:v>
                </c:pt>
                <c:pt idx="104">
                  <c:v>50.524722949013416</c:v>
                </c:pt>
                <c:pt idx="105">
                  <c:v>50.815156280091216</c:v>
                </c:pt>
                <c:pt idx="106">
                  <c:v>51.082203038768064</c:v>
                </c:pt>
                <c:pt idx="107">
                  <c:v>51.336849808401944</c:v>
                </c:pt>
                <c:pt idx="108">
                  <c:v>51.626139811166311</c:v>
                </c:pt>
                <c:pt idx="109">
                  <c:v>51.859037850552866</c:v>
                </c:pt>
                <c:pt idx="110">
                  <c:v>52.091228556880807</c:v>
                </c:pt>
                <c:pt idx="111">
                  <c:v>52.369559036060792</c:v>
                </c:pt>
                <c:pt idx="112">
                  <c:v>52.683050551106646</c:v>
                </c:pt>
                <c:pt idx="113">
                  <c:v>52.979775132518107</c:v>
                </c:pt>
                <c:pt idx="114">
                  <c:v>53.326059176408933</c:v>
                </c:pt>
                <c:pt idx="115">
                  <c:v>53.601101965970869</c:v>
                </c:pt>
                <c:pt idx="116">
                  <c:v>53.851439406199027</c:v>
                </c:pt>
                <c:pt idx="117">
                  <c:v>54.097987242572181</c:v>
                </c:pt>
                <c:pt idx="118">
                  <c:v>54.366788876044588</c:v>
                </c:pt>
                <c:pt idx="119">
                  <c:v>54.621411950521463</c:v>
                </c:pt>
                <c:pt idx="120">
                  <c:v>54.883740240930216</c:v>
                </c:pt>
                <c:pt idx="121">
                  <c:v>55.124175859190828</c:v>
                </c:pt>
                <c:pt idx="122">
                  <c:v>55.376128717834867</c:v>
                </c:pt>
                <c:pt idx="123">
                  <c:v>55.562718168206345</c:v>
                </c:pt>
                <c:pt idx="124">
                  <c:v>55.710206660598452</c:v>
                </c:pt>
                <c:pt idx="125">
                  <c:v>55.928711228043277</c:v>
                </c:pt>
                <c:pt idx="126">
                  <c:v>56.151523324294715</c:v>
                </c:pt>
                <c:pt idx="127">
                  <c:v>56.374052017153502</c:v>
                </c:pt>
                <c:pt idx="128">
                  <c:v>56.608820770417744</c:v>
                </c:pt>
                <c:pt idx="129">
                  <c:v>56.861319375539331</c:v>
                </c:pt>
                <c:pt idx="130">
                  <c:v>57.105747982369174</c:v>
                </c:pt>
                <c:pt idx="131">
                  <c:v>57.340444234198209</c:v>
                </c:pt>
                <c:pt idx="132">
                  <c:v>57.59823332299883</c:v>
                </c:pt>
                <c:pt idx="133">
                  <c:v>57.882445613137897</c:v>
                </c:pt>
                <c:pt idx="134">
                  <c:v>58.134098312304978</c:v>
                </c:pt>
                <c:pt idx="135">
                  <c:v>58.380594364527603</c:v>
                </c:pt>
                <c:pt idx="136">
                  <c:v>58.557447070170987</c:v>
                </c:pt>
                <c:pt idx="137">
                  <c:v>58.698818292202304</c:v>
                </c:pt>
                <c:pt idx="138">
                  <c:v>58.901040970693032</c:v>
                </c:pt>
                <c:pt idx="139">
                  <c:v>59.086089141169673</c:v>
                </c:pt>
                <c:pt idx="140">
                  <c:v>59.280732630789934</c:v>
                </c:pt>
                <c:pt idx="141">
                  <c:v>59.422428797595899</c:v>
                </c:pt>
                <c:pt idx="142">
                  <c:v>59.590350440908296</c:v>
                </c:pt>
                <c:pt idx="143">
                  <c:v>59.744048913663612</c:v>
                </c:pt>
                <c:pt idx="144">
                  <c:v>59.900861012927457</c:v>
                </c:pt>
                <c:pt idx="145">
                  <c:v>60.074120455363314</c:v>
                </c:pt>
                <c:pt idx="146">
                  <c:v>60.246694022783004</c:v>
                </c:pt>
                <c:pt idx="147">
                  <c:v>60.397247753666655</c:v>
                </c:pt>
                <c:pt idx="148">
                  <c:v>60.551386532605683</c:v>
                </c:pt>
                <c:pt idx="149">
                  <c:v>60.69829897848507</c:v>
                </c:pt>
                <c:pt idx="150">
                  <c:v>60.846666273642356</c:v>
                </c:pt>
                <c:pt idx="151">
                  <c:v>61.001550943944331</c:v>
                </c:pt>
                <c:pt idx="152">
                  <c:v>61.149023223834376</c:v>
                </c:pt>
                <c:pt idx="153">
                  <c:v>61.300466078911725</c:v>
                </c:pt>
                <c:pt idx="154">
                  <c:v>61.453641450034034</c:v>
                </c:pt>
                <c:pt idx="155">
                  <c:v>61.613882418995949</c:v>
                </c:pt>
                <c:pt idx="156">
                  <c:v>61.765725236188253</c:v>
                </c:pt>
                <c:pt idx="157">
                  <c:v>61.916756983325172</c:v>
                </c:pt>
                <c:pt idx="158">
                  <c:v>62.05815874124567</c:v>
                </c:pt>
                <c:pt idx="159">
                  <c:v>62.200878038022132</c:v>
                </c:pt>
                <c:pt idx="160">
                  <c:v>62.343906967714354</c:v>
                </c:pt>
                <c:pt idx="161">
                  <c:v>62.484941366296262</c:v>
                </c:pt>
                <c:pt idx="162">
                  <c:v>62.621386551528708</c:v>
                </c:pt>
                <c:pt idx="163">
                  <c:v>62.740936181602656</c:v>
                </c:pt>
                <c:pt idx="164">
                  <c:v>62.877101333591945</c:v>
                </c:pt>
                <c:pt idx="165">
                  <c:v>63.005973193984502</c:v>
                </c:pt>
                <c:pt idx="166">
                  <c:v>63.142026642692997</c:v>
                </c:pt>
                <c:pt idx="167">
                  <c:v>63.275271070097617</c:v>
                </c:pt>
                <c:pt idx="168">
                  <c:v>63.415938152245779</c:v>
                </c:pt>
                <c:pt idx="169">
                  <c:v>63.547469404117905</c:v>
                </c:pt>
                <c:pt idx="170">
                  <c:v>63.675036275233573</c:v>
                </c:pt>
                <c:pt idx="171">
                  <c:v>63.786316472701579</c:v>
                </c:pt>
                <c:pt idx="172">
                  <c:v>63.911459946009806</c:v>
                </c:pt>
                <c:pt idx="173">
                  <c:v>64.008271280403306</c:v>
                </c:pt>
                <c:pt idx="174">
                  <c:v>64.114086405812017</c:v>
                </c:pt>
                <c:pt idx="175">
                  <c:v>64.218647121793197</c:v>
                </c:pt>
                <c:pt idx="176">
                  <c:v>64.314380115261898</c:v>
                </c:pt>
                <c:pt idx="177">
                  <c:v>64.37375364099546</c:v>
                </c:pt>
                <c:pt idx="178">
                  <c:v>64.45626139061082</c:v>
                </c:pt>
                <c:pt idx="179">
                  <c:v>64.52622805460561</c:v>
                </c:pt>
                <c:pt idx="180">
                  <c:v>64.618730390691468</c:v>
                </c:pt>
                <c:pt idx="181">
                  <c:v>64.705069941384437</c:v>
                </c:pt>
                <c:pt idx="182">
                  <c:v>64.797206640808156</c:v>
                </c:pt>
                <c:pt idx="183">
                  <c:v>64.898625280056791</c:v>
                </c:pt>
                <c:pt idx="184">
                  <c:v>64.987523121796073</c:v>
                </c:pt>
                <c:pt idx="185">
                  <c:v>65.078804859004009</c:v>
                </c:pt>
                <c:pt idx="186">
                  <c:v>65.155760642256908</c:v>
                </c:pt>
                <c:pt idx="187">
                  <c:v>65.236402695710552</c:v>
                </c:pt>
                <c:pt idx="188">
                  <c:v>65.292992351276609</c:v>
                </c:pt>
                <c:pt idx="189">
                  <c:v>65.356114264994304</c:v>
                </c:pt>
                <c:pt idx="190">
                  <c:v>65.422689490297486</c:v>
                </c:pt>
                <c:pt idx="191">
                  <c:v>65.48023887302918</c:v>
                </c:pt>
                <c:pt idx="192">
                  <c:v>65.533266163444125</c:v>
                </c:pt>
                <c:pt idx="193">
                  <c:v>65.588050161765736</c:v>
                </c:pt>
                <c:pt idx="194">
                  <c:v>65.652269344479805</c:v>
                </c:pt>
                <c:pt idx="195">
                  <c:v>65.738478641914995</c:v>
                </c:pt>
                <c:pt idx="196">
                  <c:v>65.800515488230999</c:v>
                </c:pt>
                <c:pt idx="197">
                  <c:v>65.854558732959148</c:v>
                </c:pt>
                <c:pt idx="198">
                  <c:v>65.925240942767303</c:v>
                </c:pt>
                <c:pt idx="199">
                  <c:v>66.006361329034604</c:v>
                </c:pt>
                <c:pt idx="200">
                  <c:v>66.073655149193968</c:v>
                </c:pt>
                <c:pt idx="201">
                  <c:v>66.152806822508254</c:v>
                </c:pt>
                <c:pt idx="202">
                  <c:v>66.22082576009052</c:v>
                </c:pt>
                <c:pt idx="203">
                  <c:v>66.281958272944351</c:v>
                </c:pt>
                <c:pt idx="204">
                  <c:v>66.358082322698067</c:v>
                </c:pt>
                <c:pt idx="205">
                  <c:v>66.419639484181033</c:v>
                </c:pt>
                <c:pt idx="206">
                  <c:v>66.455126394612179</c:v>
                </c:pt>
                <c:pt idx="207">
                  <c:v>66.524922661352818</c:v>
                </c:pt>
                <c:pt idx="208">
                  <c:v>66.590403813878623</c:v>
                </c:pt>
                <c:pt idx="209">
                  <c:v>66.653255112026997</c:v>
                </c:pt>
                <c:pt idx="210">
                  <c:v>66.721684692611873</c:v>
                </c:pt>
                <c:pt idx="211">
                  <c:v>66.787139714923626</c:v>
                </c:pt>
                <c:pt idx="212">
                  <c:v>66.850913739684628</c:v>
                </c:pt>
                <c:pt idx="213">
                  <c:v>66.912055655885567</c:v>
                </c:pt>
                <c:pt idx="214">
                  <c:v>66.97516441880579</c:v>
                </c:pt>
                <c:pt idx="215">
                  <c:v>67.038182083910243</c:v>
                </c:pt>
                <c:pt idx="216">
                  <c:v>67.099772705390976</c:v>
                </c:pt>
                <c:pt idx="217">
                  <c:v>67.161713144484608</c:v>
                </c:pt>
                <c:pt idx="218">
                  <c:v>67.221581179046098</c:v>
                </c:pt>
                <c:pt idx="219">
                  <c:v>67.28070841818905</c:v>
                </c:pt>
                <c:pt idx="220">
                  <c:v>67.340108337006242</c:v>
                </c:pt>
                <c:pt idx="221">
                  <c:v>67.398640505983494</c:v>
                </c:pt>
                <c:pt idx="222">
                  <c:v>67.455904885880813</c:v>
                </c:pt>
                <c:pt idx="223">
                  <c:v>67.511239355618983</c:v>
                </c:pt>
                <c:pt idx="224">
                  <c:v>67.563049892281214</c:v>
                </c:pt>
                <c:pt idx="225">
                  <c:v>67.618514520664462</c:v>
                </c:pt>
                <c:pt idx="226">
                  <c:v>67.674724832351743</c:v>
                </c:pt>
                <c:pt idx="227">
                  <c:v>67.730317003479755</c:v>
                </c:pt>
                <c:pt idx="228">
                  <c:v>67.787078764974169</c:v>
                </c:pt>
                <c:pt idx="229">
                  <c:v>67.845462093139162</c:v>
                </c:pt>
                <c:pt idx="230">
                  <c:v>67.904397714331623</c:v>
                </c:pt>
                <c:pt idx="231">
                  <c:v>67.961494015997971</c:v>
                </c:pt>
                <c:pt idx="232">
                  <c:v>68.021835470611748</c:v>
                </c:pt>
                <c:pt idx="233">
                  <c:v>68.082071594083359</c:v>
                </c:pt>
                <c:pt idx="234">
                  <c:v>68.134398863093352</c:v>
                </c:pt>
                <c:pt idx="235">
                  <c:v>68.190361671794321</c:v>
                </c:pt>
                <c:pt idx="236">
                  <c:v>68.24254269473569</c:v>
                </c:pt>
                <c:pt idx="237">
                  <c:v>68.29375281085774</c:v>
                </c:pt>
                <c:pt idx="238">
                  <c:v>68.346350237823387</c:v>
                </c:pt>
                <c:pt idx="239">
                  <c:v>68.401261744867085</c:v>
                </c:pt>
                <c:pt idx="240">
                  <c:v>68.457539060975876</c:v>
                </c:pt>
                <c:pt idx="241">
                  <c:v>68.507810616887141</c:v>
                </c:pt>
                <c:pt idx="242">
                  <c:v>68.557909536457785</c:v>
                </c:pt>
                <c:pt idx="243">
                  <c:v>68.613996699701303</c:v>
                </c:pt>
                <c:pt idx="244">
                  <c:v>68.665846248276338</c:v>
                </c:pt>
                <c:pt idx="245">
                  <c:v>68.719554108047802</c:v>
                </c:pt>
                <c:pt idx="246">
                  <c:v>68.774988431563585</c:v>
                </c:pt>
                <c:pt idx="247">
                  <c:v>68.831967048041435</c:v>
                </c:pt>
                <c:pt idx="248">
                  <c:v>68.878340210675489</c:v>
                </c:pt>
                <c:pt idx="249">
                  <c:v>68.933382180632336</c:v>
                </c:pt>
                <c:pt idx="250">
                  <c:v>68.989392486411191</c:v>
                </c:pt>
                <c:pt idx="251">
                  <c:v>69.045913531220137</c:v>
                </c:pt>
                <c:pt idx="252">
                  <c:v>69.102831419354487</c:v>
                </c:pt>
                <c:pt idx="253">
                  <c:v>69.160253134507883</c:v>
                </c:pt>
                <c:pt idx="254">
                  <c:v>69.218381608412244</c:v>
                </c:pt>
                <c:pt idx="255">
                  <c:v>69.275109224448968</c:v>
                </c:pt>
                <c:pt idx="256">
                  <c:v>69.333196053258391</c:v>
                </c:pt>
                <c:pt idx="257">
                  <c:v>69.391023839421194</c:v>
                </c:pt>
                <c:pt idx="258">
                  <c:v>69.444538506469868</c:v>
                </c:pt>
                <c:pt idx="259">
                  <c:v>69.496590463713702</c:v>
                </c:pt>
                <c:pt idx="260">
                  <c:v>69.525956906096724</c:v>
                </c:pt>
                <c:pt idx="261">
                  <c:v>69.561305657790527</c:v>
                </c:pt>
                <c:pt idx="262">
                  <c:v>69.591117008931562</c:v>
                </c:pt>
                <c:pt idx="263">
                  <c:v>69.639876077864017</c:v>
                </c:pt>
                <c:pt idx="264">
                  <c:v>69.677822649088739</c:v>
                </c:pt>
                <c:pt idx="265">
                  <c:v>69.724130848633479</c:v>
                </c:pt>
                <c:pt idx="266">
                  <c:v>69.773792461767016</c:v>
                </c:pt>
                <c:pt idx="267">
                  <c:v>69.813626155814944</c:v>
                </c:pt>
                <c:pt idx="268">
                  <c:v>69.869208045850456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C3-46CA-A6C9-4CD2414DE477}"/>
            </c:ext>
          </c:extLst>
        </c:ser>
        <c:ser>
          <c:idx val="5"/>
          <c:order val="2"/>
          <c:tx>
            <c:strRef>
              <c:f>DailyO!$AN$1</c:f>
              <c:strCache>
                <c:ptCount val="1"/>
                <c:pt idx="0">
                  <c:v>IRGNO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DailyO!$AN$2:$AN$307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C3-46CA-A6C9-4CD2414DE477}"/>
            </c:ext>
          </c:extLst>
        </c:ser>
        <c:ser>
          <c:idx val="2"/>
          <c:order val="3"/>
          <c:tx>
            <c:strRef>
              <c:f>DailyO!$AQ$1</c:f>
              <c:strCache>
                <c:ptCount val="1"/>
                <c:pt idx="0">
                  <c:v>CTR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DailyO!$AQ$2:$AQ$307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C3-46CA-A6C9-4CD2414DE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34784"/>
        <c:axId val="162135360"/>
      </c:scatterChart>
      <c:valAx>
        <c:axId val="16213478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35360"/>
        <c:crosses val="autoZero"/>
        <c:crossBetween val="midCat"/>
        <c:majorUnit val="50"/>
      </c:valAx>
      <c:valAx>
        <c:axId val="162135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21347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89360848242594"/>
          <c:y val="6.4748201438848921E-2"/>
          <c:w val="0.31498567266247685"/>
          <c:h val="0.2446043165467626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DailyO!$AK$1</c:f>
              <c:strCache>
                <c:ptCount val="1"/>
                <c:pt idx="0">
                  <c:v>FTSWRZ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DailyO!$AK$2:$AK$306</c:f>
              <c:numCache>
                <c:formatCode>0</c:formatCode>
                <c:ptCount val="3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3.8593411230256294E-2</c:v>
                </c:pt>
                <c:pt idx="263">
                  <c:v>4.4937879487541001E-2</c:v>
                </c:pt>
                <c:pt idx="264">
                  <c:v>8.1858420618229816E-2</c:v>
                </c:pt>
                <c:pt idx="265">
                  <c:v>8.3214274202709201E-2</c:v>
                </c:pt>
                <c:pt idx="266">
                  <c:v>8.1960193062973599E-2</c:v>
                </c:pt>
                <c:pt idx="267">
                  <c:v>8.0954291698127109E-2</c:v>
                </c:pt>
                <c:pt idx="268">
                  <c:v>7.9550708616422258E-2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4-43FE-9F3C-E3EEFF6829F8}"/>
            </c:ext>
          </c:extLst>
        </c:ser>
        <c:ser>
          <c:idx val="1"/>
          <c:order val="1"/>
          <c:tx>
            <c:strRef>
              <c:f>DailyO!$AL$1</c:f>
              <c:strCache>
                <c:ptCount val="1"/>
                <c:pt idx="0">
                  <c:v>CRAIN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DailyO!$AL$2:$AL$307</c:f>
              <c:numCache>
                <c:formatCode>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0.40000000596046398</c:v>
                </c:pt>
                <c:pt idx="11">
                  <c:v>0.40000000596046398</c:v>
                </c:pt>
                <c:pt idx="12">
                  <c:v>0.80000001192092796</c:v>
                </c:pt>
                <c:pt idx="13">
                  <c:v>0.80000001192092796</c:v>
                </c:pt>
                <c:pt idx="14">
                  <c:v>0.80000001192092796</c:v>
                </c:pt>
                <c:pt idx="15">
                  <c:v>0.80000001192092796</c:v>
                </c:pt>
                <c:pt idx="16">
                  <c:v>0.80000001192092796</c:v>
                </c:pt>
                <c:pt idx="17">
                  <c:v>0.80000001192092796</c:v>
                </c:pt>
                <c:pt idx="18">
                  <c:v>0.80000001192092796</c:v>
                </c:pt>
                <c:pt idx="19">
                  <c:v>0.80000001192092796</c:v>
                </c:pt>
                <c:pt idx="20">
                  <c:v>0.80000001192092796</c:v>
                </c:pt>
                <c:pt idx="21">
                  <c:v>0.80000001192092796</c:v>
                </c:pt>
                <c:pt idx="22">
                  <c:v>0.80000001192092796</c:v>
                </c:pt>
                <c:pt idx="23">
                  <c:v>0.80000001192092796</c:v>
                </c:pt>
                <c:pt idx="24">
                  <c:v>0.80000001192092796</c:v>
                </c:pt>
                <c:pt idx="25">
                  <c:v>0.80000001192092796</c:v>
                </c:pt>
                <c:pt idx="26">
                  <c:v>0.80000001192092796</c:v>
                </c:pt>
                <c:pt idx="27">
                  <c:v>0.80000001192092796</c:v>
                </c:pt>
                <c:pt idx="28">
                  <c:v>0.80000001192092796</c:v>
                </c:pt>
                <c:pt idx="29">
                  <c:v>0.80000001192092796</c:v>
                </c:pt>
                <c:pt idx="30">
                  <c:v>0.80000001192092796</c:v>
                </c:pt>
                <c:pt idx="31">
                  <c:v>0.80000001192092796</c:v>
                </c:pt>
                <c:pt idx="32">
                  <c:v>0.80000001192092796</c:v>
                </c:pt>
                <c:pt idx="33">
                  <c:v>0.80000001192092796</c:v>
                </c:pt>
                <c:pt idx="34">
                  <c:v>0.80000001192092796</c:v>
                </c:pt>
                <c:pt idx="35">
                  <c:v>0.80000001192092796</c:v>
                </c:pt>
                <c:pt idx="36">
                  <c:v>0.80000001192092796</c:v>
                </c:pt>
                <c:pt idx="37">
                  <c:v>0.80000001192092796</c:v>
                </c:pt>
                <c:pt idx="38">
                  <c:v>0.80000001192092796</c:v>
                </c:pt>
                <c:pt idx="39">
                  <c:v>0.80000001192092796</c:v>
                </c:pt>
                <c:pt idx="40">
                  <c:v>0.80000001192092796</c:v>
                </c:pt>
                <c:pt idx="41">
                  <c:v>0.80000001192092796</c:v>
                </c:pt>
                <c:pt idx="42">
                  <c:v>0.80000001192092796</c:v>
                </c:pt>
                <c:pt idx="43">
                  <c:v>0.80000001192092796</c:v>
                </c:pt>
                <c:pt idx="44">
                  <c:v>0.80000001192092796</c:v>
                </c:pt>
                <c:pt idx="45">
                  <c:v>0.80000001192092796</c:v>
                </c:pt>
                <c:pt idx="46">
                  <c:v>1.9000000357627878</c:v>
                </c:pt>
                <c:pt idx="47">
                  <c:v>3.0000000596046474</c:v>
                </c:pt>
                <c:pt idx="48">
                  <c:v>3.0000000596046474</c:v>
                </c:pt>
                <c:pt idx="49">
                  <c:v>3.0000000596046474</c:v>
                </c:pt>
                <c:pt idx="50">
                  <c:v>3.0000000596046474</c:v>
                </c:pt>
                <c:pt idx="51">
                  <c:v>5.5000000596046474</c:v>
                </c:pt>
                <c:pt idx="52">
                  <c:v>5.5000000596046474</c:v>
                </c:pt>
                <c:pt idx="53">
                  <c:v>6.6000000834465071</c:v>
                </c:pt>
                <c:pt idx="54">
                  <c:v>7.1000000834465071</c:v>
                </c:pt>
                <c:pt idx="55">
                  <c:v>7.1000000834465071</c:v>
                </c:pt>
                <c:pt idx="56">
                  <c:v>7.1000000834465071</c:v>
                </c:pt>
                <c:pt idx="57">
                  <c:v>7.1000000834465071</c:v>
                </c:pt>
                <c:pt idx="58">
                  <c:v>7.1000000834465071</c:v>
                </c:pt>
                <c:pt idx="59">
                  <c:v>7.1000000834465071</c:v>
                </c:pt>
                <c:pt idx="60">
                  <c:v>7.1000000834465071</c:v>
                </c:pt>
                <c:pt idx="61">
                  <c:v>7.1000000834465071</c:v>
                </c:pt>
                <c:pt idx="62">
                  <c:v>7.1000000834465071</c:v>
                </c:pt>
                <c:pt idx="63">
                  <c:v>7.1000000834465071</c:v>
                </c:pt>
                <c:pt idx="64">
                  <c:v>7.1000000834465071</c:v>
                </c:pt>
                <c:pt idx="65">
                  <c:v>7.1000000834465071</c:v>
                </c:pt>
                <c:pt idx="66">
                  <c:v>7.1000000834465071</c:v>
                </c:pt>
                <c:pt idx="67">
                  <c:v>7.1000000834465071</c:v>
                </c:pt>
                <c:pt idx="68">
                  <c:v>7.1000000834465071</c:v>
                </c:pt>
                <c:pt idx="69">
                  <c:v>7.1000000834465071</c:v>
                </c:pt>
                <c:pt idx="70">
                  <c:v>7.1000000834465071</c:v>
                </c:pt>
                <c:pt idx="71">
                  <c:v>7.1000000834465071</c:v>
                </c:pt>
                <c:pt idx="72">
                  <c:v>7.1000000834465071</c:v>
                </c:pt>
                <c:pt idx="73">
                  <c:v>7.1000000834465071</c:v>
                </c:pt>
                <c:pt idx="74">
                  <c:v>7.1000000834465071</c:v>
                </c:pt>
                <c:pt idx="75">
                  <c:v>7.1000000834465071</c:v>
                </c:pt>
                <c:pt idx="76">
                  <c:v>7.1000000834465071</c:v>
                </c:pt>
                <c:pt idx="77">
                  <c:v>7.1000000834465071</c:v>
                </c:pt>
                <c:pt idx="78">
                  <c:v>7.1000000834465071</c:v>
                </c:pt>
                <c:pt idx="79">
                  <c:v>7.1000000834465071</c:v>
                </c:pt>
                <c:pt idx="80">
                  <c:v>7.1000000834465071</c:v>
                </c:pt>
                <c:pt idx="81">
                  <c:v>7.1000000834465071</c:v>
                </c:pt>
                <c:pt idx="82">
                  <c:v>7.1000000834465071</c:v>
                </c:pt>
                <c:pt idx="83">
                  <c:v>7.1000000834465071</c:v>
                </c:pt>
                <c:pt idx="84">
                  <c:v>7.1000000834465071</c:v>
                </c:pt>
                <c:pt idx="85">
                  <c:v>7.4000000953674361</c:v>
                </c:pt>
                <c:pt idx="86">
                  <c:v>7.4000000953674361</c:v>
                </c:pt>
                <c:pt idx="87">
                  <c:v>7.4000000953674361</c:v>
                </c:pt>
                <c:pt idx="88">
                  <c:v>7.4000000953674361</c:v>
                </c:pt>
                <c:pt idx="89">
                  <c:v>7.4000000953674361</c:v>
                </c:pt>
                <c:pt idx="90">
                  <c:v>7.4000000953674361</c:v>
                </c:pt>
                <c:pt idx="91">
                  <c:v>7.4000000953674361</c:v>
                </c:pt>
                <c:pt idx="92">
                  <c:v>7.4000000953674361</c:v>
                </c:pt>
                <c:pt idx="93">
                  <c:v>7.4000000953674361</c:v>
                </c:pt>
                <c:pt idx="94">
                  <c:v>7.4000000953674361</c:v>
                </c:pt>
                <c:pt idx="95">
                  <c:v>7.4000000953674361</c:v>
                </c:pt>
                <c:pt idx="96">
                  <c:v>7.4000000953674361</c:v>
                </c:pt>
                <c:pt idx="97">
                  <c:v>7.4000000953674361</c:v>
                </c:pt>
                <c:pt idx="98">
                  <c:v>7.4000000953674361</c:v>
                </c:pt>
                <c:pt idx="99">
                  <c:v>7.4000000953674361</c:v>
                </c:pt>
                <c:pt idx="100">
                  <c:v>7.4000000953674361</c:v>
                </c:pt>
                <c:pt idx="101">
                  <c:v>7.4000000953674361</c:v>
                </c:pt>
                <c:pt idx="102">
                  <c:v>7.4000000953674361</c:v>
                </c:pt>
                <c:pt idx="103">
                  <c:v>7.4000000953674361</c:v>
                </c:pt>
                <c:pt idx="104">
                  <c:v>7.4000000953674361</c:v>
                </c:pt>
                <c:pt idx="105">
                  <c:v>7.4000000953674361</c:v>
                </c:pt>
                <c:pt idx="106">
                  <c:v>7.4000000953674361</c:v>
                </c:pt>
                <c:pt idx="107">
                  <c:v>7.4000000953674361</c:v>
                </c:pt>
                <c:pt idx="108">
                  <c:v>7.4000000953674361</c:v>
                </c:pt>
                <c:pt idx="109">
                  <c:v>7.4000000953674361</c:v>
                </c:pt>
                <c:pt idx="110">
                  <c:v>7.4000000953674361</c:v>
                </c:pt>
                <c:pt idx="111">
                  <c:v>7.4000000953674361</c:v>
                </c:pt>
                <c:pt idx="112">
                  <c:v>7.4000000953674361</c:v>
                </c:pt>
                <c:pt idx="113">
                  <c:v>7.4000000953674361</c:v>
                </c:pt>
                <c:pt idx="114">
                  <c:v>7.4000000953674361</c:v>
                </c:pt>
                <c:pt idx="115">
                  <c:v>7.4000000953674361</c:v>
                </c:pt>
                <c:pt idx="116">
                  <c:v>7.4000000953674361</c:v>
                </c:pt>
                <c:pt idx="117">
                  <c:v>7.4000000953674361</c:v>
                </c:pt>
                <c:pt idx="118">
                  <c:v>7.4000000953674361</c:v>
                </c:pt>
                <c:pt idx="119">
                  <c:v>7.4000000953674361</c:v>
                </c:pt>
                <c:pt idx="120">
                  <c:v>7.4000000953674361</c:v>
                </c:pt>
                <c:pt idx="121">
                  <c:v>7.4000000953674361</c:v>
                </c:pt>
                <c:pt idx="122">
                  <c:v>7.4000000953674361</c:v>
                </c:pt>
                <c:pt idx="123">
                  <c:v>7.4000000953674361</c:v>
                </c:pt>
                <c:pt idx="124">
                  <c:v>7.4000000953674361</c:v>
                </c:pt>
                <c:pt idx="125">
                  <c:v>7.4000000953674361</c:v>
                </c:pt>
                <c:pt idx="126">
                  <c:v>7.4000000953674361</c:v>
                </c:pt>
                <c:pt idx="127">
                  <c:v>7.4000000953674361</c:v>
                </c:pt>
                <c:pt idx="128">
                  <c:v>7.4000000953674361</c:v>
                </c:pt>
                <c:pt idx="129">
                  <c:v>7.4000000953674361</c:v>
                </c:pt>
                <c:pt idx="130">
                  <c:v>7.4000000953674361</c:v>
                </c:pt>
                <c:pt idx="131">
                  <c:v>7.4000000953674361</c:v>
                </c:pt>
                <c:pt idx="132">
                  <c:v>7.4000000953674361</c:v>
                </c:pt>
                <c:pt idx="133">
                  <c:v>7.4000000953674361</c:v>
                </c:pt>
                <c:pt idx="134">
                  <c:v>7.4000000953674361</c:v>
                </c:pt>
                <c:pt idx="135">
                  <c:v>7.4000000953674361</c:v>
                </c:pt>
                <c:pt idx="136">
                  <c:v>7.4000000953674361</c:v>
                </c:pt>
                <c:pt idx="137">
                  <c:v>7.4000000953674361</c:v>
                </c:pt>
                <c:pt idx="138">
                  <c:v>7.4000000953674361</c:v>
                </c:pt>
                <c:pt idx="139">
                  <c:v>7.4000000953674361</c:v>
                </c:pt>
                <c:pt idx="140">
                  <c:v>7.4000000953674361</c:v>
                </c:pt>
                <c:pt idx="141">
                  <c:v>7.4000000953674361</c:v>
                </c:pt>
                <c:pt idx="142">
                  <c:v>7.4000000953674361</c:v>
                </c:pt>
                <c:pt idx="143">
                  <c:v>7.4000000953674361</c:v>
                </c:pt>
                <c:pt idx="144">
                  <c:v>7.4000000953674361</c:v>
                </c:pt>
                <c:pt idx="145">
                  <c:v>7.4000000953674361</c:v>
                </c:pt>
                <c:pt idx="146">
                  <c:v>7.4000000953674361</c:v>
                </c:pt>
                <c:pt idx="147">
                  <c:v>7.4000000953674361</c:v>
                </c:pt>
                <c:pt idx="148">
                  <c:v>7.4000000953674361</c:v>
                </c:pt>
                <c:pt idx="149">
                  <c:v>7.4000000953674361</c:v>
                </c:pt>
                <c:pt idx="150">
                  <c:v>7.4000000953674361</c:v>
                </c:pt>
                <c:pt idx="151">
                  <c:v>7.4000000953674361</c:v>
                </c:pt>
                <c:pt idx="152">
                  <c:v>7.4000000953674361</c:v>
                </c:pt>
                <c:pt idx="153">
                  <c:v>7.4000000953674361</c:v>
                </c:pt>
                <c:pt idx="154">
                  <c:v>7.4000000953674361</c:v>
                </c:pt>
                <c:pt idx="155">
                  <c:v>7.4000000953674361</c:v>
                </c:pt>
                <c:pt idx="156">
                  <c:v>7.4000000953674361</c:v>
                </c:pt>
                <c:pt idx="157">
                  <c:v>7.4000000953674361</c:v>
                </c:pt>
                <c:pt idx="158">
                  <c:v>7.4000000953674361</c:v>
                </c:pt>
                <c:pt idx="159">
                  <c:v>7.4000000953674361</c:v>
                </c:pt>
                <c:pt idx="160">
                  <c:v>7.4000000953674361</c:v>
                </c:pt>
                <c:pt idx="161">
                  <c:v>7.4000000953674361</c:v>
                </c:pt>
                <c:pt idx="162">
                  <c:v>7.4000000953674361</c:v>
                </c:pt>
                <c:pt idx="163">
                  <c:v>7.9000000953674361</c:v>
                </c:pt>
                <c:pt idx="164">
                  <c:v>7.9000000953674361</c:v>
                </c:pt>
                <c:pt idx="165">
                  <c:v>7.9000000953674361</c:v>
                </c:pt>
                <c:pt idx="166">
                  <c:v>7.9000000953674361</c:v>
                </c:pt>
                <c:pt idx="167">
                  <c:v>7.9000000953674361</c:v>
                </c:pt>
                <c:pt idx="168">
                  <c:v>7.9000000953674361</c:v>
                </c:pt>
                <c:pt idx="169">
                  <c:v>7.9000000953674361</c:v>
                </c:pt>
                <c:pt idx="170">
                  <c:v>7.9000000953674361</c:v>
                </c:pt>
                <c:pt idx="171">
                  <c:v>7.9000000953674361</c:v>
                </c:pt>
                <c:pt idx="172">
                  <c:v>7.9000000953674361</c:v>
                </c:pt>
                <c:pt idx="173">
                  <c:v>7.9000000953674361</c:v>
                </c:pt>
                <c:pt idx="174">
                  <c:v>7.9000000953674361</c:v>
                </c:pt>
                <c:pt idx="175">
                  <c:v>7.9000000953674361</c:v>
                </c:pt>
                <c:pt idx="176">
                  <c:v>8.5000001192092949</c:v>
                </c:pt>
                <c:pt idx="177">
                  <c:v>8.5000001192092949</c:v>
                </c:pt>
                <c:pt idx="178">
                  <c:v>8.5000001192092949</c:v>
                </c:pt>
                <c:pt idx="179">
                  <c:v>8.7000001221895271</c:v>
                </c:pt>
                <c:pt idx="180">
                  <c:v>9.1000001281499916</c:v>
                </c:pt>
                <c:pt idx="181">
                  <c:v>11.200000032782562</c:v>
                </c:pt>
                <c:pt idx="182">
                  <c:v>11.200000032782562</c:v>
                </c:pt>
                <c:pt idx="183">
                  <c:v>11.200000032782562</c:v>
                </c:pt>
                <c:pt idx="184">
                  <c:v>11.200000032782562</c:v>
                </c:pt>
                <c:pt idx="185">
                  <c:v>11.200000032782562</c:v>
                </c:pt>
                <c:pt idx="186">
                  <c:v>11.200000032782562</c:v>
                </c:pt>
                <c:pt idx="187">
                  <c:v>11.200000032782562</c:v>
                </c:pt>
                <c:pt idx="188">
                  <c:v>11.200000032782562</c:v>
                </c:pt>
                <c:pt idx="189">
                  <c:v>11.200000032782562</c:v>
                </c:pt>
                <c:pt idx="190">
                  <c:v>11.200000032782562</c:v>
                </c:pt>
                <c:pt idx="191">
                  <c:v>11.200000032782562</c:v>
                </c:pt>
                <c:pt idx="192">
                  <c:v>17.399999842047702</c:v>
                </c:pt>
                <c:pt idx="193">
                  <c:v>17.799999848008166</c:v>
                </c:pt>
                <c:pt idx="194">
                  <c:v>18.199999853968631</c:v>
                </c:pt>
                <c:pt idx="195">
                  <c:v>18.199999853968631</c:v>
                </c:pt>
                <c:pt idx="196">
                  <c:v>18.199999853968631</c:v>
                </c:pt>
                <c:pt idx="197">
                  <c:v>18.199999853968631</c:v>
                </c:pt>
                <c:pt idx="198">
                  <c:v>18.199999853968631</c:v>
                </c:pt>
                <c:pt idx="199">
                  <c:v>18.199999853968631</c:v>
                </c:pt>
                <c:pt idx="200">
                  <c:v>18.199999853968631</c:v>
                </c:pt>
                <c:pt idx="201">
                  <c:v>18.199999853968631</c:v>
                </c:pt>
                <c:pt idx="202">
                  <c:v>18.199999853968631</c:v>
                </c:pt>
                <c:pt idx="203">
                  <c:v>18.199999853968631</c:v>
                </c:pt>
                <c:pt idx="204">
                  <c:v>18.199999853968631</c:v>
                </c:pt>
                <c:pt idx="205">
                  <c:v>18.199999853968631</c:v>
                </c:pt>
                <c:pt idx="206">
                  <c:v>18.49999986588956</c:v>
                </c:pt>
                <c:pt idx="207">
                  <c:v>18.49999986588956</c:v>
                </c:pt>
                <c:pt idx="208">
                  <c:v>18.49999986588956</c:v>
                </c:pt>
                <c:pt idx="209">
                  <c:v>18.49999986588956</c:v>
                </c:pt>
                <c:pt idx="210">
                  <c:v>18.49999986588956</c:v>
                </c:pt>
                <c:pt idx="211">
                  <c:v>18.49999986588956</c:v>
                </c:pt>
                <c:pt idx="212">
                  <c:v>18.49999986588956</c:v>
                </c:pt>
                <c:pt idx="213">
                  <c:v>18.49999986588956</c:v>
                </c:pt>
                <c:pt idx="214">
                  <c:v>18.49999986588956</c:v>
                </c:pt>
                <c:pt idx="215">
                  <c:v>18.49999986588956</c:v>
                </c:pt>
                <c:pt idx="216">
                  <c:v>18.49999986588956</c:v>
                </c:pt>
                <c:pt idx="217">
                  <c:v>18.49999986588956</c:v>
                </c:pt>
                <c:pt idx="218">
                  <c:v>18.49999986588956</c:v>
                </c:pt>
                <c:pt idx="219">
                  <c:v>18.49999986588956</c:v>
                </c:pt>
                <c:pt idx="220">
                  <c:v>18.49999986588956</c:v>
                </c:pt>
                <c:pt idx="221">
                  <c:v>18.49999986588956</c:v>
                </c:pt>
                <c:pt idx="222">
                  <c:v>18.49999986588956</c:v>
                </c:pt>
                <c:pt idx="223">
                  <c:v>18.49999986588956</c:v>
                </c:pt>
                <c:pt idx="224">
                  <c:v>18.49999986588956</c:v>
                </c:pt>
                <c:pt idx="225">
                  <c:v>18.49999986588956</c:v>
                </c:pt>
                <c:pt idx="226">
                  <c:v>18.49999986588956</c:v>
                </c:pt>
                <c:pt idx="227">
                  <c:v>18.49999986588956</c:v>
                </c:pt>
                <c:pt idx="228">
                  <c:v>18.49999986588956</c:v>
                </c:pt>
                <c:pt idx="229">
                  <c:v>18.49999986588956</c:v>
                </c:pt>
                <c:pt idx="230">
                  <c:v>18.49999986588956</c:v>
                </c:pt>
                <c:pt idx="231">
                  <c:v>18.49999986588956</c:v>
                </c:pt>
                <c:pt idx="232">
                  <c:v>18.49999986588956</c:v>
                </c:pt>
                <c:pt idx="233">
                  <c:v>18.49999986588956</c:v>
                </c:pt>
                <c:pt idx="234">
                  <c:v>18.49999986588956</c:v>
                </c:pt>
                <c:pt idx="235">
                  <c:v>18.49999986588956</c:v>
                </c:pt>
                <c:pt idx="236">
                  <c:v>18.49999986588956</c:v>
                </c:pt>
                <c:pt idx="237">
                  <c:v>18.49999986588956</c:v>
                </c:pt>
                <c:pt idx="238">
                  <c:v>18.49999986588956</c:v>
                </c:pt>
                <c:pt idx="239">
                  <c:v>18.49999986588956</c:v>
                </c:pt>
                <c:pt idx="240">
                  <c:v>18.49999986588956</c:v>
                </c:pt>
                <c:pt idx="241">
                  <c:v>18.49999986588956</c:v>
                </c:pt>
                <c:pt idx="242">
                  <c:v>18.49999986588956</c:v>
                </c:pt>
                <c:pt idx="243">
                  <c:v>18.49999986588956</c:v>
                </c:pt>
                <c:pt idx="244">
                  <c:v>18.49999986588956</c:v>
                </c:pt>
                <c:pt idx="245">
                  <c:v>18.49999986588956</c:v>
                </c:pt>
                <c:pt idx="246">
                  <c:v>18.49999986588956</c:v>
                </c:pt>
                <c:pt idx="247">
                  <c:v>18.49999986588956</c:v>
                </c:pt>
                <c:pt idx="248">
                  <c:v>19.899999842047698</c:v>
                </c:pt>
                <c:pt idx="249">
                  <c:v>19.899999842047698</c:v>
                </c:pt>
                <c:pt idx="250">
                  <c:v>19.899999842047698</c:v>
                </c:pt>
                <c:pt idx="251">
                  <c:v>19.899999842047698</c:v>
                </c:pt>
                <c:pt idx="252">
                  <c:v>19.899999842047698</c:v>
                </c:pt>
                <c:pt idx="253">
                  <c:v>19.899999842047698</c:v>
                </c:pt>
                <c:pt idx="254">
                  <c:v>19.899999842047698</c:v>
                </c:pt>
                <c:pt idx="255">
                  <c:v>19.899999842047698</c:v>
                </c:pt>
                <c:pt idx="256">
                  <c:v>19.899999842047698</c:v>
                </c:pt>
                <c:pt idx="257">
                  <c:v>19.899999842047698</c:v>
                </c:pt>
                <c:pt idx="258">
                  <c:v>19.899999842047698</c:v>
                </c:pt>
                <c:pt idx="259">
                  <c:v>20.099999845027931</c:v>
                </c:pt>
                <c:pt idx="260">
                  <c:v>27.90000003576279</c:v>
                </c:pt>
                <c:pt idx="261">
                  <c:v>35.300000131130219</c:v>
                </c:pt>
                <c:pt idx="262">
                  <c:v>39.300000131130219</c:v>
                </c:pt>
                <c:pt idx="263">
                  <c:v>39.600000143051147</c:v>
                </c:pt>
                <c:pt idx="264">
                  <c:v>41.100000143051147</c:v>
                </c:pt>
                <c:pt idx="265">
                  <c:v>41.200000144541264</c:v>
                </c:pt>
                <c:pt idx="266">
                  <c:v>41.200000144541264</c:v>
                </c:pt>
                <c:pt idx="267">
                  <c:v>41.200000144541264</c:v>
                </c:pt>
                <c:pt idx="268">
                  <c:v>41.200000144541264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54-43FE-9F3C-E3EEFF682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50944"/>
        <c:axId val="172451520"/>
      </c:scatterChart>
      <c:valAx>
        <c:axId val="17245094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2451520"/>
        <c:crosses val="autoZero"/>
        <c:crossBetween val="midCat"/>
        <c:majorUnit val="50"/>
      </c:valAx>
      <c:valAx>
        <c:axId val="172451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24509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183550450689078"/>
          <c:y val="6.4748201438848921E-2"/>
          <c:w val="0.24159085618884793"/>
          <c:h val="0.16546762589928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DailyO!$BI$1</c:f>
              <c:strCache>
                <c:ptCount val="1"/>
                <c:pt idx="0">
                  <c:v>NGRN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DailyO!$BI$2:$BI$307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7D-4681-9DEE-C9FECEB7917A}"/>
            </c:ext>
          </c:extLst>
        </c:ser>
        <c:ser>
          <c:idx val="1"/>
          <c:order val="1"/>
          <c:tx>
            <c:strRef>
              <c:f>DailyO!$BH$1</c:f>
              <c:strCache>
                <c:ptCount val="1"/>
                <c:pt idx="0">
                  <c:v>NVEG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DailyO!$BH$2:$BH$307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7D-4681-9DEE-C9FECEB79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53824"/>
        <c:axId val="172454400"/>
      </c:scatterChart>
      <c:valAx>
        <c:axId val="17245382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2454400"/>
        <c:crosses val="autoZero"/>
        <c:crossBetween val="midCat"/>
        <c:majorUnit val="50"/>
      </c:valAx>
      <c:valAx>
        <c:axId val="1724544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24538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960308860475009"/>
          <c:y val="6.4748201438848921E-2"/>
          <c:w val="0.24159085618884793"/>
          <c:h val="0.16546762589928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DailyO!$AS$1</c:f>
              <c:strCache>
                <c:ptCount val="1"/>
                <c:pt idx="0">
                  <c:v>NFERT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DailyO!$AS$2:$AS$307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D5-41C4-AC1F-35E9BC680F92}"/>
            </c:ext>
          </c:extLst>
        </c:ser>
        <c:ser>
          <c:idx val="1"/>
          <c:order val="1"/>
          <c:tx>
            <c:strRef>
              <c:f>DailyO!$AY$1</c:f>
              <c:strCache>
                <c:ptCount val="1"/>
                <c:pt idx="0">
                  <c:v>NMIN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DailyO!$AY$2:$AY$307</c:f>
              <c:numCache>
                <c:formatCode>0.00</c:formatCode>
                <c:ptCount val="306"/>
                <c:pt idx="0">
                  <c:v>7.7840765353211249E-4</c:v>
                </c:pt>
                <c:pt idx="1">
                  <c:v>7.7239110479366798E-4</c:v>
                </c:pt>
                <c:pt idx="2">
                  <c:v>6.9609864938905189E-4</c:v>
                </c:pt>
                <c:pt idx="3">
                  <c:v>6.1942515002315704E-4</c:v>
                </c:pt>
                <c:pt idx="4">
                  <c:v>7.2336514272228777E-4</c:v>
                </c:pt>
                <c:pt idx="5">
                  <c:v>9.8757198541289172E-4</c:v>
                </c:pt>
                <c:pt idx="6">
                  <c:v>1.0718789127704713E-3</c:v>
                </c:pt>
                <c:pt idx="7">
                  <c:v>1.3073870610283253E-3</c:v>
                </c:pt>
                <c:pt idx="8">
                  <c:v>1.3804562932346778E-3</c:v>
                </c:pt>
                <c:pt idx="9">
                  <c:v>1.4998106974023618E-3</c:v>
                </c:pt>
                <c:pt idx="10">
                  <c:v>1.3501917985509467E-3</c:v>
                </c:pt>
                <c:pt idx="11">
                  <c:v>1.0203397180587775E-3</c:v>
                </c:pt>
                <c:pt idx="12">
                  <c:v>7.5369188988674124E-4</c:v>
                </c:pt>
                <c:pt idx="13">
                  <c:v>7.4212816444960952E-4</c:v>
                </c:pt>
                <c:pt idx="14">
                  <c:v>1.0048774595743889E-3</c:v>
                </c:pt>
                <c:pt idx="15">
                  <c:v>1.3740539553523925E-3</c:v>
                </c:pt>
                <c:pt idx="16">
                  <c:v>1.5036832648701801E-3</c:v>
                </c:pt>
                <c:pt idx="17">
                  <c:v>1.277056409616253E-3</c:v>
                </c:pt>
                <c:pt idx="18">
                  <c:v>1.0980189524443266E-3</c:v>
                </c:pt>
                <c:pt idx="19">
                  <c:v>1.1995467889747752E-3</c:v>
                </c:pt>
                <c:pt idx="20">
                  <c:v>1.4235336047089722E-3</c:v>
                </c:pt>
                <c:pt idx="21">
                  <c:v>1.4439903857839122E-3</c:v>
                </c:pt>
                <c:pt idx="22">
                  <c:v>1.5795175666913019E-3</c:v>
                </c:pt>
                <c:pt idx="23">
                  <c:v>1.5235516586623898E-3</c:v>
                </c:pt>
                <c:pt idx="24">
                  <c:v>1.5902149827747836E-3</c:v>
                </c:pt>
                <c:pt idx="25">
                  <c:v>1.6654098973311673E-3</c:v>
                </c:pt>
                <c:pt idx="26">
                  <c:v>1.9249141886431152E-3</c:v>
                </c:pt>
                <c:pt idx="27">
                  <c:v>2.1973323316713273E-3</c:v>
                </c:pt>
                <c:pt idx="28">
                  <c:v>2.0276794084367303E-3</c:v>
                </c:pt>
                <c:pt idx="29">
                  <c:v>1.5939365232144353E-3</c:v>
                </c:pt>
                <c:pt idx="30">
                  <c:v>1.5879106493143114E-3</c:v>
                </c:pt>
                <c:pt idx="31">
                  <c:v>1.6336146778615291E-3</c:v>
                </c:pt>
                <c:pt idx="32">
                  <c:v>1.7474491494848855E-3</c:v>
                </c:pt>
                <c:pt idx="33">
                  <c:v>1.5982628840749049E-3</c:v>
                </c:pt>
                <c:pt idx="34">
                  <c:v>1.4926412933313146E-3</c:v>
                </c:pt>
                <c:pt idx="35">
                  <c:v>1.5469403431194696E-3</c:v>
                </c:pt>
                <c:pt idx="36">
                  <c:v>1.5802341689973227E-3</c:v>
                </c:pt>
                <c:pt idx="37">
                  <c:v>1.6026715709016913E-3</c:v>
                </c:pt>
                <c:pt idx="38">
                  <c:v>1.8730262213040108E-3</c:v>
                </c:pt>
                <c:pt idx="39">
                  <c:v>1.978860993665954E-3</c:v>
                </c:pt>
                <c:pt idx="40">
                  <c:v>1.8080669300279378E-3</c:v>
                </c:pt>
                <c:pt idx="41">
                  <c:v>1.472456074078589E-3</c:v>
                </c:pt>
                <c:pt idx="42">
                  <c:v>1.2438817925945027E-3</c:v>
                </c:pt>
                <c:pt idx="43">
                  <c:v>1.02244782630698E-3</c:v>
                </c:pt>
                <c:pt idx="44">
                  <c:v>7.876706265961147E-4</c:v>
                </c:pt>
                <c:pt idx="45">
                  <c:v>5.909726861753064E-4</c:v>
                </c:pt>
                <c:pt idx="46">
                  <c:v>1.754529356071763E-4</c:v>
                </c:pt>
                <c:pt idx="47">
                  <c:v>1.1523344144553902E-4</c:v>
                </c:pt>
                <c:pt idx="48">
                  <c:v>1.0512333442245359E-4</c:v>
                </c:pt>
                <c:pt idx="49">
                  <c:v>3.4296682006748952E-5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5.8486318721452115E-4</c:v>
                </c:pt>
                <c:pt idx="263">
                  <c:v>6.7703434329890165E-4</c:v>
                </c:pt>
                <c:pt idx="264">
                  <c:v>1.1107677229288061E-3</c:v>
                </c:pt>
                <c:pt idx="265">
                  <c:v>1.1762294511174414E-3</c:v>
                </c:pt>
                <c:pt idx="266">
                  <c:v>9.1847510327036739E-4</c:v>
                </c:pt>
                <c:pt idx="267">
                  <c:v>9.9656421393214795E-4</c:v>
                </c:pt>
                <c:pt idx="268">
                  <c:v>1.2824220208694003E-3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D5-41C4-AC1F-35E9BC68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56704"/>
        <c:axId val="172457280"/>
      </c:scatterChart>
      <c:valAx>
        <c:axId val="17245670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2457280"/>
        <c:crosses val="autoZero"/>
        <c:crossBetween val="midCat"/>
        <c:majorUnit val="50"/>
      </c:valAx>
      <c:valAx>
        <c:axId val="172457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724567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042877667814458"/>
          <c:y val="6.4748201438848921E-2"/>
          <c:w val="0.24159085618884793"/>
          <c:h val="0.16546762589928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DailyO!$AU$1</c:f>
              <c:strCache>
                <c:ptCount val="1"/>
                <c:pt idx="0">
                  <c:v>NVOL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DailyO!$AU$2:$AU$307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A-4158-BC18-805D58645D5D}"/>
            </c:ext>
          </c:extLst>
        </c:ser>
        <c:ser>
          <c:idx val="1"/>
          <c:order val="1"/>
          <c:tx>
            <c:strRef>
              <c:f>DailyO!$AW$1</c:f>
              <c:strCache>
                <c:ptCount val="1"/>
                <c:pt idx="0">
                  <c:v>NLEACH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DailyO!$AW$2:$AW$307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7A-4158-BC18-805D58645D5D}"/>
            </c:ext>
          </c:extLst>
        </c:ser>
        <c:ser>
          <c:idx val="5"/>
          <c:order val="2"/>
          <c:tx>
            <c:strRef>
              <c:f>DailyO!$BA$1</c:f>
              <c:strCache>
                <c:ptCount val="1"/>
                <c:pt idx="0">
                  <c:v>NDNIT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DailyO!$BA$2:$BA$307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7A-4158-BC18-805D58645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32864"/>
        <c:axId val="71133440"/>
      </c:scatterChart>
      <c:valAx>
        <c:axId val="7113286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1133440"/>
        <c:crosses val="autoZero"/>
        <c:crossBetween val="midCat"/>
        <c:majorUnit val="50"/>
      </c:valAx>
      <c:valAx>
        <c:axId val="71133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113286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266119258028527"/>
          <c:y val="6.4748201438848921E-2"/>
          <c:w val="0.24159085618884793"/>
          <c:h val="0.219424460431654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DailyO!$BC$1</c:f>
              <c:strCache>
                <c:ptCount val="1"/>
                <c:pt idx="0">
                  <c:v>SNAVL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DailyO!$BC$2:$BC$307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2.9429550214721792E-3</c:v>
                </c:pt>
                <c:pt idx="263">
                  <c:v>3.417556243496744E-3</c:v>
                </c:pt>
                <c:pt idx="264">
                  <c:v>5.9797330209528706E-3</c:v>
                </c:pt>
                <c:pt idx="265">
                  <c:v>6.1320096818633452E-3</c:v>
                </c:pt>
                <c:pt idx="266">
                  <c:v>6.0992485598942965E-3</c:v>
                </c:pt>
                <c:pt idx="267">
                  <c:v>6.085604212060715E-3</c:v>
                </c:pt>
                <c:pt idx="268">
                  <c:v>6.0585531701526519E-3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0-4D23-A081-3666DA395FE7}"/>
            </c:ext>
          </c:extLst>
        </c:ser>
        <c:ser>
          <c:idx val="1"/>
          <c:order val="1"/>
          <c:tx>
            <c:strRef>
              <c:f>DailyO!$BB$1</c:f>
              <c:strCache>
                <c:ptCount val="1"/>
                <c:pt idx="0">
                  <c:v>CNDNIT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DailyO!$BB$2:$BB$307</c:f>
              <c:numCache>
                <c:formatCode>0.00</c:formatCode>
                <c:ptCount val="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90-4D23-A081-3666DA395FE7}"/>
            </c:ext>
          </c:extLst>
        </c:ser>
        <c:ser>
          <c:idx val="5"/>
          <c:order val="2"/>
          <c:tx>
            <c:strRef>
              <c:f>DailyO!$BD$1</c:f>
              <c:strCache>
                <c:ptCount val="1"/>
                <c:pt idx="0">
                  <c:v>NSOL</c:v>
                </c:pt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  <c:pt idx="0">
                  <c:v>117</c:v>
                </c:pt>
                <c:pt idx="1">
                  <c:v>118</c:v>
                </c:pt>
                <c:pt idx="2">
                  <c:v>119</c:v>
                </c:pt>
                <c:pt idx="3">
                  <c:v>120</c:v>
                </c:pt>
                <c:pt idx="4">
                  <c:v>121</c:v>
                </c:pt>
                <c:pt idx="5">
                  <c:v>122</c:v>
                </c:pt>
                <c:pt idx="6">
                  <c:v>123</c:v>
                </c:pt>
                <c:pt idx="7">
                  <c:v>124</c:v>
                </c:pt>
                <c:pt idx="8">
                  <c:v>125</c:v>
                </c:pt>
                <c:pt idx="9">
                  <c:v>126</c:v>
                </c:pt>
                <c:pt idx="10">
                  <c:v>127</c:v>
                </c:pt>
                <c:pt idx="11">
                  <c:v>128</c:v>
                </c:pt>
                <c:pt idx="12">
                  <c:v>129</c:v>
                </c:pt>
                <c:pt idx="13">
                  <c:v>130</c:v>
                </c:pt>
                <c:pt idx="14">
                  <c:v>131</c:v>
                </c:pt>
                <c:pt idx="15">
                  <c:v>132</c:v>
                </c:pt>
                <c:pt idx="16">
                  <c:v>133</c:v>
                </c:pt>
                <c:pt idx="17">
                  <c:v>134</c:v>
                </c:pt>
                <c:pt idx="18">
                  <c:v>135</c:v>
                </c:pt>
                <c:pt idx="19">
                  <c:v>136</c:v>
                </c:pt>
                <c:pt idx="20">
                  <c:v>137</c:v>
                </c:pt>
                <c:pt idx="21">
                  <c:v>138</c:v>
                </c:pt>
                <c:pt idx="22">
                  <c:v>139</c:v>
                </c:pt>
                <c:pt idx="23">
                  <c:v>140</c:v>
                </c:pt>
                <c:pt idx="24">
                  <c:v>141</c:v>
                </c:pt>
                <c:pt idx="25">
                  <c:v>142</c:v>
                </c:pt>
                <c:pt idx="26">
                  <c:v>143</c:v>
                </c:pt>
                <c:pt idx="27">
                  <c:v>144</c:v>
                </c:pt>
                <c:pt idx="28">
                  <c:v>145</c:v>
                </c:pt>
                <c:pt idx="29">
                  <c:v>146</c:v>
                </c:pt>
                <c:pt idx="30">
                  <c:v>147</c:v>
                </c:pt>
                <c:pt idx="31">
                  <c:v>148</c:v>
                </c:pt>
                <c:pt idx="32">
                  <c:v>149</c:v>
                </c:pt>
                <c:pt idx="33">
                  <c:v>150</c:v>
                </c:pt>
                <c:pt idx="34">
                  <c:v>151</c:v>
                </c:pt>
                <c:pt idx="35">
                  <c:v>152</c:v>
                </c:pt>
                <c:pt idx="36">
                  <c:v>153</c:v>
                </c:pt>
                <c:pt idx="37">
                  <c:v>154</c:v>
                </c:pt>
                <c:pt idx="38">
                  <c:v>155</c:v>
                </c:pt>
                <c:pt idx="39">
                  <c:v>156</c:v>
                </c:pt>
                <c:pt idx="40">
                  <c:v>157</c:v>
                </c:pt>
                <c:pt idx="41">
                  <c:v>158</c:v>
                </c:pt>
                <c:pt idx="42">
                  <c:v>159</c:v>
                </c:pt>
                <c:pt idx="43">
                  <c:v>160</c:v>
                </c:pt>
                <c:pt idx="44">
                  <c:v>161</c:v>
                </c:pt>
                <c:pt idx="45">
                  <c:v>162</c:v>
                </c:pt>
                <c:pt idx="46">
                  <c:v>163</c:v>
                </c:pt>
                <c:pt idx="47">
                  <c:v>164</c:v>
                </c:pt>
                <c:pt idx="48">
                  <c:v>165</c:v>
                </c:pt>
                <c:pt idx="49">
                  <c:v>166</c:v>
                </c:pt>
                <c:pt idx="50">
                  <c:v>167</c:v>
                </c:pt>
                <c:pt idx="51">
                  <c:v>168</c:v>
                </c:pt>
                <c:pt idx="52">
                  <c:v>169</c:v>
                </c:pt>
                <c:pt idx="53">
                  <c:v>170</c:v>
                </c:pt>
                <c:pt idx="54">
                  <c:v>171</c:v>
                </c:pt>
                <c:pt idx="55">
                  <c:v>172</c:v>
                </c:pt>
                <c:pt idx="56">
                  <c:v>173</c:v>
                </c:pt>
                <c:pt idx="57">
                  <c:v>174</c:v>
                </c:pt>
                <c:pt idx="58">
                  <c:v>175</c:v>
                </c:pt>
                <c:pt idx="59">
                  <c:v>176</c:v>
                </c:pt>
                <c:pt idx="60">
                  <c:v>177</c:v>
                </c:pt>
                <c:pt idx="61">
                  <c:v>178</c:v>
                </c:pt>
                <c:pt idx="62">
                  <c:v>179</c:v>
                </c:pt>
                <c:pt idx="63">
                  <c:v>180</c:v>
                </c:pt>
                <c:pt idx="64">
                  <c:v>181</c:v>
                </c:pt>
                <c:pt idx="65">
                  <c:v>182</c:v>
                </c:pt>
                <c:pt idx="66">
                  <c:v>183</c:v>
                </c:pt>
                <c:pt idx="67">
                  <c:v>184</c:v>
                </c:pt>
                <c:pt idx="68">
                  <c:v>185</c:v>
                </c:pt>
                <c:pt idx="69">
                  <c:v>186</c:v>
                </c:pt>
                <c:pt idx="70">
                  <c:v>187</c:v>
                </c:pt>
                <c:pt idx="71">
                  <c:v>188</c:v>
                </c:pt>
                <c:pt idx="72">
                  <c:v>189</c:v>
                </c:pt>
                <c:pt idx="73">
                  <c:v>190</c:v>
                </c:pt>
                <c:pt idx="74">
                  <c:v>191</c:v>
                </c:pt>
                <c:pt idx="75">
                  <c:v>192</c:v>
                </c:pt>
                <c:pt idx="76">
                  <c:v>193</c:v>
                </c:pt>
                <c:pt idx="77">
                  <c:v>194</c:v>
                </c:pt>
                <c:pt idx="78">
                  <c:v>195</c:v>
                </c:pt>
                <c:pt idx="79">
                  <c:v>196</c:v>
                </c:pt>
                <c:pt idx="80">
                  <c:v>197</c:v>
                </c:pt>
                <c:pt idx="81">
                  <c:v>198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203</c:v>
                </c:pt>
                <c:pt idx="87">
                  <c:v>204</c:v>
                </c:pt>
                <c:pt idx="88">
                  <c:v>205</c:v>
                </c:pt>
                <c:pt idx="89">
                  <c:v>206</c:v>
                </c:pt>
                <c:pt idx="90">
                  <c:v>207</c:v>
                </c:pt>
                <c:pt idx="91">
                  <c:v>208</c:v>
                </c:pt>
                <c:pt idx="92">
                  <c:v>209</c:v>
                </c:pt>
                <c:pt idx="93">
                  <c:v>210</c:v>
                </c:pt>
                <c:pt idx="94">
                  <c:v>211</c:v>
                </c:pt>
                <c:pt idx="95">
                  <c:v>212</c:v>
                </c:pt>
                <c:pt idx="96">
                  <c:v>213</c:v>
                </c:pt>
                <c:pt idx="97">
                  <c:v>214</c:v>
                </c:pt>
                <c:pt idx="98">
                  <c:v>215</c:v>
                </c:pt>
                <c:pt idx="99">
                  <c:v>216</c:v>
                </c:pt>
                <c:pt idx="100">
                  <c:v>217</c:v>
                </c:pt>
                <c:pt idx="101">
                  <c:v>218</c:v>
                </c:pt>
                <c:pt idx="102">
                  <c:v>219</c:v>
                </c:pt>
                <c:pt idx="103">
                  <c:v>220</c:v>
                </c:pt>
                <c:pt idx="104">
                  <c:v>221</c:v>
                </c:pt>
                <c:pt idx="105">
                  <c:v>222</c:v>
                </c:pt>
                <c:pt idx="106">
                  <c:v>223</c:v>
                </c:pt>
                <c:pt idx="107">
                  <c:v>224</c:v>
                </c:pt>
                <c:pt idx="108">
                  <c:v>225</c:v>
                </c:pt>
                <c:pt idx="109">
                  <c:v>226</c:v>
                </c:pt>
                <c:pt idx="110">
                  <c:v>227</c:v>
                </c:pt>
                <c:pt idx="111">
                  <c:v>228</c:v>
                </c:pt>
                <c:pt idx="112">
                  <c:v>229</c:v>
                </c:pt>
                <c:pt idx="113">
                  <c:v>230</c:v>
                </c:pt>
                <c:pt idx="114">
                  <c:v>231</c:v>
                </c:pt>
                <c:pt idx="115">
                  <c:v>232</c:v>
                </c:pt>
                <c:pt idx="116">
                  <c:v>233</c:v>
                </c:pt>
                <c:pt idx="117">
                  <c:v>234</c:v>
                </c:pt>
                <c:pt idx="118">
                  <c:v>235</c:v>
                </c:pt>
                <c:pt idx="119">
                  <c:v>236</c:v>
                </c:pt>
                <c:pt idx="120">
                  <c:v>237</c:v>
                </c:pt>
                <c:pt idx="121">
                  <c:v>238</c:v>
                </c:pt>
                <c:pt idx="122">
                  <c:v>239</c:v>
                </c:pt>
                <c:pt idx="123">
                  <c:v>240</c:v>
                </c:pt>
                <c:pt idx="124">
                  <c:v>241</c:v>
                </c:pt>
                <c:pt idx="125">
                  <c:v>242</c:v>
                </c:pt>
                <c:pt idx="126">
                  <c:v>243</c:v>
                </c:pt>
                <c:pt idx="127">
                  <c:v>244</c:v>
                </c:pt>
                <c:pt idx="128">
                  <c:v>245</c:v>
                </c:pt>
                <c:pt idx="129">
                  <c:v>246</c:v>
                </c:pt>
                <c:pt idx="130">
                  <c:v>247</c:v>
                </c:pt>
                <c:pt idx="131">
                  <c:v>248</c:v>
                </c:pt>
                <c:pt idx="132">
                  <c:v>249</c:v>
                </c:pt>
                <c:pt idx="133">
                  <c:v>250</c:v>
                </c:pt>
                <c:pt idx="134">
                  <c:v>251</c:v>
                </c:pt>
                <c:pt idx="135">
                  <c:v>252</c:v>
                </c:pt>
                <c:pt idx="136">
                  <c:v>253</c:v>
                </c:pt>
                <c:pt idx="137">
                  <c:v>254</c:v>
                </c:pt>
                <c:pt idx="138">
                  <c:v>255</c:v>
                </c:pt>
                <c:pt idx="139">
                  <c:v>256</c:v>
                </c:pt>
                <c:pt idx="140">
                  <c:v>257</c:v>
                </c:pt>
                <c:pt idx="141">
                  <c:v>258</c:v>
                </c:pt>
                <c:pt idx="142">
                  <c:v>259</c:v>
                </c:pt>
                <c:pt idx="143">
                  <c:v>260</c:v>
                </c:pt>
                <c:pt idx="144">
                  <c:v>261</c:v>
                </c:pt>
                <c:pt idx="145">
                  <c:v>262</c:v>
                </c:pt>
                <c:pt idx="146">
                  <c:v>263</c:v>
                </c:pt>
                <c:pt idx="147">
                  <c:v>264</c:v>
                </c:pt>
                <c:pt idx="148">
                  <c:v>265</c:v>
                </c:pt>
                <c:pt idx="149">
                  <c:v>266</c:v>
                </c:pt>
                <c:pt idx="150">
                  <c:v>267</c:v>
                </c:pt>
                <c:pt idx="151">
                  <c:v>268</c:v>
                </c:pt>
                <c:pt idx="152">
                  <c:v>269</c:v>
                </c:pt>
                <c:pt idx="153">
                  <c:v>270</c:v>
                </c:pt>
                <c:pt idx="154">
                  <c:v>271</c:v>
                </c:pt>
                <c:pt idx="155">
                  <c:v>272</c:v>
                </c:pt>
                <c:pt idx="156">
                  <c:v>273</c:v>
                </c:pt>
                <c:pt idx="157">
                  <c:v>274</c:v>
                </c:pt>
                <c:pt idx="158">
                  <c:v>275</c:v>
                </c:pt>
                <c:pt idx="159">
                  <c:v>276</c:v>
                </c:pt>
                <c:pt idx="160">
                  <c:v>277</c:v>
                </c:pt>
                <c:pt idx="161">
                  <c:v>278</c:v>
                </c:pt>
                <c:pt idx="162">
                  <c:v>279</c:v>
                </c:pt>
                <c:pt idx="163">
                  <c:v>280</c:v>
                </c:pt>
                <c:pt idx="164">
                  <c:v>281</c:v>
                </c:pt>
                <c:pt idx="165">
                  <c:v>282</c:v>
                </c:pt>
                <c:pt idx="166">
                  <c:v>283</c:v>
                </c:pt>
                <c:pt idx="167">
                  <c:v>284</c:v>
                </c:pt>
                <c:pt idx="168">
                  <c:v>285</c:v>
                </c:pt>
                <c:pt idx="169">
                  <c:v>286</c:v>
                </c:pt>
                <c:pt idx="170">
                  <c:v>287</c:v>
                </c:pt>
                <c:pt idx="171">
                  <c:v>288</c:v>
                </c:pt>
                <c:pt idx="172">
                  <c:v>289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293</c:v>
                </c:pt>
                <c:pt idx="177">
                  <c:v>294</c:v>
                </c:pt>
                <c:pt idx="178">
                  <c:v>295</c:v>
                </c:pt>
                <c:pt idx="179">
                  <c:v>296</c:v>
                </c:pt>
                <c:pt idx="180">
                  <c:v>297</c:v>
                </c:pt>
                <c:pt idx="181">
                  <c:v>298</c:v>
                </c:pt>
                <c:pt idx="182">
                  <c:v>299</c:v>
                </c:pt>
                <c:pt idx="183">
                  <c:v>300</c:v>
                </c:pt>
                <c:pt idx="184">
                  <c:v>301</c:v>
                </c:pt>
                <c:pt idx="185">
                  <c:v>302</c:v>
                </c:pt>
                <c:pt idx="186">
                  <c:v>303</c:v>
                </c:pt>
                <c:pt idx="187">
                  <c:v>304</c:v>
                </c:pt>
                <c:pt idx="188">
                  <c:v>305</c:v>
                </c:pt>
                <c:pt idx="189">
                  <c:v>306</c:v>
                </c:pt>
                <c:pt idx="190">
                  <c:v>307</c:v>
                </c:pt>
                <c:pt idx="191">
                  <c:v>308</c:v>
                </c:pt>
                <c:pt idx="192">
                  <c:v>309</c:v>
                </c:pt>
                <c:pt idx="193">
                  <c:v>310</c:v>
                </c:pt>
                <c:pt idx="194">
                  <c:v>311</c:v>
                </c:pt>
                <c:pt idx="195">
                  <c:v>312</c:v>
                </c:pt>
                <c:pt idx="196">
                  <c:v>313</c:v>
                </c:pt>
                <c:pt idx="197">
                  <c:v>314</c:v>
                </c:pt>
                <c:pt idx="198">
                  <c:v>315</c:v>
                </c:pt>
                <c:pt idx="199">
                  <c:v>316</c:v>
                </c:pt>
                <c:pt idx="200">
                  <c:v>317</c:v>
                </c:pt>
                <c:pt idx="201">
                  <c:v>318</c:v>
                </c:pt>
                <c:pt idx="202">
                  <c:v>319</c:v>
                </c:pt>
                <c:pt idx="203">
                  <c:v>320</c:v>
                </c:pt>
                <c:pt idx="204">
                  <c:v>321</c:v>
                </c:pt>
                <c:pt idx="205">
                  <c:v>322</c:v>
                </c:pt>
                <c:pt idx="206">
                  <c:v>323</c:v>
                </c:pt>
                <c:pt idx="207">
                  <c:v>324</c:v>
                </c:pt>
                <c:pt idx="208">
                  <c:v>325</c:v>
                </c:pt>
                <c:pt idx="209">
                  <c:v>326</c:v>
                </c:pt>
                <c:pt idx="210">
                  <c:v>327</c:v>
                </c:pt>
                <c:pt idx="211">
                  <c:v>328</c:v>
                </c:pt>
                <c:pt idx="212">
                  <c:v>329</c:v>
                </c:pt>
                <c:pt idx="213">
                  <c:v>330</c:v>
                </c:pt>
                <c:pt idx="214">
                  <c:v>331</c:v>
                </c:pt>
                <c:pt idx="215">
                  <c:v>332</c:v>
                </c:pt>
                <c:pt idx="216">
                  <c:v>333</c:v>
                </c:pt>
                <c:pt idx="217">
                  <c:v>334</c:v>
                </c:pt>
                <c:pt idx="218">
                  <c:v>335</c:v>
                </c:pt>
                <c:pt idx="219">
                  <c:v>336</c:v>
                </c:pt>
                <c:pt idx="220">
                  <c:v>337</c:v>
                </c:pt>
                <c:pt idx="221">
                  <c:v>338</c:v>
                </c:pt>
                <c:pt idx="222">
                  <c:v>339</c:v>
                </c:pt>
                <c:pt idx="223">
                  <c:v>340</c:v>
                </c:pt>
                <c:pt idx="224">
                  <c:v>341</c:v>
                </c:pt>
                <c:pt idx="225">
                  <c:v>342</c:v>
                </c:pt>
                <c:pt idx="226">
                  <c:v>343</c:v>
                </c:pt>
                <c:pt idx="227">
                  <c:v>344</c:v>
                </c:pt>
                <c:pt idx="228">
                  <c:v>345</c:v>
                </c:pt>
                <c:pt idx="229">
                  <c:v>346</c:v>
                </c:pt>
                <c:pt idx="230">
                  <c:v>347</c:v>
                </c:pt>
                <c:pt idx="231">
                  <c:v>348</c:v>
                </c:pt>
                <c:pt idx="232">
                  <c:v>349</c:v>
                </c:pt>
                <c:pt idx="233">
                  <c:v>350</c:v>
                </c:pt>
                <c:pt idx="234">
                  <c:v>351</c:v>
                </c:pt>
                <c:pt idx="235">
                  <c:v>352</c:v>
                </c:pt>
                <c:pt idx="236">
                  <c:v>353</c:v>
                </c:pt>
                <c:pt idx="237">
                  <c:v>354</c:v>
                </c:pt>
                <c:pt idx="238">
                  <c:v>355</c:v>
                </c:pt>
                <c:pt idx="239">
                  <c:v>356</c:v>
                </c:pt>
                <c:pt idx="240">
                  <c:v>357</c:v>
                </c:pt>
                <c:pt idx="241">
                  <c:v>358</c:v>
                </c:pt>
                <c:pt idx="242">
                  <c:v>359</c:v>
                </c:pt>
                <c:pt idx="243">
                  <c:v>360</c:v>
                </c:pt>
                <c:pt idx="244">
                  <c:v>361</c:v>
                </c:pt>
                <c:pt idx="245">
                  <c:v>362</c:v>
                </c:pt>
                <c:pt idx="246">
                  <c:v>363</c:v>
                </c:pt>
                <c:pt idx="247">
                  <c:v>364</c:v>
                </c:pt>
                <c:pt idx="248">
                  <c:v>365</c:v>
                </c:pt>
                <c:pt idx="249">
                  <c:v>1</c:v>
                </c:pt>
                <c:pt idx="250">
                  <c:v>2</c:v>
                </c:pt>
                <c:pt idx="251">
                  <c:v>3</c:v>
                </c:pt>
                <c:pt idx="252">
                  <c:v>4</c:v>
                </c:pt>
                <c:pt idx="253">
                  <c:v>5</c:v>
                </c:pt>
                <c:pt idx="254">
                  <c:v>6</c:v>
                </c:pt>
                <c:pt idx="255">
                  <c:v>7</c:v>
                </c:pt>
                <c:pt idx="256">
                  <c:v>8</c:v>
                </c:pt>
                <c:pt idx="257">
                  <c:v>9</c:v>
                </c:pt>
                <c:pt idx="258">
                  <c:v>10</c:v>
                </c:pt>
                <c:pt idx="259">
                  <c:v>11</c:v>
                </c:pt>
                <c:pt idx="260">
                  <c:v>12</c:v>
                </c:pt>
                <c:pt idx="261">
                  <c:v>13</c:v>
                </c:pt>
                <c:pt idx="262">
                  <c:v>14</c:v>
                </c:pt>
                <c:pt idx="263">
                  <c:v>15</c:v>
                </c:pt>
                <c:pt idx="264">
                  <c:v>16</c:v>
                </c:pt>
                <c:pt idx="265">
                  <c:v>17</c:v>
                </c:pt>
                <c:pt idx="266">
                  <c:v>18</c:v>
                </c:pt>
                <c:pt idx="267">
                  <c:v>19</c:v>
                </c:pt>
                <c:pt idx="268">
                  <c:v>20</c:v>
                </c:pt>
              </c:numCache>
            </c:numRef>
          </c:xVal>
          <c:yVal>
            <c:numRef>
              <c:f>DailyO!$BD$2:$BD$307</c:f>
              <c:numCache>
                <c:formatCode>0.00</c:formatCode>
                <c:ptCount val="306"/>
                <c:pt idx="0">
                  <c:v>1.8812318036138005</c:v>
                </c:pt>
                <c:pt idx="1">
                  <c:v>1.8820041947185944</c:v>
                </c:pt>
                <c:pt idx="2">
                  <c:v>1.8827002933679835</c:v>
                </c:pt>
                <c:pt idx="3">
                  <c:v>1.8833197185180066</c:v>
                </c:pt>
                <c:pt idx="4">
                  <c:v>1.8840430836607287</c:v>
                </c:pt>
                <c:pt idx="5">
                  <c:v>1.8850306556461418</c:v>
                </c:pt>
                <c:pt idx="6">
                  <c:v>1.886102534558912</c:v>
                </c:pt>
                <c:pt idx="7">
                  <c:v>1.8874099216199403</c:v>
                </c:pt>
                <c:pt idx="8">
                  <c:v>1.8887903779131752</c:v>
                </c:pt>
                <c:pt idx="9">
                  <c:v>1.8902901886105776</c:v>
                </c:pt>
                <c:pt idx="10">
                  <c:v>1.8916403804091284</c:v>
                </c:pt>
                <c:pt idx="11">
                  <c:v>1.8926607201271874</c:v>
                </c:pt>
                <c:pt idx="12">
                  <c:v>1.8934144120170742</c:v>
                </c:pt>
                <c:pt idx="13">
                  <c:v>1.8941565401815237</c:v>
                </c:pt>
                <c:pt idx="14">
                  <c:v>1.895161417641098</c:v>
                </c:pt>
                <c:pt idx="15">
                  <c:v>1.8965354715964504</c:v>
                </c:pt>
                <c:pt idx="16">
                  <c:v>1.8980391548613205</c:v>
                </c:pt>
                <c:pt idx="17">
                  <c:v>1.899316211270937</c:v>
                </c:pt>
                <c:pt idx="18">
                  <c:v>1.9004142302233813</c:v>
                </c:pt>
                <c:pt idx="19">
                  <c:v>1.901613777012356</c:v>
                </c:pt>
                <c:pt idx="20">
                  <c:v>1.9030373106170648</c:v>
                </c:pt>
                <c:pt idx="21">
                  <c:v>1.904481301002849</c:v>
                </c:pt>
                <c:pt idx="22">
                  <c:v>1.9060608185695402</c:v>
                </c:pt>
                <c:pt idx="23">
                  <c:v>1.9075843702282027</c:v>
                </c:pt>
                <c:pt idx="24">
                  <c:v>1.9091745852109772</c:v>
                </c:pt>
                <c:pt idx="25">
                  <c:v>1.9108399951083084</c:v>
                </c:pt>
                <c:pt idx="26">
                  <c:v>1.9127649092969516</c:v>
                </c:pt>
                <c:pt idx="27">
                  <c:v>1.9149622416286229</c:v>
                </c:pt>
                <c:pt idx="28">
                  <c:v>1.9169899210370596</c:v>
                </c:pt>
                <c:pt idx="29">
                  <c:v>1.9185838575602738</c:v>
                </c:pt>
                <c:pt idx="30">
                  <c:v>1.9201717682095882</c:v>
                </c:pt>
                <c:pt idx="31">
                  <c:v>1.9218053828874497</c:v>
                </c:pt>
                <c:pt idx="32">
                  <c:v>1.9235528320369348</c:v>
                </c:pt>
                <c:pt idx="33">
                  <c:v>1.9251510949210098</c:v>
                </c:pt>
                <c:pt idx="34">
                  <c:v>1.9266437362143409</c:v>
                </c:pt>
                <c:pt idx="35">
                  <c:v>1.9281906765574606</c:v>
                </c:pt>
                <c:pt idx="36">
                  <c:v>1.9297709107264578</c:v>
                </c:pt>
                <c:pt idx="37">
                  <c:v>1.9313735822973594</c:v>
                </c:pt>
                <c:pt idx="38">
                  <c:v>1.9332466085186635</c:v>
                </c:pt>
                <c:pt idx="39">
                  <c:v>1.9352254695123294</c:v>
                </c:pt>
                <c:pt idx="40">
                  <c:v>1.9370335364423572</c:v>
                </c:pt>
                <c:pt idx="41">
                  <c:v>1.9385059925164358</c:v>
                </c:pt>
                <c:pt idx="42">
                  <c:v>1.9397498743090305</c:v>
                </c:pt>
                <c:pt idx="43">
                  <c:v>1.9407723221353375</c:v>
                </c:pt>
                <c:pt idx="44">
                  <c:v>1.9415599927619338</c:v>
                </c:pt>
                <c:pt idx="45">
                  <c:v>1.9421509654481088</c:v>
                </c:pt>
                <c:pt idx="46">
                  <c:v>1.9423264183837161</c:v>
                </c:pt>
                <c:pt idx="47">
                  <c:v>1.9424416518251619</c:v>
                </c:pt>
                <c:pt idx="48">
                  <c:v>1.9425467751595842</c:v>
                </c:pt>
                <c:pt idx="49">
                  <c:v>1.942581071841591</c:v>
                </c:pt>
                <c:pt idx="50">
                  <c:v>1.942581071841591</c:v>
                </c:pt>
                <c:pt idx="51">
                  <c:v>1.942581071841591</c:v>
                </c:pt>
                <c:pt idx="52">
                  <c:v>1.942581071841591</c:v>
                </c:pt>
                <c:pt idx="53">
                  <c:v>1.942581071841591</c:v>
                </c:pt>
                <c:pt idx="54">
                  <c:v>1.942581071841591</c:v>
                </c:pt>
                <c:pt idx="55">
                  <c:v>1.942581071841591</c:v>
                </c:pt>
                <c:pt idx="56">
                  <c:v>1.942581071841591</c:v>
                </c:pt>
                <c:pt idx="57">
                  <c:v>1.942581071841591</c:v>
                </c:pt>
                <c:pt idx="58">
                  <c:v>1.942581071841591</c:v>
                </c:pt>
                <c:pt idx="59">
                  <c:v>1.942581071841591</c:v>
                </c:pt>
                <c:pt idx="60">
                  <c:v>1.942581071841591</c:v>
                </c:pt>
                <c:pt idx="61">
                  <c:v>1.942581071841591</c:v>
                </c:pt>
                <c:pt idx="62">
                  <c:v>1.942581071841591</c:v>
                </c:pt>
                <c:pt idx="63">
                  <c:v>1.942581071841591</c:v>
                </c:pt>
                <c:pt idx="64">
                  <c:v>1.942581071841591</c:v>
                </c:pt>
                <c:pt idx="65">
                  <c:v>1.942581071841591</c:v>
                </c:pt>
                <c:pt idx="66">
                  <c:v>1.942581071841591</c:v>
                </c:pt>
                <c:pt idx="67">
                  <c:v>1.942581071841591</c:v>
                </c:pt>
                <c:pt idx="68">
                  <c:v>1.942581071841591</c:v>
                </c:pt>
                <c:pt idx="69">
                  <c:v>1.942581071841591</c:v>
                </c:pt>
                <c:pt idx="70">
                  <c:v>1.942581071841591</c:v>
                </c:pt>
                <c:pt idx="71">
                  <c:v>1.942581071841591</c:v>
                </c:pt>
                <c:pt idx="72">
                  <c:v>1.942581071841591</c:v>
                </c:pt>
                <c:pt idx="73">
                  <c:v>1.942581071841591</c:v>
                </c:pt>
                <c:pt idx="74">
                  <c:v>1.942581071841591</c:v>
                </c:pt>
                <c:pt idx="75">
                  <c:v>1.942581071841591</c:v>
                </c:pt>
                <c:pt idx="76">
                  <c:v>1.942581071841591</c:v>
                </c:pt>
                <c:pt idx="77">
                  <c:v>1.942581071841591</c:v>
                </c:pt>
                <c:pt idx="78">
                  <c:v>1.942581071841591</c:v>
                </c:pt>
                <c:pt idx="79">
                  <c:v>1.942581071841591</c:v>
                </c:pt>
                <c:pt idx="80">
                  <c:v>1.942581071841591</c:v>
                </c:pt>
                <c:pt idx="81">
                  <c:v>1.942581071841591</c:v>
                </c:pt>
                <c:pt idx="82">
                  <c:v>1.942581071841591</c:v>
                </c:pt>
                <c:pt idx="83">
                  <c:v>1.942581071841591</c:v>
                </c:pt>
                <c:pt idx="84">
                  <c:v>1.942581071841591</c:v>
                </c:pt>
                <c:pt idx="85">
                  <c:v>1.942581071841591</c:v>
                </c:pt>
                <c:pt idx="86">
                  <c:v>1.942581071841591</c:v>
                </c:pt>
                <c:pt idx="87">
                  <c:v>1.942581071841591</c:v>
                </c:pt>
                <c:pt idx="88">
                  <c:v>1.942581071841591</c:v>
                </c:pt>
                <c:pt idx="89">
                  <c:v>1.942581071841591</c:v>
                </c:pt>
                <c:pt idx="90">
                  <c:v>1.942581071841591</c:v>
                </c:pt>
                <c:pt idx="91">
                  <c:v>1.942581071841591</c:v>
                </c:pt>
                <c:pt idx="92">
                  <c:v>1.942581071841591</c:v>
                </c:pt>
                <c:pt idx="93">
                  <c:v>1.942581071841591</c:v>
                </c:pt>
                <c:pt idx="94">
                  <c:v>1.942581071841591</c:v>
                </c:pt>
                <c:pt idx="95">
                  <c:v>1.942581071841591</c:v>
                </c:pt>
                <c:pt idx="96">
                  <c:v>1.942581071841591</c:v>
                </c:pt>
                <c:pt idx="97">
                  <c:v>1.942581071841591</c:v>
                </c:pt>
                <c:pt idx="98">
                  <c:v>1.942581071841591</c:v>
                </c:pt>
                <c:pt idx="99">
                  <c:v>1.942581071841591</c:v>
                </c:pt>
                <c:pt idx="100">
                  <c:v>1.942581071841591</c:v>
                </c:pt>
                <c:pt idx="101">
                  <c:v>1.942581071841591</c:v>
                </c:pt>
                <c:pt idx="102">
                  <c:v>1.942581071841591</c:v>
                </c:pt>
                <c:pt idx="103">
                  <c:v>1.942581071841591</c:v>
                </c:pt>
                <c:pt idx="104">
                  <c:v>1.942581071841591</c:v>
                </c:pt>
                <c:pt idx="105">
                  <c:v>1.942581071841591</c:v>
                </c:pt>
                <c:pt idx="106">
                  <c:v>1.942581071841591</c:v>
                </c:pt>
                <c:pt idx="107">
                  <c:v>1.942581071841591</c:v>
                </c:pt>
                <c:pt idx="108">
                  <c:v>1.942581071841591</c:v>
                </c:pt>
                <c:pt idx="109">
                  <c:v>1.942581071841591</c:v>
                </c:pt>
                <c:pt idx="110">
                  <c:v>1.942581071841591</c:v>
                </c:pt>
                <c:pt idx="111">
                  <c:v>1.942581071841591</c:v>
                </c:pt>
                <c:pt idx="112">
                  <c:v>1.942581071841591</c:v>
                </c:pt>
                <c:pt idx="113">
                  <c:v>1.942581071841591</c:v>
                </c:pt>
                <c:pt idx="114">
                  <c:v>1.942581071841591</c:v>
                </c:pt>
                <c:pt idx="115">
                  <c:v>1.942581071841591</c:v>
                </c:pt>
                <c:pt idx="116">
                  <c:v>1.942581071841591</c:v>
                </c:pt>
                <c:pt idx="117">
                  <c:v>1.942581071841591</c:v>
                </c:pt>
                <c:pt idx="118">
                  <c:v>1.942581071841591</c:v>
                </c:pt>
                <c:pt idx="119">
                  <c:v>1.942581071841591</c:v>
                </c:pt>
                <c:pt idx="120">
                  <c:v>1.942581071841591</c:v>
                </c:pt>
                <c:pt idx="121">
                  <c:v>1.942581071841591</c:v>
                </c:pt>
                <c:pt idx="122">
                  <c:v>1.942581071841591</c:v>
                </c:pt>
                <c:pt idx="123">
                  <c:v>1.942581071841591</c:v>
                </c:pt>
                <c:pt idx="124">
                  <c:v>1.942581071841591</c:v>
                </c:pt>
                <c:pt idx="125">
                  <c:v>1.942581071841591</c:v>
                </c:pt>
                <c:pt idx="126">
                  <c:v>1.942581071841591</c:v>
                </c:pt>
                <c:pt idx="127">
                  <c:v>1.942581071841591</c:v>
                </c:pt>
                <c:pt idx="128">
                  <c:v>1.942581071841591</c:v>
                </c:pt>
                <c:pt idx="129">
                  <c:v>1.942581071841591</c:v>
                </c:pt>
                <c:pt idx="130">
                  <c:v>1.942581071841591</c:v>
                </c:pt>
                <c:pt idx="131">
                  <c:v>1.942581071841591</c:v>
                </c:pt>
                <c:pt idx="132">
                  <c:v>1.942581071841591</c:v>
                </c:pt>
                <c:pt idx="133">
                  <c:v>1.942581071841591</c:v>
                </c:pt>
                <c:pt idx="134">
                  <c:v>1.942581071841591</c:v>
                </c:pt>
                <c:pt idx="135">
                  <c:v>1.942581071841591</c:v>
                </c:pt>
                <c:pt idx="136">
                  <c:v>1.942581071841591</c:v>
                </c:pt>
                <c:pt idx="137">
                  <c:v>1.942581071841591</c:v>
                </c:pt>
                <c:pt idx="138">
                  <c:v>1.942581071841591</c:v>
                </c:pt>
                <c:pt idx="139">
                  <c:v>1.942581071841591</c:v>
                </c:pt>
                <c:pt idx="140">
                  <c:v>1.942581071841591</c:v>
                </c:pt>
                <c:pt idx="141">
                  <c:v>1.942581071841591</c:v>
                </c:pt>
                <c:pt idx="142">
                  <c:v>1.942581071841591</c:v>
                </c:pt>
                <c:pt idx="143">
                  <c:v>1.942581071841591</c:v>
                </c:pt>
                <c:pt idx="144">
                  <c:v>1.942581071841591</c:v>
                </c:pt>
                <c:pt idx="145">
                  <c:v>1.942581071841591</c:v>
                </c:pt>
                <c:pt idx="146">
                  <c:v>1.942581071841591</c:v>
                </c:pt>
                <c:pt idx="147">
                  <c:v>1.942581071841591</c:v>
                </c:pt>
                <c:pt idx="148">
                  <c:v>1.942581071841591</c:v>
                </c:pt>
                <c:pt idx="149">
                  <c:v>1.942581071841591</c:v>
                </c:pt>
                <c:pt idx="150">
                  <c:v>1.942581071841591</c:v>
                </c:pt>
                <c:pt idx="151">
                  <c:v>1.942581071841591</c:v>
                </c:pt>
                <c:pt idx="152">
                  <c:v>1.942581071841591</c:v>
                </c:pt>
                <c:pt idx="153">
                  <c:v>1.942581071841591</c:v>
                </c:pt>
                <c:pt idx="154">
                  <c:v>1.942581071841591</c:v>
                </c:pt>
                <c:pt idx="155">
                  <c:v>1.942581071841591</c:v>
                </c:pt>
                <c:pt idx="156">
                  <c:v>1.942581071841591</c:v>
                </c:pt>
                <c:pt idx="157">
                  <c:v>1.942581071841591</c:v>
                </c:pt>
                <c:pt idx="158">
                  <c:v>1.942581071841591</c:v>
                </c:pt>
                <c:pt idx="159">
                  <c:v>1.942581071841591</c:v>
                </c:pt>
                <c:pt idx="160">
                  <c:v>1.942581071841591</c:v>
                </c:pt>
                <c:pt idx="161">
                  <c:v>1.942581071841591</c:v>
                </c:pt>
                <c:pt idx="162">
                  <c:v>1.942581071841591</c:v>
                </c:pt>
                <c:pt idx="163">
                  <c:v>1.942581071841591</c:v>
                </c:pt>
                <c:pt idx="164">
                  <c:v>1.942581071841591</c:v>
                </c:pt>
                <c:pt idx="165">
                  <c:v>1.942581071841591</c:v>
                </c:pt>
                <c:pt idx="166">
                  <c:v>1.942581071841591</c:v>
                </c:pt>
                <c:pt idx="167">
                  <c:v>1.942581071841591</c:v>
                </c:pt>
                <c:pt idx="168">
                  <c:v>1.942581071841591</c:v>
                </c:pt>
                <c:pt idx="169">
                  <c:v>1.942581071841591</c:v>
                </c:pt>
                <c:pt idx="170">
                  <c:v>1.942581071841591</c:v>
                </c:pt>
                <c:pt idx="171">
                  <c:v>1.942581071841591</c:v>
                </c:pt>
                <c:pt idx="172">
                  <c:v>1.942581071841591</c:v>
                </c:pt>
                <c:pt idx="173">
                  <c:v>1.942581071841591</c:v>
                </c:pt>
                <c:pt idx="174">
                  <c:v>1.942581071841591</c:v>
                </c:pt>
                <c:pt idx="175">
                  <c:v>1.942581071841591</c:v>
                </c:pt>
                <c:pt idx="176">
                  <c:v>1.942581071841591</c:v>
                </c:pt>
                <c:pt idx="177">
                  <c:v>1.942581071841591</c:v>
                </c:pt>
                <c:pt idx="178">
                  <c:v>1.942581071841591</c:v>
                </c:pt>
                <c:pt idx="179">
                  <c:v>1.942581071841591</c:v>
                </c:pt>
                <c:pt idx="180">
                  <c:v>1.942581071841591</c:v>
                </c:pt>
                <c:pt idx="181">
                  <c:v>1.942581071841591</c:v>
                </c:pt>
                <c:pt idx="182">
                  <c:v>1.942581071841591</c:v>
                </c:pt>
                <c:pt idx="183">
                  <c:v>1.942581071841591</c:v>
                </c:pt>
                <c:pt idx="184">
                  <c:v>1.942581071841591</c:v>
                </c:pt>
                <c:pt idx="185">
                  <c:v>1.942581071841591</c:v>
                </c:pt>
                <c:pt idx="186">
                  <c:v>1.942581071841591</c:v>
                </c:pt>
                <c:pt idx="187">
                  <c:v>1.942581071841591</c:v>
                </c:pt>
                <c:pt idx="188">
                  <c:v>1.942581071841591</c:v>
                </c:pt>
                <c:pt idx="189">
                  <c:v>1.942581071841591</c:v>
                </c:pt>
                <c:pt idx="190">
                  <c:v>1.942581071841591</c:v>
                </c:pt>
                <c:pt idx="191">
                  <c:v>1.942581071841591</c:v>
                </c:pt>
                <c:pt idx="192">
                  <c:v>1.942581071841591</c:v>
                </c:pt>
                <c:pt idx="193">
                  <c:v>1.942581071841591</c:v>
                </c:pt>
                <c:pt idx="194">
                  <c:v>1.942581071841591</c:v>
                </c:pt>
                <c:pt idx="195">
                  <c:v>1.942581071841591</c:v>
                </c:pt>
                <c:pt idx="196">
                  <c:v>1.942581071841591</c:v>
                </c:pt>
                <c:pt idx="197">
                  <c:v>1.942581071841591</c:v>
                </c:pt>
                <c:pt idx="198">
                  <c:v>1.942581071841591</c:v>
                </c:pt>
                <c:pt idx="199">
                  <c:v>1.942581071841591</c:v>
                </c:pt>
                <c:pt idx="200">
                  <c:v>1.942581071841591</c:v>
                </c:pt>
                <c:pt idx="201">
                  <c:v>1.942581071841591</c:v>
                </c:pt>
                <c:pt idx="202">
                  <c:v>1.942581071841591</c:v>
                </c:pt>
                <c:pt idx="203">
                  <c:v>1.942581071841591</c:v>
                </c:pt>
                <c:pt idx="204">
                  <c:v>1.942581071841591</c:v>
                </c:pt>
                <c:pt idx="205">
                  <c:v>1.942581071841591</c:v>
                </c:pt>
                <c:pt idx="206">
                  <c:v>1.942581071841591</c:v>
                </c:pt>
                <c:pt idx="207">
                  <c:v>1.942581071841591</c:v>
                </c:pt>
                <c:pt idx="208">
                  <c:v>1.942581071841591</c:v>
                </c:pt>
                <c:pt idx="209">
                  <c:v>1.942581071841591</c:v>
                </c:pt>
                <c:pt idx="210">
                  <c:v>1.942581071841591</c:v>
                </c:pt>
                <c:pt idx="211">
                  <c:v>1.942581071841591</c:v>
                </c:pt>
                <c:pt idx="212">
                  <c:v>1.942581071841591</c:v>
                </c:pt>
                <c:pt idx="213">
                  <c:v>1.942581071841591</c:v>
                </c:pt>
                <c:pt idx="214">
                  <c:v>1.942581071841591</c:v>
                </c:pt>
                <c:pt idx="215">
                  <c:v>1.942581071841591</c:v>
                </c:pt>
                <c:pt idx="216">
                  <c:v>1.942581071841591</c:v>
                </c:pt>
                <c:pt idx="217">
                  <c:v>1.942581071841591</c:v>
                </c:pt>
                <c:pt idx="218">
                  <c:v>1.942581071841591</c:v>
                </c:pt>
                <c:pt idx="219">
                  <c:v>1.942581071841591</c:v>
                </c:pt>
                <c:pt idx="220">
                  <c:v>1.942581071841591</c:v>
                </c:pt>
                <c:pt idx="221">
                  <c:v>1.942581071841591</c:v>
                </c:pt>
                <c:pt idx="222">
                  <c:v>1.942581071841591</c:v>
                </c:pt>
                <c:pt idx="223">
                  <c:v>1.942581071841591</c:v>
                </c:pt>
                <c:pt idx="224">
                  <c:v>1.942581071841591</c:v>
                </c:pt>
                <c:pt idx="225">
                  <c:v>1.942581071841591</c:v>
                </c:pt>
                <c:pt idx="226">
                  <c:v>1.942581071841591</c:v>
                </c:pt>
                <c:pt idx="227">
                  <c:v>1.942581071841591</c:v>
                </c:pt>
                <c:pt idx="228">
                  <c:v>1.942581071841591</c:v>
                </c:pt>
                <c:pt idx="229">
                  <c:v>1.942581071841591</c:v>
                </c:pt>
                <c:pt idx="230">
                  <c:v>1.942581071841591</c:v>
                </c:pt>
                <c:pt idx="231">
                  <c:v>1.942581071841591</c:v>
                </c:pt>
                <c:pt idx="232">
                  <c:v>1.942581071841591</c:v>
                </c:pt>
                <c:pt idx="233">
                  <c:v>1.942581071841591</c:v>
                </c:pt>
                <c:pt idx="234">
                  <c:v>1.942581071841591</c:v>
                </c:pt>
                <c:pt idx="235">
                  <c:v>1.942581071841591</c:v>
                </c:pt>
                <c:pt idx="236">
                  <c:v>1.942581071841591</c:v>
                </c:pt>
                <c:pt idx="237">
                  <c:v>1.942581071841591</c:v>
                </c:pt>
                <c:pt idx="238">
                  <c:v>1.942581071841591</c:v>
                </c:pt>
                <c:pt idx="239">
                  <c:v>1.942581071841591</c:v>
                </c:pt>
                <c:pt idx="240">
                  <c:v>1.942581071841591</c:v>
                </c:pt>
                <c:pt idx="241">
                  <c:v>1.942581071841591</c:v>
                </c:pt>
                <c:pt idx="242">
                  <c:v>1.942581071841591</c:v>
                </c:pt>
                <c:pt idx="243">
                  <c:v>1.942581071841591</c:v>
                </c:pt>
                <c:pt idx="244">
                  <c:v>1.942581071841591</c:v>
                </c:pt>
                <c:pt idx="245">
                  <c:v>1.942581071841591</c:v>
                </c:pt>
                <c:pt idx="246">
                  <c:v>1.942581071841591</c:v>
                </c:pt>
                <c:pt idx="247">
                  <c:v>1.942581071841591</c:v>
                </c:pt>
                <c:pt idx="248">
                  <c:v>1.942581071841591</c:v>
                </c:pt>
                <c:pt idx="249">
                  <c:v>1.942581071841591</c:v>
                </c:pt>
                <c:pt idx="250">
                  <c:v>1.942581071841591</c:v>
                </c:pt>
                <c:pt idx="251">
                  <c:v>1.942581071841591</c:v>
                </c:pt>
                <c:pt idx="252">
                  <c:v>1.942581071841591</c:v>
                </c:pt>
                <c:pt idx="253">
                  <c:v>1.942581071841591</c:v>
                </c:pt>
                <c:pt idx="254">
                  <c:v>1.942581071841591</c:v>
                </c:pt>
                <c:pt idx="255">
                  <c:v>1.942581071841591</c:v>
                </c:pt>
                <c:pt idx="256">
                  <c:v>1.942581071841591</c:v>
                </c:pt>
                <c:pt idx="257">
                  <c:v>1.942581071841591</c:v>
                </c:pt>
                <c:pt idx="258">
                  <c:v>1.942581071841591</c:v>
                </c:pt>
                <c:pt idx="259">
                  <c:v>1.942581071841591</c:v>
                </c:pt>
                <c:pt idx="260">
                  <c:v>1.942581071841591</c:v>
                </c:pt>
                <c:pt idx="261">
                  <c:v>1.942581071841591</c:v>
                </c:pt>
                <c:pt idx="262">
                  <c:v>1.9431659350288055</c:v>
                </c:pt>
                <c:pt idx="263">
                  <c:v>1.9438429693721044</c:v>
                </c:pt>
                <c:pt idx="264">
                  <c:v>1.9449537370950334</c:v>
                </c:pt>
                <c:pt idx="265">
                  <c:v>1.9461299665461509</c:v>
                </c:pt>
                <c:pt idx="266">
                  <c:v>1.9470484416494211</c:v>
                </c:pt>
                <c:pt idx="267">
                  <c:v>1.9480450058633534</c:v>
                </c:pt>
                <c:pt idx="268">
                  <c:v>1.9493274278842228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90-4D23-A081-3666DA395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35744"/>
        <c:axId val="71136320"/>
      </c:scatterChart>
      <c:valAx>
        <c:axId val="7113574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1136320"/>
        <c:crosses val="autoZero"/>
        <c:crossBetween val="midCat"/>
        <c:majorUnit val="50"/>
      </c:valAx>
      <c:valAx>
        <c:axId val="71136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11357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807532086012191"/>
          <c:y val="6.4748201438848921E-2"/>
          <c:w val="0.2415908561888479"/>
          <c:h val="0.1582733812949640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3</xdr:row>
          <xdr:rowOff>0</xdr:rowOff>
        </xdr:from>
        <xdr:to>
          <xdr:col>6</xdr:col>
          <xdr:colOff>755650</xdr:colOff>
          <xdr:row>26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MA" sz="14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5</xdr:col>
      <xdr:colOff>0</xdr:colOff>
      <xdr:row>16</xdr:row>
      <xdr:rowOff>0</xdr:rowOff>
    </xdr:to>
    <xdr:graphicFrame macro="">
      <xdr:nvGraphicFramePr>
        <xdr:cNvPr id="10084692" name="Chart 1">
          <a:extLst>
            <a:ext uri="{FF2B5EF4-FFF2-40B4-BE49-F238E27FC236}">
              <a16:creationId xmlns:a16="http://schemas.microsoft.com/office/drawing/2014/main" id="{00000000-0008-0000-0200-000054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10</xdr:col>
      <xdr:colOff>19050</xdr:colOff>
      <xdr:row>16</xdr:row>
      <xdr:rowOff>9525</xdr:rowOff>
    </xdr:to>
    <xdr:graphicFrame macro="">
      <xdr:nvGraphicFramePr>
        <xdr:cNvPr id="10084693" name="Chart 3">
          <a:extLst>
            <a:ext uri="{FF2B5EF4-FFF2-40B4-BE49-F238E27FC236}">
              <a16:creationId xmlns:a16="http://schemas.microsoft.com/office/drawing/2014/main" id="{00000000-0008-0000-0200-000055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0</xdr:row>
      <xdr:rowOff>0</xdr:rowOff>
    </xdr:from>
    <xdr:to>
      <xdr:col>15</xdr:col>
      <xdr:colOff>19050</xdr:colOff>
      <xdr:row>16</xdr:row>
      <xdr:rowOff>19050</xdr:rowOff>
    </xdr:to>
    <xdr:graphicFrame macro="">
      <xdr:nvGraphicFramePr>
        <xdr:cNvPr id="10084694" name="Chart 4">
          <a:extLst>
            <a:ext uri="{FF2B5EF4-FFF2-40B4-BE49-F238E27FC236}">
              <a16:creationId xmlns:a16="http://schemas.microsoft.com/office/drawing/2014/main" id="{00000000-0008-0000-0200-000056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5</xdr:col>
      <xdr:colOff>47625</xdr:colOff>
      <xdr:row>32</xdr:row>
      <xdr:rowOff>38100</xdr:rowOff>
    </xdr:to>
    <xdr:graphicFrame macro="">
      <xdr:nvGraphicFramePr>
        <xdr:cNvPr id="10084695" name="Chart 6">
          <a:extLst>
            <a:ext uri="{FF2B5EF4-FFF2-40B4-BE49-F238E27FC236}">
              <a16:creationId xmlns:a16="http://schemas.microsoft.com/office/drawing/2014/main" id="{00000000-0008-0000-0200-000057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15</xdr:row>
      <xdr:rowOff>142875</xdr:rowOff>
    </xdr:from>
    <xdr:to>
      <xdr:col>10</xdr:col>
      <xdr:colOff>76200</xdr:colOff>
      <xdr:row>32</xdr:row>
      <xdr:rowOff>38100</xdr:rowOff>
    </xdr:to>
    <xdr:graphicFrame macro="">
      <xdr:nvGraphicFramePr>
        <xdr:cNvPr id="10084696" name="Chart 8">
          <a:extLst>
            <a:ext uri="{FF2B5EF4-FFF2-40B4-BE49-F238E27FC236}">
              <a16:creationId xmlns:a16="http://schemas.microsoft.com/office/drawing/2014/main" id="{00000000-0008-0000-0200-000058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15</xdr:col>
      <xdr:colOff>66675</xdr:colOff>
      <xdr:row>32</xdr:row>
      <xdr:rowOff>57150</xdr:rowOff>
    </xdr:to>
    <xdr:graphicFrame macro="">
      <xdr:nvGraphicFramePr>
        <xdr:cNvPr id="10084697" name="Chart 1835">
          <a:extLst>
            <a:ext uri="{FF2B5EF4-FFF2-40B4-BE49-F238E27FC236}">
              <a16:creationId xmlns:a16="http://schemas.microsoft.com/office/drawing/2014/main" id="{00000000-0008-0000-0200-000059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5</xdr:col>
      <xdr:colOff>66675</xdr:colOff>
      <xdr:row>48</xdr:row>
      <xdr:rowOff>57150</xdr:rowOff>
    </xdr:to>
    <xdr:graphicFrame macro="">
      <xdr:nvGraphicFramePr>
        <xdr:cNvPr id="10084698" name="Chart 1836">
          <a:extLst>
            <a:ext uri="{FF2B5EF4-FFF2-40B4-BE49-F238E27FC236}">
              <a16:creationId xmlns:a16="http://schemas.microsoft.com/office/drawing/2014/main" id="{00000000-0008-0000-0200-00005A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10</xdr:col>
      <xdr:colOff>66675</xdr:colOff>
      <xdr:row>48</xdr:row>
      <xdr:rowOff>57150</xdr:rowOff>
    </xdr:to>
    <xdr:graphicFrame macro="">
      <xdr:nvGraphicFramePr>
        <xdr:cNvPr id="10084699" name="Chart 1837">
          <a:extLst>
            <a:ext uri="{FF2B5EF4-FFF2-40B4-BE49-F238E27FC236}">
              <a16:creationId xmlns:a16="http://schemas.microsoft.com/office/drawing/2014/main" id="{00000000-0008-0000-0200-00005B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15</xdr:col>
      <xdr:colOff>66675</xdr:colOff>
      <xdr:row>48</xdr:row>
      <xdr:rowOff>57150</xdr:rowOff>
    </xdr:to>
    <xdr:graphicFrame macro="">
      <xdr:nvGraphicFramePr>
        <xdr:cNvPr id="10084700" name="Chart 1838">
          <a:extLst>
            <a:ext uri="{FF2B5EF4-FFF2-40B4-BE49-F238E27FC236}">
              <a16:creationId xmlns:a16="http://schemas.microsoft.com/office/drawing/2014/main" id="{00000000-0008-0000-0200-00005C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32</xdr:row>
      <xdr:rowOff>0</xdr:rowOff>
    </xdr:from>
    <xdr:to>
      <xdr:col>20</xdr:col>
      <xdr:colOff>66675</xdr:colOff>
      <xdr:row>48</xdr:row>
      <xdr:rowOff>57150</xdr:rowOff>
    </xdr:to>
    <xdr:graphicFrame macro="">
      <xdr:nvGraphicFramePr>
        <xdr:cNvPr id="10084701" name="Chart 1839">
          <a:extLst>
            <a:ext uri="{FF2B5EF4-FFF2-40B4-BE49-F238E27FC236}">
              <a16:creationId xmlns:a16="http://schemas.microsoft.com/office/drawing/2014/main" id="{00000000-0008-0000-0200-00005DE19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élène Marrou" id="{BD031FF5-5D65-4CF2-9746-1C6CA64566D4}" userId="S::Helene.Marrou@um6p.ma::d9041a33-3882-478e-8217-6ce0478bee2b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8" dT="2020-03-20T11:40:50.25" personId="{BD031FF5-5D65-4CF2-9746-1C6CA64566D4}" id="{34A8E812-8DC1-4FAD-9505-1EF81AE54AAA}">
    <text>semethod=1: simplified evaporation calculation
semethod 2 : Ritchie two-stages evaporation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2"/>
  <sheetViews>
    <sheetView tabSelected="1" zoomScale="80" zoomScaleNormal="80" workbookViewId="0">
      <selection activeCell="E26" sqref="E26"/>
    </sheetView>
  </sheetViews>
  <sheetFormatPr baseColWidth="10" defaultColWidth="8.81640625" defaultRowHeight="12.5" x14ac:dyDescent="0.25"/>
  <cols>
    <col min="1" max="1" width="35.54296875" customWidth="1"/>
    <col min="2" max="5" width="17.54296875" customWidth="1"/>
    <col min="6" max="6" width="8.54296875" customWidth="1"/>
    <col min="7" max="7" width="12.54296875" customWidth="1"/>
    <col min="8" max="8" width="41.453125" customWidth="1"/>
    <col min="9" max="9" width="11.54296875" customWidth="1"/>
    <col min="10" max="10" width="33.453125" customWidth="1"/>
    <col min="11" max="13" width="9.54296875" customWidth="1"/>
  </cols>
  <sheetData>
    <row r="1" spans="1:17" ht="18" x14ac:dyDescent="0.4">
      <c r="A1" s="18" t="s">
        <v>821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7" ht="18" x14ac:dyDescent="0.4">
      <c r="A2" s="18" t="s">
        <v>666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7" s="10" customFormat="1" ht="15.75" customHeight="1" x14ac:dyDescent="0.35">
      <c r="A3" s="57" t="s">
        <v>820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7" ht="18" x14ac:dyDescent="0.4">
      <c r="A4" s="1" t="s">
        <v>690</v>
      </c>
      <c r="B4" s="9"/>
      <c r="C4" s="9"/>
      <c r="D4" s="9"/>
      <c r="E4" s="35"/>
      <c r="F4" s="35"/>
      <c r="G4" s="39"/>
      <c r="H4" s="23" t="s">
        <v>692</v>
      </c>
      <c r="I4" s="9"/>
      <c r="J4" s="9"/>
      <c r="K4" s="35"/>
      <c r="L4" s="9"/>
      <c r="M4" s="9"/>
    </row>
    <row r="5" spans="1:17" ht="14" x14ac:dyDescent="0.3">
      <c r="A5" s="180" t="s">
        <v>817</v>
      </c>
      <c r="B5" s="32">
        <v>8</v>
      </c>
      <c r="C5" s="32"/>
      <c r="D5" s="32"/>
      <c r="E5" s="11"/>
      <c r="F5" s="13"/>
      <c r="G5" s="39"/>
      <c r="H5" s="24" t="s">
        <v>22</v>
      </c>
      <c r="I5" s="20"/>
      <c r="J5" s="24" t="s">
        <v>67</v>
      </c>
      <c r="K5" s="42"/>
      <c r="L5" s="43"/>
      <c r="M5" s="12"/>
      <c r="N5" s="14"/>
      <c r="O5" s="14"/>
      <c r="P5" s="14"/>
      <c r="Q5" s="14"/>
    </row>
    <row r="6" spans="1:17" ht="13" x14ac:dyDescent="0.3">
      <c r="A6" s="181" t="s">
        <v>684</v>
      </c>
      <c r="B6" s="13">
        <v>15</v>
      </c>
      <c r="C6" s="13"/>
      <c r="D6" s="13"/>
      <c r="E6" s="11"/>
      <c r="F6" s="13"/>
      <c r="G6" s="39"/>
      <c r="H6" s="25" t="s">
        <v>70</v>
      </c>
      <c r="I6" s="5"/>
      <c r="J6" s="25" t="s">
        <v>652</v>
      </c>
      <c r="K6" s="44"/>
      <c r="L6" s="43"/>
      <c r="M6" s="13"/>
      <c r="N6" s="12"/>
      <c r="O6" s="13"/>
      <c r="P6" s="12"/>
      <c r="Q6" s="14"/>
    </row>
    <row r="7" spans="1:17" ht="13" x14ac:dyDescent="0.3">
      <c r="A7" s="105" t="s">
        <v>685</v>
      </c>
      <c r="B7" s="105" t="s">
        <v>686</v>
      </c>
      <c r="C7" s="105" t="s">
        <v>687</v>
      </c>
      <c r="D7" s="105" t="s">
        <v>688</v>
      </c>
      <c r="E7" s="105" t="s">
        <v>689</v>
      </c>
      <c r="F7" s="162"/>
      <c r="G7" s="39"/>
      <c r="H7" s="25" t="s">
        <v>805</v>
      </c>
      <c r="I7" s="5"/>
      <c r="J7" s="25" t="s">
        <v>653</v>
      </c>
      <c r="K7" s="44"/>
      <c r="L7" s="43"/>
      <c r="M7" s="13"/>
      <c r="N7" s="12"/>
      <c r="O7" s="13"/>
      <c r="P7" s="12"/>
      <c r="Q7" s="14"/>
    </row>
    <row r="8" spans="1:17" ht="13" x14ac:dyDescent="0.3">
      <c r="A8" t="s">
        <v>1008</v>
      </c>
      <c r="B8" s="13">
        <v>5</v>
      </c>
      <c r="C8" s="13">
        <v>36</v>
      </c>
      <c r="D8" s="13">
        <v>5</v>
      </c>
      <c r="E8" s="13">
        <v>8</v>
      </c>
      <c r="F8" s="160"/>
      <c r="G8" s="39"/>
      <c r="H8" s="25" t="s">
        <v>806</v>
      </c>
      <c r="I8" s="5"/>
      <c r="J8" s="25" t="s">
        <v>654</v>
      </c>
      <c r="K8" s="44">
        <v>0</v>
      </c>
      <c r="L8" s="43"/>
      <c r="M8" s="12"/>
      <c r="N8" s="12"/>
      <c r="O8" s="12"/>
      <c r="P8" s="12"/>
      <c r="Q8" s="14"/>
    </row>
    <row r="9" spans="1:17" ht="13" x14ac:dyDescent="0.3">
      <c r="A9" t="s">
        <v>996</v>
      </c>
      <c r="B9" s="13">
        <v>5</v>
      </c>
      <c r="C9" s="13">
        <v>13</v>
      </c>
      <c r="D9" s="13">
        <v>5</v>
      </c>
      <c r="E9" s="13">
        <v>4</v>
      </c>
      <c r="F9" s="160"/>
      <c r="G9" s="39"/>
      <c r="H9" s="25" t="s">
        <v>807</v>
      </c>
      <c r="I9" s="5"/>
      <c r="J9" s="25" t="s">
        <v>655</v>
      </c>
      <c r="K9" s="45"/>
      <c r="L9" s="38"/>
      <c r="M9" s="12"/>
      <c r="N9" s="12"/>
      <c r="O9" s="12"/>
      <c r="P9" s="12"/>
      <c r="Q9" s="14"/>
    </row>
    <row r="10" spans="1:17" ht="13" x14ac:dyDescent="0.3">
      <c r="A10" t="s">
        <v>997</v>
      </c>
      <c r="B10" s="13">
        <v>5</v>
      </c>
      <c r="C10" s="13">
        <v>13</v>
      </c>
      <c r="D10" s="13">
        <v>5</v>
      </c>
      <c r="E10" s="13">
        <v>4</v>
      </c>
      <c r="F10" s="160"/>
      <c r="G10" s="39"/>
      <c r="H10" s="25" t="s">
        <v>808</v>
      </c>
      <c r="I10" s="5"/>
      <c r="J10" s="25" t="s">
        <v>656</v>
      </c>
      <c r="K10" s="45"/>
      <c r="L10" s="38"/>
      <c r="M10" s="12"/>
      <c r="N10" s="12"/>
      <c r="O10" s="12"/>
      <c r="P10" s="12"/>
      <c r="Q10" s="14"/>
    </row>
    <row r="11" spans="1:17" ht="13" x14ac:dyDescent="0.3">
      <c r="A11" t="s">
        <v>998</v>
      </c>
      <c r="B11" s="13">
        <v>5</v>
      </c>
      <c r="C11" s="13">
        <v>36</v>
      </c>
      <c r="D11" s="13">
        <v>5</v>
      </c>
      <c r="E11" s="13">
        <v>4</v>
      </c>
      <c r="F11" s="160"/>
      <c r="G11" s="39"/>
      <c r="H11" s="25" t="s">
        <v>809</v>
      </c>
      <c r="I11" s="5"/>
      <c r="J11" s="25"/>
      <c r="K11" s="45"/>
      <c r="L11" s="38"/>
      <c r="M11" s="13"/>
      <c r="N11" s="12"/>
      <c r="O11" s="13"/>
      <c r="P11" s="12"/>
      <c r="Q11" s="14"/>
    </row>
    <row r="12" spans="1:17" ht="14" x14ac:dyDescent="0.3">
      <c r="A12" t="s">
        <v>999</v>
      </c>
      <c r="B12" s="13">
        <v>5</v>
      </c>
      <c r="C12" s="13">
        <v>36</v>
      </c>
      <c r="D12" s="13">
        <v>5</v>
      </c>
      <c r="E12" s="13">
        <v>4</v>
      </c>
      <c r="F12" s="160"/>
      <c r="G12" s="39"/>
      <c r="H12" s="25" t="s">
        <v>810</v>
      </c>
      <c r="I12" s="4"/>
      <c r="J12" s="24" t="s">
        <v>68</v>
      </c>
      <c r="K12" s="42"/>
      <c r="L12" s="38"/>
      <c r="M12" s="38"/>
      <c r="N12" s="12"/>
      <c r="O12" s="38"/>
      <c r="P12" s="12"/>
      <c r="Q12" s="14"/>
    </row>
    <row r="13" spans="1:17" ht="13" x14ac:dyDescent="0.3">
      <c r="A13" t="s">
        <v>1000</v>
      </c>
      <c r="B13" s="13">
        <v>5</v>
      </c>
      <c r="C13" s="13">
        <v>13</v>
      </c>
      <c r="D13" s="13">
        <v>5</v>
      </c>
      <c r="E13" s="13">
        <v>6</v>
      </c>
      <c r="F13" s="160"/>
      <c r="G13" s="39"/>
      <c r="H13" s="25" t="s">
        <v>811</v>
      </c>
      <c r="I13" s="4"/>
      <c r="J13" s="25" t="s">
        <v>657</v>
      </c>
      <c r="K13" s="45">
        <v>1.8804533959602683</v>
      </c>
      <c r="L13" s="38"/>
      <c r="M13" s="38"/>
      <c r="N13" s="12"/>
      <c r="O13" s="38"/>
      <c r="P13" s="12"/>
      <c r="Q13" s="14"/>
    </row>
    <row r="14" spans="1:17" ht="13" x14ac:dyDescent="0.3">
      <c r="A14" t="s">
        <v>1001</v>
      </c>
      <c r="B14" s="13">
        <v>5</v>
      </c>
      <c r="C14" s="13">
        <v>13</v>
      </c>
      <c r="D14" s="13">
        <v>5</v>
      </c>
      <c r="E14" s="13">
        <v>6</v>
      </c>
      <c r="F14" s="160"/>
      <c r="G14" s="39"/>
      <c r="H14" s="25" t="s">
        <v>812</v>
      </c>
      <c r="I14" s="4"/>
      <c r="J14" s="25" t="s">
        <v>658</v>
      </c>
      <c r="K14" s="45">
        <v>0</v>
      </c>
      <c r="L14" s="38"/>
      <c r="M14" s="38"/>
      <c r="N14" s="12"/>
      <c r="O14" s="38"/>
      <c r="P14" s="12"/>
      <c r="Q14" s="14"/>
    </row>
    <row r="15" spans="1:17" ht="13" x14ac:dyDescent="0.3">
      <c r="A15" t="s">
        <v>1002</v>
      </c>
      <c r="B15" s="13">
        <v>5</v>
      </c>
      <c r="C15" s="13">
        <v>13</v>
      </c>
      <c r="D15" s="13">
        <v>5</v>
      </c>
      <c r="E15" s="13">
        <v>6</v>
      </c>
      <c r="F15" s="160"/>
      <c r="G15" s="39"/>
      <c r="H15" s="25" t="s">
        <v>813</v>
      </c>
      <c r="I15" s="4"/>
      <c r="J15" s="25" t="s">
        <v>659</v>
      </c>
      <c r="K15" s="45">
        <v>6.8874031923953832E-2</v>
      </c>
      <c r="L15" s="38"/>
      <c r="M15" s="12"/>
      <c r="N15" s="12"/>
      <c r="O15" s="12"/>
      <c r="P15" s="12"/>
      <c r="Q15" s="14"/>
    </row>
    <row r="16" spans="1:17" ht="13" x14ac:dyDescent="0.3">
      <c r="A16" t="s">
        <v>1003</v>
      </c>
      <c r="B16" s="13">
        <v>5</v>
      </c>
      <c r="C16" s="13">
        <v>36</v>
      </c>
      <c r="D16" s="13">
        <v>5</v>
      </c>
      <c r="E16" s="13">
        <v>6</v>
      </c>
      <c r="F16" s="160"/>
      <c r="G16" s="39"/>
      <c r="H16" s="25"/>
      <c r="I16" s="5"/>
      <c r="J16" s="25"/>
      <c r="K16" s="45"/>
      <c r="L16" s="38"/>
      <c r="M16" s="12"/>
      <c r="N16" s="12"/>
      <c r="O16" s="12"/>
      <c r="P16" s="12"/>
      <c r="Q16" s="14"/>
    </row>
    <row r="17" spans="1:17" ht="14" x14ac:dyDescent="0.3">
      <c r="A17" t="s">
        <v>1004</v>
      </c>
      <c r="B17" s="13">
        <v>5</v>
      </c>
      <c r="C17" s="13">
        <v>36</v>
      </c>
      <c r="D17" s="13">
        <v>5</v>
      </c>
      <c r="E17" s="13">
        <v>6</v>
      </c>
      <c r="F17" s="160"/>
      <c r="G17" s="39"/>
      <c r="H17" s="24" t="s">
        <v>30</v>
      </c>
      <c r="I17" s="16"/>
      <c r="J17" s="25" t="s">
        <v>660</v>
      </c>
      <c r="K17" s="45">
        <v>1.9493274278842228</v>
      </c>
      <c r="L17" s="38"/>
      <c r="M17" s="12"/>
      <c r="N17" s="12"/>
      <c r="O17" s="12"/>
      <c r="P17" s="12"/>
      <c r="Q17" s="14"/>
    </row>
    <row r="18" spans="1:17" ht="13" x14ac:dyDescent="0.3">
      <c r="A18" t="s">
        <v>1005</v>
      </c>
      <c r="B18" s="13">
        <v>5</v>
      </c>
      <c r="C18" s="13">
        <v>13</v>
      </c>
      <c r="D18" s="13">
        <v>5</v>
      </c>
      <c r="E18" s="13">
        <v>8</v>
      </c>
      <c r="F18" s="160"/>
      <c r="G18" s="39"/>
      <c r="H18" s="25" t="s">
        <v>646</v>
      </c>
      <c r="I18" s="33"/>
      <c r="J18" s="25" t="s">
        <v>661</v>
      </c>
      <c r="K18" s="45"/>
      <c r="L18" s="38"/>
      <c r="M18" s="12"/>
      <c r="N18" s="12"/>
      <c r="O18" s="12"/>
      <c r="P18" s="12"/>
      <c r="Q18" s="14"/>
    </row>
    <row r="19" spans="1:17" ht="13" x14ac:dyDescent="0.3">
      <c r="A19" t="s">
        <v>1006</v>
      </c>
      <c r="B19" s="13">
        <v>5</v>
      </c>
      <c r="C19" s="13">
        <v>13</v>
      </c>
      <c r="D19" s="13">
        <v>5</v>
      </c>
      <c r="E19" s="13">
        <v>8</v>
      </c>
      <c r="F19" s="160"/>
      <c r="G19" s="39"/>
      <c r="H19" s="25" t="s">
        <v>713</v>
      </c>
      <c r="I19" s="33"/>
      <c r="J19" s="25" t="s">
        <v>662</v>
      </c>
      <c r="K19" s="45">
        <v>0</v>
      </c>
      <c r="L19" s="38"/>
      <c r="M19" s="12"/>
      <c r="N19" s="12"/>
      <c r="O19" s="12"/>
      <c r="P19" s="12"/>
      <c r="Q19" s="14"/>
    </row>
    <row r="20" spans="1:17" ht="13" x14ac:dyDescent="0.3">
      <c r="A20" t="s">
        <v>1007</v>
      </c>
      <c r="B20" s="13">
        <v>5</v>
      </c>
      <c r="C20" s="13">
        <v>13</v>
      </c>
      <c r="D20" s="13">
        <v>5</v>
      </c>
      <c r="E20" s="13">
        <v>8</v>
      </c>
      <c r="F20" s="160"/>
      <c r="G20" s="39"/>
      <c r="H20" s="25" t="s">
        <v>714</v>
      </c>
      <c r="I20" s="4"/>
      <c r="J20" s="25" t="s">
        <v>663</v>
      </c>
      <c r="K20" s="45">
        <v>0</v>
      </c>
      <c r="L20" s="43"/>
      <c r="M20" s="12"/>
      <c r="N20" s="12"/>
      <c r="O20" s="12"/>
      <c r="P20" s="12"/>
      <c r="Q20" s="14"/>
    </row>
    <row r="21" spans="1:17" ht="13" x14ac:dyDescent="0.3">
      <c r="A21" t="s">
        <v>1008</v>
      </c>
      <c r="B21" s="13">
        <v>5</v>
      </c>
      <c r="C21" s="13">
        <v>36</v>
      </c>
      <c r="D21" s="13">
        <v>5</v>
      </c>
      <c r="E21" s="13">
        <v>8</v>
      </c>
      <c r="F21" s="160"/>
      <c r="G21" s="39"/>
      <c r="H21" s="25"/>
      <c r="I21" s="4"/>
      <c r="J21" s="25" t="s">
        <v>664</v>
      </c>
      <c r="K21" s="45">
        <v>0</v>
      </c>
      <c r="L21" s="43"/>
      <c r="M21" s="12"/>
      <c r="N21" s="12"/>
      <c r="O21" s="12"/>
      <c r="P21" s="12"/>
      <c r="Q21" s="14"/>
    </row>
    <row r="22" spans="1:17" ht="14" x14ac:dyDescent="0.3">
      <c r="A22" t="s">
        <v>1009</v>
      </c>
      <c r="B22" s="13">
        <v>5</v>
      </c>
      <c r="C22" s="13">
        <v>36</v>
      </c>
      <c r="D22" s="13">
        <v>5</v>
      </c>
      <c r="E22" s="13">
        <v>8</v>
      </c>
      <c r="F22" s="160"/>
      <c r="G22" s="39"/>
      <c r="H22" s="24" t="s">
        <v>31</v>
      </c>
      <c r="I22" s="17"/>
      <c r="J22" s="25"/>
      <c r="K22" s="45"/>
      <c r="L22" s="43"/>
      <c r="M22" s="12"/>
      <c r="N22" s="12"/>
      <c r="O22" s="12"/>
      <c r="P22" s="12"/>
      <c r="Q22" s="14"/>
    </row>
    <row r="23" spans="1:17" ht="13" x14ac:dyDescent="0.3">
      <c r="A23" s="13"/>
      <c r="B23" s="13"/>
      <c r="C23" s="13"/>
      <c r="D23" s="13"/>
      <c r="E23" s="13"/>
      <c r="F23" s="160"/>
      <c r="G23" s="39"/>
      <c r="H23" s="25" t="s">
        <v>71</v>
      </c>
      <c r="I23" s="4"/>
      <c r="J23" s="11"/>
      <c r="K23" s="60"/>
      <c r="L23" s="12"/>
      <c r="M23" s="12"/>
      <c r="N23" s="12"/>
      <c r="O23" s="12"/>
      <c r="P23" s="12"/>
      <c r="Q23" s="14"/>
    </row>
    <row r="24" spans="1:17" ht="13" x14ac:dyDescent="0.3">
      <c r="A24" s="13"/>
      <c r="B24" s="13"/>
      <c r="C24" s="13"/>
      <c r="D24" s="13"/>
      <c r="E24" s="13"/>
      <c r="F24" s="160"/>
      <c r="G24" s="39"/>
      <c r="H24" s="25" t="s">
        <v>72</v>
      </c>
      <c r="I24" s="4"/>
      <c r="J24" s="11"/>
      <c r="K24" s="60"/>
      <c r="L24" s="12"/>
      <c r="M24" s="12"/>
      <c r="N24" s="12"/>
      <c r="O24" s="12"/>
      <c r="P24" s="12"/>
      <c r="Q24" s="14"/>
    </row>
    <row r="25" spans="1:17" ht="13" x14ac:dyDescent="0.3">
      <c r="A25" s="13"/>
      <c r="B25" s="13"/>
      <c r="C25" s="13"/>
      <c r="D25" s="13"/>
      <c r="E25" s="13"/>
      <c r="F25" s="160"/>
      <c r="G25" s="39"/>
      <c r="H25" s="25" t="s">
        <v>73</v>
      </c>
      <c r="I25" s="4">
        <v>0</v>
      </c>
      <c r="J25" s="11"/>
      <c r="K25" s="60"/>
      <c r="L25" s="12"/>
      <c r="M25" s="12"/>
      <c r="N25" s="12"/>
      <c r="O25" s="12"/>
      <c r="P25" s="12"/>
      <c r="Q25" s="14"/>
    </row>
    <row r="26" spans="1:17" ht="13" x14ac:dyDescent="0.3">
      <c r="A26" s="13"/>
      <c r="B26" s="13"/>
      <c r="C26" s="13"/>
      <c r="D26" s="13"/>
      <c r="E26" s="13"/>
      <c r="F26" s="160"/>
      <c r="G26" s="39"/>
      <c r="H26" s="25"/>
      <c r="I26" s="4"/>
      <c r="J26" s="11"/>
      <c r="K26" s="60"/>
      <c r="L26" s="12"/>
      <c r="M26" s="12"/>
      <c r="N26" s="12"/>
      <c r="O26" s="12"/>
      <c r="P26" s="12"/>
      <c r="Q26" s="14"/>
    </row>
    <row r="27" spans="1:17" ht="14" x14ac:dyDescent="0.3">
      <c r="A27" s="13"/>
      <c r="B27" s="13"/>
      <c r="C27" s="13"/>
      <c r="D27" s="13"/>
      <c r="E27" s="13"/>
      <c r="F27" s="160"/>
      <c r="G27" s="39"/>
      <c r="H27" s="24" t="s">
        <v>37</v>
      </c>
      <c r="I27" s="17"/>
      <c r="J27" s="11"/>
      <c r="K27" s="106"/>
      <c r="L27" s="12"/>
      <c r="M27" s="12"/>
      <c r="N27" s="12"/>
      <c r="O27" s="12"/>
      <c r="P27" s="12"/>
      <c r="Q27" s="14"/>
    </row>
    <row r="28" spans="1:17" ht="13" x14ac:dyDescent="0.3">
      <c r="A28" s="13"/>
      <c r="B28" s="13"/>
      <c r="C28" s="13"/>
      <c r="D28" s="13"/>
      <c r="E28" s="13"/>
      <c r="F28" s="160"/>
      <c r="G28" s="39"/>
      <c r="H28" s="25" t="s">
        <v>75</v>
      </c>
      <c r="I28" s="4">
        <v>3.6803200025428922</v>
      </c>
      <c r="J28" s="11"/>
      <c r="K28" s="60"/>
      <c r="L28" s="12"/>
      <c r="M28" s="12"/>
      <c r="N28" s="12"/>
      <c r="O28" s="12"/>
      <c r="P28" s="12"/>
      <c r="Q28" s="14"/>
    </row>
    <row r="29" spans="1:17" ht="13" x14ac:dyDescent="0.3">
      <c r="A29" s="13"/>
      <c r="B29" s="13"/>
      <c r="C29" s="13"/>
      <c r="D29" s="13"/>
      <c r="E29" s="13"/>
      <c r="F29" s="160"/>
      <c r="G29" s="39"/>
      <c r="H29" s="25" t="s">
        <v>76</v>
      </c>
      <c r="I29" s="4">
        <v>41.200000144541264</v>
      </c>
      <c r="J29" s="14"/>
      <c r="K29" s="60"/>
      <c r="L29" s="12"/>
      <c r="M29" s="12"/>
      <c r="N29" s="12"/>
      <c r="O29" s="12"/>
      <c r="P29" s="12"/>
      <c r="Q29" s="14"/>
    </row>
    <row r="30" spans="1:17" ht="13" x14ac:dyDescent="0.3">
      <c r="A30" s="13"/>
      <c r="B30" s="13"/>
      <c r="C30" s="13"/>
      <c r="D30" s="13"/>
      <c r="E30" s="13"/>
      <c r="F30" s="160"/>
      <c r="G30" s="39"/>
      <c r="H30" s="25" t="s">
        <v>77</v>
      </c>
      <c r="I30" s="21">
        <v>0</v>
      </c>
      <c r="J30" s="14"/>
      <c r="K30" s="60"/>
      <c r="L30" s="12"/>
      <c r="M30" s="12"/>
      <c r="N30" s="12"/>
      <c r="O30" s="12"/>
      <c r="P30" s="12"/>
      <c r="Q30" s="14"/>
    </row>
    <row r="31" spans="1:17" ht="13" x14ac:dyDescent="0.3">
      <c r="A31" s="13"/>
      <c r="B31" s="13"/>
      <c r="C31" s="13"/>
      <c r="D31" s="13"/>
      <c r="E31" s="13"/>
      <c r="F31" s="160"/>
      <c r="G31" s="39"/>
      <c r="H31" s="25" t="s">
        <v>74</v>
      </c>
      <c r="I31" s="21">
        <v>0</v>
      </c>
      <c r="J31" s="14"/>
      <c r="K31" s="60"/>
      <c r="L31" s="12"/>
      <c r="M31" s="12"/>
      <c r="N31" s="12"/>
      <c r="O31" s="12"/>
      <c r="P31" s="12"/>
      <c r="Q31" s="14"/>
    </row>
    <row r="32" spans="1:17" ht="13" x14ac:dyDescent="0.3">
      <c r="A32" s="13"/>
      <c r="B32" s="13"/>
      <c r="C32" s="13"/>
      <c r="D32" s="13"/>
      <c r="E32" s="13"/>
      <c r="F32" s="160"/>
      <c r="G32" s="39"/>
      <c r="H32" s="25"/>
      <c r="I32" s="21"/>
      <c r="J32" s="14"/>
      <c r="K32" s="60"/>
      <c r="L32" s="12"/>
      <c r="M32" s="12"/>
      <c r="N32" s="12"/>
      <c r="O32" s="12"/>
      <c r="P32" s="12"/>
      <c r="Q32" s="14"/>
    </row>
    <row r="33" spans="1:17" ht="13" x14ac:dyDescent="0.3">
      <c r="A33" s="13"/>
      <c r="B33" s="13"/>
      <c r="C33" s="13"/>
      <c r="D33" s="13"/>
      <c r="E33" s="13"/>
      <c r="F33" s="160"/>
      <c r="G33" s="39"/>
      <c r="H33" s="25" t="s">
        <v>78</v>
      </c>
      <c r="I33" s="21">
        <v>3.1502080612103214</v>
      </c>
      <c r="J33" s="14"/>
      <c r="K33" s="60"/>
      <c r="L33" s="12"/>
      <c r="M33" s="12"/>
      <c r="N33" s="12"/>
      <c r="O33" s="12"/>
      <c r="P33" s="12"/>
      <c r="Q33" s="14"/>
    </row>
    <row r="34" spans="1:17" ht="13" x14ac:dyDescent="0.3">
      <c r="A34" s="13"/>
      <c r="B34" s="13"/>
      <c r="C34" s="13"/>
      <c r="D34" s="13"/>
      <c r="E34" s="13"/>
      <c r="F34" s="160"/>
      <c r="G34" s="39"/>
      <c r="H34" s="25" t="s">
        <v>82</v>
      </c>
      <c r="I34" s="21">
        <v>0</v>
      </c>
      <c r="J34" s="14"/>
      <c r="K34" s="60"/>
      <c r="L34" s="12"/>
      <c r="M34" s="12"/>
      <c r="N34" s="12"/>
      <c r="O34" s="12"/>
      <c r="P34" s="12"/>
      <c r="Q34" s="14"/>
    </row>
    <row r="35" spans="1:17" ht="13" x14ac:dyDescent="0.3">
      <c r="A35" s="13"/>
      <c r="B35" s="13"/>
      <c r="C35" s="13"/>
      <c r="D35" s="13"/>
      <c r="E35" s="13"/>
      <c r="F35" s="160"/>
      <c r="G35" s="39"/>
      <c r="H35" s="25" t="s">
        <v>79</v>
      </c>
      <c r="I35" s="21">
        <v>69.869208045850456</v>
      </c>
      <c r="J35" s="14"/>
      <c r="K35" s="60"/>
      <c r="L35" s="38"/>
      <c r="M35" s="38"/>
      <c r="N35" s="12"/>
      <c r="O35" s="38"/>
      <c r="P35" s="12"/>
      <c r="Q35" s="14"/>
    </row>
    <row r="36" spans="1:17" ht="13" x14ac:dyDescent="0.3">
      <c r="A36" s="13"/>
      <c r="B36" s="13"/>
      <c r="C36" s="13"/>
      <c r="D36" s="13"/>
      <c r="E36" s="13"/>
      <c r="F36" s="160"/>
      <c r="G36" s="39"/>
      <c r="H36" s="25" t="s">
        <v>83</v>
      </c>
      <c r="I36" s="21">
        <v>0</v>
      </c>
      <c r="J36" s="14"/>
      <c r="K36" s="60"/>
      <c r="L36" s="14"/>
      <c r="M36" s="12"/>
      <c r="N36" s="14"/>
      <c r="O36" s="14"/>
      <c r="P36" s="14"/>
      <c r="Q36" s="14"/>
    </row>
    <row r="37" spans="1:17" ht="13" x14ac:dyDescent="0.3">
      <c r="A37" s="13"/>
      <c r="B37" s="13"/>
      <c r="C37" s="13"/>
      <c r="D37" s="13"/>
      <c r="E37" s="13"/>
      <c r="F37" s="160"/>
      <c r="G37" s="39"/>
      <c r="H37" s="25" t="s">
        <v>84</v>
      </c>
      <c r="I37" s="21">
        <v>0</v>
      </c>
      <c r="J37" s="14"/>
      <c r="K37" s="60"/>
      <c r="L37" s="10"/>
      <c r="M37" s="14"/>
      <c r="N37" s="14"/>
      <c r="O37" s="14"/>
      <c r="P37" s="14"/>
      <c r="Q37" s="14"/>
    </row>
    <row r="38" spans="1:17" ht="13" x14ac:dyDescent="0.3">
      <c r="A38" s="13"/>
      <c r="B38" s="13"/>
      <c r="C38" s="13"/>
      <c r="D38" s="13"/>
      <c r="E38" s="13"/>
      <c r="F38" s="160"/>
      <c r="G38" s="39"/>
      <c r="H38" s="25"/>
      <c r="I38" s="21"/>
      <c r="J38" s="14"/>
      <c r="K38" s="60"/>
      <c r="L38" s="10"/>
      <c r="M38" s="14"/>
      <c r="N38" s="14"/>
      <c r="O38" s="14"/>
      <c r="P38" s="14"/>
      <c r="Q38" s="14"/>
    </row>
    <row r="39" spans="1:17" ht="13" x14ac:dyDescent="0.3">
      <c r="A39" s="13"/>
      <c r="B39" s="13"/>
      <c r="C39" s="13"/>
      <c r="D39" s="13"/>
      <c r="E39" s="13"/>
      <c r="F39" s="160"/>
      <c r="G39" s="39"/>
      <c r="H39" s="25" t="s">
        <v>80</v>
      </c>
      <c r="I39" s="21">
        <v>69.869208045850456</v>
      </c>
      <c r="J39" s="14"/>
      <c r="K39" s="61"/>
    </row>
    <row r="40" spans="1:17" ht="13" x14ac:dyDescent="0.3">
      <c r="A40" s="13"/>
      <c r="B40" s="13"/>
      <c r="C40" s="13"/>
      <c r="D40" s="13"/>
      <c r="E40" s="13"/>
      <c r="F40" s="160"/>
      <c r="H40" s="25" t="s">
        <v>17</v>
      </c>
      <c r="I40" s="22">
        <v>0.99999998568754378</v>
      </c>
      <c r="K40" s="62"/>
    </row>
    <row r="41" spans="1:17" ht="13" x14ac:dyDescent="0.3">
      <c r="A41" s="13"/>
      <c r="B41" s="13"/>
      <c r="C41" s="13"/>
      <c r="D41" s="13"/>
      <c r="E41" s="13"/>
      <c r="F41" s="160"/>
      <c r="H41" s="25"/>
      <c r="I41" s="21"/>
    </row>
    <row r="42" spans="1:17" ht="13" x14ac:dyDescent="0.3">
      <c r="A42" s="13"/>
      <c r="B42" s="13"/>
      <c r="C42" s="13"/>
      <c r="D42" s="13"/>
      <c r="E42" s="13"/>
      <c r="F42" s="160"/>
    </row>
    <row r="43" spans="1:17" ht="13" x14ac:dyDescent="0.3">
      <c r="A43" s="13"/>
      <c r="B43" s="13"/>
      <c r="C43" s="13"/>
      <c r="D43" s="13"/>
      <c r="E43" s="13"/>
      <c r="F43" s="160"/>
    </row>
    <row r="44" spans="1:17" ht="13" x14ac:dyDescent="0.3">
      <c r="A44" s="13"/>
      <c r="B44" s="13"/>
      <c r="C44" s="13"/>
      <c r="D44" s="13"/>
      <c r="E44" s="13"/>
      <c r="F44" s="160"/>
    </row>
    <row r="45" spans="1:17" ht="13" x14ac:dyDescent="0.3">
      <c r="A45" s="13"/>
      <c r="B45" s="13"/>
      <c r="C45" s="13"/>
      <c r="D45" s="13"/>
      <c r="E45" s="13"/>
      <c r="F45" s="160"/>
    </row>
    <row r="46" spans="1:17" ht="13" x14ac:dyDescent="0.3">
      <c r="A46" s="13"/>
      <c r="B46" s="13"/>
      <c r="C46" s="13"/>
      <c r="D46" s="13"/>
      <c r="E46" s="13"/>
      <c r="F46" s="160"/>
    </row>
    <row r="47" spans="1:17" ht="13" x14ac:dyDescent="0.3">
      <c r="A47" s="13"/>
      <c r="B47" s="13"/>
      <c r="C47" s="13"/>
      <c r="D47" s="13"/>
      <c r="E47" s="13"/>
      <c r="F47" s="160"/>
    </row>
    <row r="48" spans="1:17" ht="13" x14ac:dyDescent="0.3">
      <c r="A48" s="13"/>
      <c r="B48" s="13"/>
      <c r="C48" s="13"/>
      <c r="D48" s="13"/>
      <c r="E48" s="13"/>
      <c r="F48" s="160"/>
    </row>
    <row r="49" spans="1:6" ht="13" x14ac:dyDescent="0.3">
      <c r="A49" s="13"/>
      <c r="B49" s="13"/>
      <c r="C49" s="13"/>
      <c r="D49" s="13"/>
      <c r="E49" s="13"/>
      <c r="F49" s="160"/>
    </row>
    <row r="50" spans="1:6" ht="13" x14ac:dyDescent="0.3">
      <c r="A50" s="13"/>
      <c r="B50" s="13"/>
      <c r="C50" s="13"/>
      <c r="D50" s="13"/>
      <c r="E50" s="13"/>
      <c r="F50" s="160"/>
    </row>
    <row r="51" spans="1:6" ht="13" x14ac:dyDescent="0.3">
      <c r="A51" s="13"/>
      <c r="B51" s="13"/>
      <c r="C51" s="13"/>
      <c r="D51" s="13"/>
      <c r="E51" s="13"/>
      <c r="F51" s="160"/>
    </row>
    <row r="52" spans="1:6" ht="13" x14ac:dyDescent="0.3">
      <c r="A52" s="13"/>
      <c r="B52" s="13"/>
      <c r="C52" s="13"/>
      <c r="D52" s="13"/>
      <c r="E52" s="13"/>
      <c r="F52" s="160"/>
    </row>
    <row r="53" spans="1:6" ht="13" x14ac:dyDescent="0.3">
      <c r="A53" s="13"/>
      <c r="B53" s="13"/>
      <c r="C53" s="13"/>
      <c r="D53" s="13"/>
      <c r="E53" s="13"/>
      <c r="F53" s="160"/>
    </row>
    <row r="54" spans="1:6" ht="13" x14ac:dyDescent="0.3">
      <c r="A54" s="13"/>
      <c r="B54" s="13"/>
      <c r="C54" s="13"/>
      <c r="D54" s="13"/>
      <c r="E54" s="13"/>
      <c r="F54" s="160"/>
    </row>
    <row r="55" spans="1:6" ht="13" x14ac:dyDescent="0.3">
      <c r="A55" s="13"/>
      <c r="B55" s="13"/>
      <c r="C55" s="13"/>
      <c r="D55" s="13"/>
      <c r="E55" s="13"/>
      <c r="F55" s="160"/>
    </row>
    <row r="56" spans="1:6" ht="13" x14ac:dyDescent="0.3">
      <c r="A56" s="13"/>
      <c r="B56" s="13"/>
      <c r="C56" s="13"/>
      <c r="D56" s="13"/>
      <c r="E56" s="13"/>
      <c r="F56" s="160"/>
    </row>
    <row r="57" spans="1:6" ht="13" x14ac:dyDescent="0.3">
      <c r="A57" s="13"/>
      <c r="B57" s="13"/>
      <c r="C57" s="13"/>
      <c r="D57" s="13"/>
      <c r="E57" s="13"/>
      <c r="F57" s="160"/>
    </row>
    <row r="58" spans="1:6" ht="13" x14ac:dyDescent="0.3">
      <c r="A58" s="13"/>
      <c r="B58" s="13"/>
      <c r="C58" s="13"/>
      <c r="D58" s="13"/>
      <c r="E58" s="13"/>
      <c r="F58" s="160"/>
    </row>
    <row r="59" spans="1:6" ht="13" x14ac:dyDescent="0.3">
      <c r="A59" s="13"/>
      <c r="B59" s="13"/>
      <c r="C59" s="13"/>
      <c r="D59" s="13"/>
      <c r="E59" s="13"/>
      <c r="F59" s="160"/>
    </row>
    <row r="60" spans="1:6" ht="13" x14ac:dyDescent="0.3">
      <c r="A60" s="13"/>
      <c r="B60" s="13"/>
      <c r="C60" s="13"/>
      <c r="D60" s="13"/>
      <c r="E60" s="13"/>
      <c r="F60" s="160"/>
    </row>
    <row r="61" spans="1:6" ht="13" x14ac:dyDescent="0.3">
      <c r="A61" s="13"/>
      <c r="B61" s="13"/>
      <c r="C61" s="13"/>
      <c r="D61" s="13"/>
      <c r="E61" s="13"/>
      <c r="F61" s="160"/>
    </row>
    <row r="62" spans="1:6" ht="13" x14ac:dyDescent="0.3">
      <c r="A62" s="13"/>
      <c r="B62" s="13"/>
      <c r="C62" s="13"/>
      <c r="D62" s="13"/>
      <c r="E62" s="13"/>
      <c r="F62" s="160"/>
    </row>
    <row r="63" spans="1:6" ht="13" x14ac:dyDescent="0.3">
      <c r="A63" s="13"/>
      <c r="B63" s="13"/>
      <c r="C63" s="13"/>
      <c r="D63" s="13"/>
      <c r="E63" s="13"/>
      <c r="F63" s="160"/>
    </row>
    <row r="64" spans="1:6" ht="13" x14ac:dyDescent="0.3">
      <c r="A64" s="13"/>
      <c r="B64" s="13"/>
      <c r="C64" s="13"/>
      <c r="D64" s="13"/>
      <c r="E64" s="13"/>
      <c r="F64" s="160"/>
    </row>
    <row r="65" spans="1:6" ht="13" x14ac:dyDescent="0.3">
      <c r="A65" s="13"/>
      <c r="B65" s="13"/>
      <c r="C65" s="13"/>
      <c r="D65" s="13"/>
      <c r="E65" s="13"/>
      <c r="F65" s="160"/>
    </row>
    <row r="66" spans="1:6" ht="13" x14ac:dyDescent="0.3">
      <c r="A66" s="13"/>
      <c r="B66" s="13"/>
      <c r="C66" s="13"/>
      <c r="D66" s="13"/>
      <c r="E66" s="13"/>
      <c r="F66" s="160"/>
    </row>
    <row r="67" spans="1:6" ht="13" x14ac:dyDescent="0.3">
      <c r="A67" s="13"/>
      <c r="B67" s="13"/>
      <c r="C67" s="13"/>
      <c r="D67" s="13"/>
      <c r="E67" s="13"/>
      <c r="F67" s="160"/>
    </row>
    <row r="68" spans="1:6" ht="13" x14ac:dyDescent="0.3">
      <c r="A68" s="13"/>
      <c r="B68" s="13"/>
      <c r="C68" s="13"/>
      <c r="D68" s="13"/>
      <c r="E68" s="13"/>
      <c r="F68" s="160"/>
    </row>
    <row r="69" spans="1:6" ht="13" x14ac:dyDescent="0.3">
      <c r="A69" s="13"/>
      <c r="B69" s="13"/>
      <c r="C69" s="13"/>
      <c r="D69" s="13"/>
      <c r="E69" s="13"/>
      <c r="F69" s="160"/>
    </row>
    <row r="70" spans="1:6" ht="13" x14ac:dyDescent="0.3">
      <c r="A70" s="13"/>
      <c r="B70" s="13"/>
      <c r="C70" s="13"/>
      <c r="D70" s="13"/>
      <c r="E70" s="13"/>
      <c r="F70" s="160"/>
    </row>
    <row r="71" spans="1:6" ht="13" x14ac:dyDescent="0.3">
      <c r="A71" s="13"/>
      <c r="B71" s="13"/>
      <c r="C71" s="13"/>
      <c r="D71" s="13"/>
      <c r="E71" s="13"/>
      <c r="F71" s="160"/>
    </row>
    <row r="72" spans="1:6" ht="13" x14ac:dyDescent="0.3">
      <c r="A72" s="13"/>
      <c r="B72" s="13"/>
      <c r="C72" s="13"/>
      <c r="D72" s="13"/>
      <c r="E72" s="13"/>
      <c r="F72" s="160"/>
    </row>
    <row r="73" spans="1:6" ht="13" x14ac:dyDescent="0.3">
      <c r="A73" s="13"/>
      <c r="B73" s="13"/>
      <c r="C73" s="13"/>
      <c r="D73" s="13"/>
      <c r="E73" s="13"/>
      <c r="F73" s="160"/>
    </row>
    <row r="74" spans="1:6" ht="13" x14ac:dyDescent="0.3">
      <c r="A74" s="13"/>
      <c r="B74" s="13"/>
      <c r="C74" s="13"/>
      <c r="D74" s="13"/>
      <c r="E74" s="13"/>
      <c r="F74" s="160"/>
    </row>
    <row r="75" spans="1:6" ht="13" x14ac:dyDescent="0.3">
      <c r="A75" s="13"/>
      <c r="B75" s="13"/>
      <c r="C75" s="13"/>
      <c r="D75" s="13"/>
      <c r="E75" s="13"/>
      <c r="F75" s="160"/>
    </row>
    <row r="76" spans="1:6" ht="13" x14ac:dyDescent="0.3">
      <c r="A76" s="13"/>
      <c r="B76" s="13"/>
      <c r="C76" s="13"/>
      <c r="D76" s="13"/>
      <c r="E76" s="13"/>
      <c r="F76" s="160"/>
    </row>
    <row r="77" spans="1:6" ht="13" x14ac:dyDescent="0.3">
      <c r="A77" s="13"/>
      <c r="B77" s="13"/>
      <c r="C77" s="13"/>
      <c r="D77" s="13"/>
      <c r="E77" s="13"/>
      <c r="F77" s="160"/>
    </row>
    <row r="78" spans="1:6" ht="13" x14ac:dyDescent="0.3">
      <c r="A78" s="13"/>
      <c r="B78" s="13"/>
      <c r="C78" s="13"/>
      <c r="D78" s="13"/>
      <c r="E78" s="13"/>
      <c r="F78" s="160"/>
    </row>
    <row r="79" spans="1:6" ht="13" x14ac:dyDescent="0.3">
      <c r="A79" s="13"/>
      <c r="B79" s="13"/>
      <c r="C79" s="13"/>
      <c r="D79" s="13"/>
      <c r="E79" s="13"/>
      <c r="F79" s="160"/>
    </row>
    <row r="80" spans="1:6" ht="13" x14ac:dyDescent="0.3">
      <c r="A80" s="13"/>
      <c r="B80" s="13"/>
      <c r="C80" s="13"/>
      <c r="D80" s="13"/>
      <c r="E80" s="13"/>
      <c r="F80" s="160"/>
    </row>
    <row r="81" spans="1:6" ht="13" x14ac:dyDescent="0.3">
      <c r="A81" s="13"/>
      <c r="B81" s="13"/>
      <c r="C81" s="13"/>
      <c r="D81" s="13"/>
      <c r="E81" s="13"/>
      <c r="F81" s="160"/>
    </row>
    <row r="82" spans="1:6" ht="13" x14ac:dyDescent="0.3">
      <c r="A82" s="13"/>
      <c r="B82" s="13"/>
      <c r="C82" s="13"/>
      <c r="D82" s="13"/>
      <c r="E82" s="13"/>
      <c r="F82" s="160"/>
    </row>
    <row r="83" spans="1:6" ht="13" x14ac:dyDescent="0.3">
      <c r="A83" s="13"/>
      <c r="B83" s="13"/>
      <c r="C83" s="13"/>
      <c r="D83" s="13"/>
      <c r="E83" s="13"/>
      <c r="F83" s="160"/>
    </row>
    <row r="84" spans="1:6" ht="13" x14ac:dyDescent="0.3">
      <c r="A84" s="13"/>
      <c r="B84" s="13"/>
      <c r="C84" s="13"/>
      <c r="D84" s="13"/>
      <c r="E84" s="13"/>
      <c r="F84" s="160"/>
    </row>
    <row r="85" spans="1:6" ht="13" x14ac:dyDescent="0.3">
      <c r="A85" s="13"/>
      <c r="B85" s="13"/>
      <c r="C85" s="13"/>
      <c r="D85" s="13"/>
      <c r="E85" s="13"/>
      <c r="F85" s="160"/>
    </row>
    <row r="86" spans="1:6" ht="13" x14ac:dyDescent="0.3">
      <c r="A86" s="13"/>
      <c r="B86" s="13"/>
      <c r="C86" s="13"/>
      <c r="D86" s="13"/>
      <c r="E86" s="13"/>
      <c r="F86" s="160"/>
    </row>
    <row r="87" spans="1:6" ht="13" x14ac:dyDescent="0.3">
      <c r="A87" s="13"/>
      <c r="B87" s="13"/>
      <c r="C87" s="13"/>
      <c r="D87" s="13"/>
      <c r="E87" s="13"/>
      <c r="F87" s="160"/>
    </row>
    <row r="88" spans="1:6" ht="13" x14ac:dyDescent="0.3">
      <c r="A88" s="13"/>
      <c r="B88" s="13"/>
      <c r="C88" s="13"/>
      <c r="D88" s="13"/>
      <c r="E88" s="13"/>
      <c r="F88" s="160"/>
    </row>
    <row r="89" spans="1:6" ht="13" x14ac:dyDescent="0.3">
      <c r="A89" s="13"/>
      <c r="B89" s="13"/>
      <c r="C89" s="13"/>
      <c r="D89" s="13"/>
      <c r="E89" s="13"/>
      <c r="F89" s="160"/>
    </row>
    <row r="90" spans="1:6" ht="13" x14ac:dyDescent="0.3">
      <c r="A90" s="13"/>
      <c r="B90" s="13"/>
      <c r="C90" s="13"/>
      <c r="D90" s="13"/>
      <c r="E90" s="13"/>
      <c r="F90" s="160"/>
    </row>
    <row r="91" spans="1:6" ht="13" x14ac:dyDescent="0.3">
      <c r="A91" s="13"/>
      <c r="B91" s="13"/>
      <c r="C91" s="13"/>
      <c r="D91" s="13"/>
      <c r="E91" s="13"/>
      <c r="F91" s="160"/>
    </row>
    <row r="92" spans="1:6" ht="13" x14ac:dyDescent="0.3">
      <c r="A92" s="13"/>
      <c r="B92" s="13"/>
      <c r="C92" s="13"/>
      <c r="D92" s="13"/>
      <c r="E92" s="13"/>
      <c r="F92" s="160"/>
    </row>
    <row r="93" spans="1:6" ht="13" x14ac:dyDescent="0.3">
      <c r="A93" s="13"/>
      <c r="B93" s="13"/>
      <c r="C93" s="13"/>
      <c r="D93" s="13"/>
      <c r="E93" s="13"/>
      <c r="F93" s="160"/>
    </row>
    <row r="94" spans="1:6" ht="13" x14ac:dyDescent="0.3">
      <c r="A94" s="13"/>
      <c r="B94" s="13"/>
      <c r="C94" s="13"/>
      <c r="D94" s="13"/>
      <c r="E94" s="13"/>
      <c r="F94" s="160"/>
    </row>
    <row r="95" spans="1:6" ht="13" x14ac:dyDescent="0.3">
      <c r="A95" s="13"/>
      <c r="B95" s="13"/>
      <c r="C95" s="13"/>
      <c r="D95" s="13"/>
      <c r="E95" s="13"/>
      <c r="F95" s="160"/>
    </row>
    <row r="96" spans="1:6" ht="13" x14ac:dyDescent="0.3">
      <c r="A96" s="13"/>
      <c r="B96" s="13"/>
      <c r="C96" s="13"/>
      <c r="D96" s="13"/>
      <c r="E96" s="13"/>
      <c r="F96" s="160"/>
    </row>
    <row r="97" spans="1:6" ht="13" x14ac:dyDescent="0.3">
      <c r="A97" s="13"/>
      <c r="B97" s="13"/>
      <c r="C97" s="13"/>
      <c r="D97" s="13"/>
      <c r="E97" s="13"/>
      <c r="F97" s="160"/>
    </row>
    <row r="98" spans="1:6" ht="13" x14ac:dyDescent="0.3">
      <c r="A98" s="13"/>
      <c r="B98" s="13"/>
      <c r="C98" s="13"/>
      <c r="D98" s="13"/>
      <c r="E98" s="13"/>
      <c r="F98" s="160"/>
    </row>
    <row r="99" spans="1:6" ht="13" x14ac:dyDescent="0.3">
      <c r="A99" s="13"/>
      <c r="B99" s="13"/>
      <c r="C99" s="13"/>
      <c r="D99" s="13"/>
      <c r="E99" s="13"/>
      <c r="F99" s="160"/>
    </row>
    <row r="100" spans="1:6" ht="13" x14ac:dyDescent="0.3">
      <c r="A100" s="13"/>
      <c r="B100" s="13"/>
      <c r="C100" s="13"/>
      <c r="D100" s="13"/>
      <c r="E100" s="13"/>
      <c r="F100" s="160"/>
    </row>
    <row r="101" spans="1:6" ht="13" x14ac:dyDescent="0.3">
      <c r="A101" s="13"/>
      <c r="B101" s="13"/>
      <c r="C101" s="13"/>
      <c r="D101" s="13"/>
      <c r="E101" s="13"/>
      <c r="F101" s="160"/>
    </row>
    <row r="102" spans="1:6" ht="13" x14ac:dyDescent="0.3">
      <c r="A102" s="13"/>
      <c r="B102" s="13"/>
      <c r="C102" s="13"/>
      <c r="D102" s="13"/>
      <c r="E102" s="13"/>
      <c r="F102" s="160"/>
    </row>
    <row r="103" spans="1:6" ht="13" x14ac:dyDescent="0.3">
      <c r="A103" s="13"/>
      <c r="B103" s="13"/>
      <c r="C103" s="13"/>
      <c r="D103" s="13"/>
      <c r="E103" s="13"/>
      <c r="F103" s="160"/>
    </row>
    <row r="104" spans="1:6" ht="13" x14ac:dyDescent="0.3">
      <c r="A104" s="13"/>
      <c r="B104" s="13"/>
      <c r="C104" s="13"/>
      <c r="D104" s="13"/>
      <c r="E104" s="13"/>
      <c r="F104" s="160"/>
    </row>
    <row r="105" spans="1:6" ht="13" x14ac:dyDescent="0.3">
      <c r="A105" s="13"/>
      <c r="B105" s="13"/>
      <c r="C105" s="13"/>
      <c r="D105" s="13"/>
      <c r="E105" s="13"/>
      <c r="F105" s="160"/>
    </row>
    <row r="106" spans="1:6" ht="13" x14ac:dyDescent="0.3">
      <c r="A106" s="13"/>
      <c r="B106" s="13"/>
      <c r="C106" s="13"/>
      <c r="D106" s="13"/>
      <c r="E106" s="13"/>
      <c r="F106" s="160"/>
    </row>
    <row r="107" spans="1:6" ht="13" x14ac:dyDescent="0.3">
      <c r="A107" s="13"/>
      <c r="B107" s="13"/>
      <c r="C107" s="13"/>
      <c r="D107" s="13"/>
      <c r="E107" s="13"/>
      <c r="F107" s="160"/>
    </row>
    <row r="108" spans="1:6" ht="13" x14ac:dyDescent="0.3">
      <c r="A108" s="13"/>
      <c r="B108" s="13"/>
      <c r="C108" s="13"/>
      <c r="D108" s="13"/>
      <c r="E108" s="13"/>
      <c r="F108" s="160"/>
    </row>
    <row r="109" spans="1:6" ht="13" x14ac:dyDescent="0.3">
      <c r="A109" s="13"/>
      <c r="B109" s="13"/>
      <c r="C109" s="13"/>
      <c r="D109" s="13"/>
      <c r="E109" s="13"/>
      <c r="F109" s="160"/>
    </row>
    <row r="110" spans="1:6" ht="13" x14ac:dyDescent="0.3">
      <c r="A110" s="13"/>
      <c r="B110" s="13"/>
      <c r="C110" s="13"/>
      <c r="D110" s="13"/>
      <c r="E110" s="13"/>
      <c r="F110" s="160"/>
    </row>
    <row r="111" spans="1:6" ht="13" x14ac:dyDescent="0.3">
      <c r="A111" s="13"/>
      <c r="B111" s="13"/>
      <c r="C111" s="13"/>
      <c r="D111" s="13"/>
      <c r="E111" s="13"/>
      <c r="F111" s="160"/>
    </row>
    <row r="112" spans="1:6" ht="13" x14ac:dyDescent="0.3">
      <c r="A112" s="13"/>
      <c r="B112" s="13"/>
      <c r="C112" s="13"/>
      <c r="D112" s="13"/>
      <c r="E112" s="13"/>
      <c r="F112" s="160"/>
    </row>
    <row r="113" spans="1:6" ht="13" x14ac:dyDescent="0.3">
      <c r="A113" s="13"/>
      <c r="B113" s="13"/>
      <c r="C113" s="13"/>
      <c r="D113" s="13"/>
      <c r="E113" s="13"/>
      <c r="F113" s="160"/>
    </row>
    <row r="114" spans="1:6" ht="13" x14ac:dyDescent="0.3">
      <c r="A114" s="13"/>
      <c r="B114" s="13"/>
      <c r="C114" s="13"/>
      <c r="D114" s="13"/>
      <c r="E114" s="13"/>
      <c r="F114" s="160"/>
    </row>
    <row r="115" spans="1:6" ht="13" x14ac:dyDescent="0.3">
      <c r="A115" s="13"/>
      <c r="B115" s="13"/>
      <c r="C115" s="13"/>
      <c r="D115" s="13"/>
      <c r="E115" s="13"/>
      <c r="F115" s="160"/>
    </row>
    <row r="116" spans="1:6" ht="13" x14ac:dyDescent="0.3">
      <c r="A116" s="13"/>
      <c r="B116" s="13"/>
      <c r="C116" s="13"/>
      <c r="D116" s="13"/>
      <c r="E116" s="13"/>
      <c r="F116" s="160"/>
    </row>
    <row r="117" spans="1:6" ht="13" x14ac:dyDescent="0.3">
      <c r="A117" s="13"/>
      <c r="B117" s="13"/>
      <c r="C117" s="13"/>
      <c r="D117" s="13"/>
      <c r="E117" s="13"/>
      <c r="F117" s="160"/>
    </row>
    <row r="118" spans="1:6" ht="13" x14ac:dyDescent="0.3">
      <c r="A118" s="13"/>
      <c r="B118" s="13"/>
      <c r="C118" s="13"/>
      <c r="D118" s="13"/>
      <c r="E118" s="13"/>
      <c r="F118" s="160"/>
    </row>
    <row r="119" spans="1:6" ht="13" x14ac:dyDescent="0.3">
      <c r="A119" s="13"/>
      <c r="B119" s="13"/>
      <c r="C119" s="13"/>
      <c r="D119" s="13"/>
      <c r="E119" s="13"/>
      <c r="F119" s="160"/>
    </row>
    <row r="120" spans="1:6" ht="13" x14ac:dyDescent="0.3">
      <c r="A120" s="13"/>
      <c r="B120" s="13"/>
      <c r="C120" s="13"/>
      <c r="D120" s="13"/>
      <c r="E120" s="13"/>
      <c r="F120" s="160"/>
    </row>
    <row r="121" spans="1:6" ht="13" x14ac:dyDescent="0.3">
      <c r="A121" s="13"/>
      <c r="B121" s="13"/>
      <c r="C121" s="13"/>
      <c r="D121" s="13"/>
      <c r="E121" s="13"/>
      <c r="F121" s="160"/>
    </row>
    <row r="122" spans="1:6" ht="13" x14ac:dyDescent="0.3">
      <c r="A122" s="13"/>
      <c r="B122" s="13"/>
      <c r="C122" s="13"/>
      <c r="D122" s="13"/>
      <c r="E122" s="13"/>
      <c r="F122" s="160"/>
    </row>
    <row r="123" spans="1:6" ht="13" x14ac:dyDescent="0.3">
      <c r="A123" s="13"/>
      <c r="B123" s="13"/>
      <c r="C123" s="13"/>
      <c r="D123" s="13"/>
      <c r="E123" s="13"/>
      <c r="F123" s="160"/>
    </row>
    <row r="124" spans="1:6" ht="13" x14ac:dyDescent="0.3">
      <c r="A124" s="13"/>
      <c r="B124" s="13"/>
      <c r="C124" s="13"/>
      <c r="D124" s="13"/>
      <c r="E124" s="13"/>
      <c r="F124" s="160"/>
    </row>
    <row r="125" spans="1:6" ht="13" x14ac:dyDescent="0.3">
      <c r="A125" s="13"/>
      <c r="B125" s="13"/>
      <c r="C125" s="13"/>
      <c r="D125" s="13"/>
      <c r="E125" s="13"/>
      <c r="F125" s="160"/>
    </row>
    <row r="126" spans="1:6" ht="13" x14ac:dyDescent="0.3">
      <c r="A126" s="13"/>
      <c r="B126" s="13"/>
      <c r="C126" s="13"/>
      <c r="D126" s="13"/>
      <c r="E126" s="13"/>
      <c r="F126" s="160"/>
    </row>
    <row r="127" spans="1:6" ht="13" x14ac:dyDescent="0.3">
      <c r="A127" s="13"/>
      <c r="B127" s="13"/>
      <c r="C127" s="13"/>
      <c r="D127" s="13"/>
      <c r="E127" s="13"/>
      <c r="F127" s="160"/>
    </row>
    <row r="128" spans="1:6" ht="13" x14ac:dyDescent="0.3">
      <c r="A128" s="13"/>
      <c r="B128" s="13"/>
      <c r="C128" s="13"/>
      <c r="D128" s="13"/>
      <c r="E128" s="13"/>
      <c r="F128" s="160"/>
    </row>
    <row r="129" spans="1:6" ht="13" x14ac:dyDescent="0.3">
      <c r="A129" s="13"/>
      <c r="B129" s="13"/>
      <c r="C129" s="13"/>
      <c r="D129" s="13"/>
      <c r="E129" s="13"/>
      <c r="F129" s="160"/>
    </row>
    <row r="130" spans="1:6" ht="13" x14ac:dyDescent="0.3">
      <c r="A130" s="13"/>
      <c r="B130" s="13"/>
      <c r="C130" s="13"/>
      <c r="D130" s="13"/>
      <c r="E130" s="13"/>
      <c r="F130" s="160"/>
    </row>
    <row r="131" spans="1:6" ht="13" x14ac:dyDescent="0.3">
      <c r="A131" s="13"/>
      <c r="B131" s="13"/>
      <c r="C131" s="13"/>
      <c r="D131" s="13"/>
      <c r="E131" s="13"/>
      <c r="F131" s="160"/>
    </row>
    <row r="132" spans="1:6" ht="13" x14ac:dyDescent="0.3">
      <c r="A132" s="13"/>
      <c r="B132" s="13"/>
      <c r="C132" s="13"/>
      <c r="D132" s="13"/>
      <c r="E132" s="13"/>
      <c r="F132" s="160"/>
    </row>
    <row r="133" spans="1:6" ht="13" x14ac:dyDescent="0.3">
      <c r="A133" s="13"/>
      <c r="B133" s="13"/>
      <c r="C133" s="13"/>
      <c r="D133" s="13"/>
      <c r="E133" s="13"/>
      <c r="F133" s="160"/>
    </row>
    <row r="134" spans="1:6" ht="13" x14ac:dyDescent="0.3">
      <c r="A134" s="13"/>
      <c r="B134" s="13"/>
      <c r="C134" s="13"/>
      <c r="D134" s="13"/>
      <c r="E134" s="13"/>
      <c r="F134" s="160"/>
    </row>
    <row r="135" spans="1:6" ht="13" x14ac:dyDescent="0.3">
      <c r="A135" s="13"/>
      <c r="B135" s="13"/>
      <c r="C135" s="13"/>
      <c r="D135" s="13"/>
      <c r="E135" s="13"/>
      <c r="F135" s="160"/>
    </row>
    <row r="136" spans="1:6" ht="13" x14ac:dyDescent="0.3">
      <c r="A136" s="13"/>
      <c r="B136" s="13"/>
      <c r="C136" s="13"/>
      <c r="D136" s="13"/>
      <c r="E136" s="13"/>
      <c r="F136" s="160"/>
    </row>
    <row r="137" spans="1:6" ht="13" x14ac:dyDescent="0.3">
      <c r="A137" s="13"/>
      <c r="B137" s="13"/>
      <c r="C137" s="13"/>
      <c r="D137" s="13"/>
      <c r="E137" s="13"/>
      <c r="F137" s="160"/>
    </row>
    <row r="138" spans="1:6" ht="13" x14ac:dyDescent="0.3">
      <c r="A138" s="13"/>
      <c r="B138" s="13"/>
      <c r="C138" s="13"/>
      <c r="D138" s="13"/>
      <c r="E138" s="13"/>
      <c r="F138" s="160"/>
    </row>
    <row r="139" spans="1:6" ht="13" x14ac:dyDescent="0.3">
      <c r="A139" s="13"/>
      <c r="B139" s="13"/>
      <c r="C139" s="13"/>
      <c r="D139" s="13"/>
      <c r="E139" s="13"/>
      <c r="F139" s="160"/>
    </row>
    <row r="140" spans="1:6" ht="13" x14ac:dyDescent="0.3">
      <c r="A140" s="13"/>
      <c r="B140" s="13"/>
      <c r="C140" s="13"/>
      <c r="D140" s="13"/>
      <c r="E140" s="13"/>
      <c r="F140" s="160"/>
    </row>
    <row r="141" spans="1:6" ht="13" x14ac:dyDescent="0.3">
      <c r="A141" s="13"/>
      <c r="B141" s="13"/>
      <c r="C141" s="13"/>
      <c r="D141" s="13"/>
      <c r="E141" s="13"/>
      <c r="F141" s="160"/>
    </row>
    <row r="142" spans="1:6" ht="13" x14ac:dyDescent="0.3">
      <c r="A142" s="13"/>
      <c r="B142" s="13"/>
      <c r="C142" s="13"/>
      <c r="D142" s="13"/>
      <c r="E142" s="13"/>
      <c r="F142" s="160"/>
    </row>
    <row r="143" spans="1:6" ht="13" x14ac:dyDescent="0.3">
      <c r="A143" s="13"/>
      <c r="B143" s="13"/>
      <c r="C143" s="13"/>
      <c r="D143" s="13"/>
      <c r="E143" s="13"/>
      <c r="F143" s="160"/>
    </row>
    <row r="144" spans="1:6" ht="13" x14ac:dyDescent="0.3">
      <c r="A144" s="13"/>
      <c r="B144" s="13"/>
      <c r="C144" s="13"/>
      <c r="D144" s="13"/>
      <c r="E144" s="13"/>
      <c r="F144" s="160"/>
    </row>
    <row r="145" spans="1:6" ht="13" x14ac:dyDescent="0.3">
      <c r="A145" s="13"/>
      <c r="B145" s="13"/>
      <c r="C145" s="13"/>
      <c r="D145" s="13"/>
      <c r="E145" s="13"/>
      <c r="F145" s="160"/>
    </row>
    <row r="146" spans="1:6" ht="13" x14ac:dyDescent="0.3">
      <c r="A146" s="13"/>
      <c r="B146" s="13"/>
      <c r="C146" s="13"/>
      <c r="D146" s="13"/>
      <c r="E146" s="13"/>
      <c r="F146" s="160"/>
    </row>
    <row r="147" spans="1:6" ht="13" x14ac:dyDescent="0.3">
      <c r="A147" s="13"/>
      <c r="B147" s="13"/>
      <c r="C147" s="13"/>
      <c r="D147" s="13"/>
      <c r="E147" s="13"/>
      <c r="F147" s="160"/>
    </row>
    <row r="148" spans="1:6" ht="13" x14ac:dyDescent="0.3">
      <c r="A148" s="13"/>
      <c r="B148" s="13"/>
      <c r="C148" s="13"/>
      <c r="D148" s="13"/>
      <c r="E148" s="13"/>
      <c r="F148" s="160"/>
    </row>
    <row r="149" spans="1:6" ht="13" x14ac:dyDescent="0.3">
      <c r="A149" s="13"/>
      <c r="B149" s="13"/>
      <c r="C149" s="13"/>
      <c r="D149" s="13"/>
      <c r="E149" s="13"/>
      <c r="F149" s="160"/>
    </row>
    <row r="150" spans="1:6" ht="13" x14ac:dyDescent="0.3">
      <c r="A150" s="13"/>
      <c r="B150" s="13"/>
      <c r="C150" s="13"/>
      <c r="D150" s="13"/>
      <c r="E150" s="13"/>
      <c r="F150" s="160"/>
    </row>
    <row r="151" spans="1:6" ht="13" x14ac:dyDescent="0.3">
      <c r="A151" s="13"/>
      <c r="B151" s="13"/>
      <c r="C151" s="13"/>
      <c r="D151" s="13"/>
      <c r="E151" s="13"/>
      <c r="F151" s="160"/>
    </row>
    <row r="152" spans="1:6" ht="13" x14ac:dyDescent="0.3">
      <c r="A152" s="13"/>
      <c r="B152" s="13"/>
      <c r="C152" s="13"/>
      <c r="D152" s="13"/>
      <c r="E152" s="13"/>
      <c r="F152" s="160"/>
    </row>
    <row r="153" spans="1:6" ht="13" x14ac:dyDescent="0.3">
      <c r="A153" s="13"/>
      <c r="B153" s="13"/>
      <c r="C153" s="13"/>
      <c r="D153" s="13"/>
      <c r="E153" s="13"/>
      <c r="F153" s="160"/>
    </row>
    <row r="154" spans="1:6" ht="13" x14ac:dyDescent="0.3">
      <c r="A154" s="13"/>
      <c r="B154" s="13"/>
      <c r="C154" s="13"/>
      <c r="D154" s="13"/>
      <c r="E154" s="13"/>
      <c r="F154" s="160"/>
    </row>
    <row r="155" spans="1:6" ht="13" x14ac:dyDescent="0.3">
      <c r="A155" s="13"/>
      <c r="B155" s="13"/>
      <c r="C155" s="13"/>
      <c r="D155" s="13"/>
      <c r="E155" s="13"/>
      <c r="F155" s="160"/>
    </row>
    <row r="156" spans="1:6" ht="13" x14ac:dyDescent="0.3">
      <c r="A156" s="13"/>
      <c r="B156" s="13"/>
      <c r="C156" s="13"/>
      <c r="D156" s="13"/>
      <c r="E156" s="13"/>
      <c r="F156" s="160"/>
    </row>
    <row r="157" spans="1:6" ht="13" x14ac:dyDescent="0.3">
      <c r="A157" s="13"/>
      <c r="B157" s="13"/>
      <c r="C157" s="13"/>
      <c r="D157" s="13"/>
      <c r="E157" s="13"/>
      <c r="F157" s="160"/>
    </row>
    <row r="158" spans="1:6" ht="13" x14ac:dyDescent="0.3">
      <c r="A158" s="13"/>
      <c r="B158" s="13"/>
      <c r="C158" s="13"/>
      <c r="D158" s="13"/>
      <c r="E158" s="13"/>
      <c r="F158" s="160"/>
    </row>
    <row r="159" spans="1:6" ht="13" x14ac:dyDescent="0.3">
      <c r="A159" s="13"/>
      <c r="B159" s="13"/>
      <c r="C159" s="13"/>
      <c r="D159" s="13"/>
      <c r="E159" s="13"/>
      <c r="F159" s="160"/>
    </row>
    <row r="160" spans="1:6" ht="13" x14ac:dyDescent="0.3">
      <c r="A160" s="13"/>
      <c r="B160" s="13"/>
      <c r="C160" s="13"/>
      <c r="D160" s="13"/>
      <c r="E160" s="13"/>
      <c r="F160" s="160"/>
    </row>
    <row r="161" spans="1:6" ht="13" x14ac:dyDescent="0.3">
      <c r="A161" s="13"/>
      <c r="B161" s="13"/>
      <c r="C161" s="13"/>
      <c r="D161" s="13"/>
      <c r="E161" s="13"/>
      <c r="F161" s="160"/>
    </row>
    <row r="162" spans="1:6" ht="13" x14ac:dyDescent="0.3">
      <c r="A162" s="13"/>
      <c r="B162" s="13"/>
      <c r="C162" s="13"/>
      <c r="D162" s="13"/>
      <c r="E162" s="13"/>
      <c r="F162" s="160"/>
    </row>
    <row r="163" spans="1:6" ht="13" x14ac:dyDescent="0.3">
      <c r="A163" s="13"/>
      <c r="B163" s="13"/>
      <c r="C163" s="13"/>
      <c r="D163" s="13"/>
      <c r="E163" s="13"/>
      <c r="F163" s="160"/>
    </row>
    <row r="164" spans="1:6" ht="13" x14ac:dyDescent="0.3">
      <c r="A164" s="13"/>
      <c r="B164" s="13"/>
      <c r="C164" s="13"/>
      <c r="D164" s="13"/>
      <c r="E164" s="13"/>
      <c r="F164" s="160"/>
    </row>
    <row r="165" spans="1:6" ht="13" x14ac:dyDescent="0.3">
      <c r="A165" s="13"/>
      <c r="B165" s="13"/>
      <c r="C165" s="13"/>
      <c r="D165" s="13"/>
      <c r="E165" s="13"/>
      <c r="F165" s="160"/>
    </row>
    <row r="166" spans="1:6" ht="13" x14ac:dyDescent="0.3">
      <c r="A166" s="13"/>
      <c r="B166" s="13"/>
      <c r="C166" s="13"/>
      <c r="D166" s="13"/>
      <c r="E166" s="13"/>
      <c r="F166" s="160"/>
    </row>
    <row r="167" spans="1:6" ht="13" x14ac:dyDescent="0.3">
      <c r="A167" s="13"/>
      <c r="B167" s="13"/>
      <c r="C167" s="13"/>
      <c r="D167" s="13"/>
      <c r="E167" s="13"/>
      <c r="F167" s="160"/>
    </row>
    <row r="168" spans="1:6" ht="13" x14ac:dyDescent="0.3">
      <c r="A168" s="13"/>
      <c r="B168" s="13"/>
      <c r="C168" s="13"/>
      <c r="D168" s="13"/>
      <c r="E168" s="13"/>
      <c r="F168" s="160"/>
    </row>
    <row r="169" spans="1:6" ht="13" x14ac:dyDescent="0.3">
      <c r="A169" s="13"/>
      <c r="B169" s="13"/>
      <c r="C169" s="13"/>
      <c r="D169" s="13"/>
      <c r="E169" s="13"/>
      <c r="F169" s="160"/>
    </row>
    <row r="170" spans="1:6" ht="13" x14ac:dyDescent="0.3">
      <c r="A170" s="13"/>
      <c r="B170" s="13"/>
      <c r="C170" s="13"/>
      <c r="D170" s="13"/>
      <c r="E170" s="13"/>
      <c r="F170" s="160"/>
    </row>
    <row r="171" spans="1:6" ht="13" x14ac:dyDescent="0.3">
      <c r="A171" s="13"/>
      <c r="B171" s="13"/>
      <c r="C171" s="13"/>
      <c r="D171" s="13"/>
      <c r="E171" s="13"/>
      <c r="F171" s="160"/>
    </row>
    <row r="172" spans="1:6" ht="13" x14ac:dyDescent="0.3">
      <c r="A172" s="13"/>
      <c r="B172" s="13"/>
      <c r="C172" s="13"/>
      <c r="D172" s="13"/>
      <c r="E172" s="13"/>
      <c r="F172" s="160"/>
    </row>
    <row r="173" spans="1:6" ht="13" x14ac:dyDescent="0.3">
      <c r="A173" s="13"/>
      <c r="B173" s="13"/>
      <c r="C173" s="13"/>
      <c r="D173" s="13"/>
      <c r="E173" s="13"/>
      <c r="F173" s="160"/>
    </row>
    <row r="174" spans="1:6" ht="13" x14ac:dyDescent="0.3">
      <c r="A174" s="13"/>
      <c r="B174" s="13"/>
      <c r="C174" s="13"/>
      <c r="D174" s="13"/>
      <c r="E174" s="13"/>
      <c r="F174" s="160"/>
    </row>
    <row r="175" spans="1:6" ht="13" x14ac:dyDescent="0.3">
      <c r="A175" s="13"/>
      <c r="B175" s="13"/>
      <c r="C175" s="13"/>
      <c r="D175" s="13"/>
      <c r="E175" s="13"/>
      <c r="F175" s="160"/>
    </row>
    <row r="176" spans="1:6" ht="13" x14ac:dyDescent="0.3">
      <c r="A176" s="13"/>
      <c r="B176" s="13"/>
      <c r="C176" s="13"/>
      <c r="D176" s="13"/>
      <c r="E176" s="13"/>
      <c r="F176" s="160"/>
    </row>
    <row r="177" spans="1:6" ht="13" x14ac:dyDescent="0.3">
      <c r="A177" s="13"/>
      <c r="B177" s="13"/>
      <c r="C177" s="13"/>
      <c r="D177" s="13"/>
      <c r="E177" s="13"/>
      <c r="F177" s="160"/>
    </row>
    <row r="178" spans="1:6" ht="13" x14ac:dyDescent="0.3">
      <c r="A178" s="13"/>
      <c r="B178" s="13"/>
      <c r="C178" s="13"/>
      <c r="D178" s="13"/>
      <c r="E178" s="13"/>
      <c r="F178" s="160"/>
    </row>
    <row r="179" spans="1:6" ht="13" x14ac:dyDescent="0.3">
      <c r="A179" s="13"/>
      <c r="B179" s="13"/>
      <c r="C179" s="13"/>
      <c r="D179" s="13"/>
      <c r="E179" s="13"/>
      <c r="F179" s="160"/>
    </row>
    <row r="180" spans="1:6" ht="13" x14ac:dyDescent="0.3">
      <c r="A180" s="13"/>
      <c r="B180" s="13"/>
      <c r="C180" s="13"/>
      <c r="D180" s="13"/>
      <c r="E180" s="13"/>
      <c r="F180" s="160"/>
    </row>
    <row r="181" spans="1:6" ht="13" x14ac:dyDescent="0.3">
      <c r="A181" s="13"/>
      <c r="B181" s="13"/>
      <c r="C181" s="13"/>
      <c r="D181" s="13"/>
      <c r="E181" s="13"/>
      <c r="F181" s="160"/>
    </row>
    <row r="182" spans="1:6" ht="13" x14ac:dyDescent="0.3">
      <c r="A182" s="13"/>
      <c r="B182" s="13"/>
      <c r="C182" s="13"/>
      <c r="D182" s="13"/>
      <c r="E182" s="13"/>
      <c r="F182" s="160"/>
    </row>
    <row r="183" spans="1:6" ht="13" x14ac:dyDescent="0.3">
      <c r="A183" s="13"/>
      <c r="B183" s="13"/>
      <c r="C183" s="13"/>
      <c r="D183" s="13"/>
      <c r="E183" s="13"/>
      <c r="F183" s="160"/>
    </row>
    <row r="184" spans="1:6" ht="13" x14ac:dyDescent="0.3">
      <c r="A184" s="13"/>
      <c r="B184" s="13"/>
      <c r="C184" s="13"/>
      <c r="D184" s="13"/>
      <c r="E184" s="13"/>
      <c r="F184" s="160"/>
    </row>
    <row r="185" spans="1:6" ht="13" x14ac:dyDescent="0.3">
      <c r="A185" s="13"/>
      <c r="B185" s="13"/>
      <c r="C185" s="13"/>
      <c r="D185" s="13"/>
      <c r="E185" s="13"/>
      <c r="F185" s="160"/>
    </row>
    <row r="186" spans="1:6" ht="13" x14ac:dyDescent="0.3">
      <c r="A186" s="13"/>
      <c r="B186" s="13"/>
      <c r="C186" s="13"/>
      <c r="D186" s="13"/>
      <c r="E186" s="13"/>
      <c r="F186" s="160"/>
    </row>
    <row r="187" spans="1:6" ht="13" x14ac:dyDescent="0.3">
      <c r="A187" s="13"/>
      <c r="B187" s="13"/>
      <c r="C187" s="13"/>
      <c r="D187" s="13"/>
      <c r="E187" s="13"/>
      <c r="F187" s="160"/>
    </row>
    <row r="188" spans="1:6" ht="13" x14ac:dyDescent="0.3">
      <c r="A188" s="13"/>
      <c r="B188" s="13"/>
      <c r="C188" s="13"/>
      <c r="D188" s="13"/>
      <c r="E188" s="13"/>
      <c r="F188" s="160"/>
    </row>
    <row r="189" spans="1:6" ht="13" x14ac:dyDescent="0.3">
      <c r="A189" s="13"/>
      <c r="B189" s="13"/>
      <c r="C189" s="13"/>
      <c r="D189" s="13"/>
      <c r="E189" s="13"/>
      <c r="F189" s="160"/>
    </row>
    <row r="190" spans="1:6" ht="13" x14ac:dyDescent="0.3">
      <c r="A190" s="13"/>
      <c r="B190" s="13"/>
      <c r="C190" s="13"/>
      <c r="D190" s="13"/>
      <c r="E190" s="13"/>
      <c r="F190" s="160"/>
    </row>
    <row r="191" spans="1:6" ht="13" x14ac:dyDescent="0.3">
      <c r="A191" s="13"/>
      <c r="B191" s="13"/>
      <c r="C191" s="13"/>
      <c r="D191" s="13"/>
      <c r="E191" s="13"/>
      <c r="F191" s="160"/>
    </row>
    <row r="192" spans="1:6" ht="13" x14ac:dyDescent="0.3">
      <c r="A192" s="13"/>
      <c r="B192" s="13"/>
      <c r="C192" s="13"/>
      <c r="D192" s="13"/>
      <c r="E192" s="13"/>
      <c r="F192" s="160"/>
    </row>
    <row r="193" spans="1:6" ht="13" x14ac:dyDescent="0.3">
      <c r="A193" s="13"/>
      <c r="B193" s="13"/>
      <c r="C193" s="13"/>
      <c r="D193" s="13"/>
      <c r="E193" s="13"/>
      <c r="F193" s="160"/>
    </row>
    <row r="194" spans="1:6" ht="13" x14ac:dyDescent="0.3">
      <c r="A194" s="13"/>
      <c r="B194" s="13"/>
      <c r="C194" s="13"/>
      <c r="D194" s="13"/>
      <c r="E194" s="13"/>
      <c r="F194" s="160"/>
    </row>
    <row r="195" spans="1:6" ht="13" x14ac:dyDescent="0.3">
      <c r="A195" s="13"/>
      <c r="B195" s="13"/>
      <c r="C195" s="13"/>
      <c r="D195" s="13"/>
      <c r="E195" s="13"/>
      <c r="F195" s="160"/>
    </row>
    <row r="196" spans="1:6" ht="13" x14ac:dyDescent="0.3">
      <c r="A196" s="13"/>
      <c r="B196" s="13"/>
      <c r="C196" s="13"/>
      <c r="D196" s="13"/>
      <c r="E196" s="13"/>
      <c r="F196" s="160"/>
    </row>
    <row r="197" spans="1:6" ht="13" x14ac:dyDescent="0.3">
      <c r="A197" s="13"/>
      <c r="B197" s="13"/>
      <c r="C197" s="13"/>
      <c r="D197" s="13"/>
      <c r="E197" s="13"/>
      <c r="F197" s="160"/>
    </row>
    <row r="198" spans="1:6" ht="13" x14ac:dyDescent="0.3">
      <c r="A198" s="13"/>
      <c r="B198" s="13"/>
      <c r="C198" s="13"/>
      <c r="D198" s="13"/>
      <c r="E198" s="13"/>
      <c r="F198" s="160"/>
    </row>
    <row r="199" spans="1:6" ht="13" x14ac:dyDescent="0.3">
      <c r="A199" s="13"/>
      <c r="B199" s="13"/>
      <c r="C199" s="13"/>
      <c r="D199" s="13"/>
      <c r="E199" s="13"/>
      <c r="F199" s="160"/>
    </row>
    <row r="200" spans="1:6" ht="13" x14ac:dyDescent="0.3">
      <c r="A200" s="13"/>
      <c r="B200" s="13"/>
      <c r="C200" s="13"/>
      <c r="D200" s="13"/>
      <c r="E200" s="13"/>
      <c r="F200" s="160"/>
    </row>
    <row r="201" spans="1:6" ht="13" x14ac:dyDescent="0.3">
      <c r="A201" s="13"/>
      <c r="B201" s="13"/>
      <c r="C201" s="13"/>
      <c r="D201" s="13"/>
      <c r="E201" s="13"/>
      <c r="F201" s="160"/>
    </row>
    <row r="202" spans="1:6" ht="13" x14ac:dyDescent="0.3">
      <c r="A202" s="13"/>
      <c r="B202" s="13"/>
      <c r="C202" s="13"/>
      <c r="D202" s="13"/>
      <c r="E202" s="13"/>
      <c r="F202" s="160"/>
    </row>
    <row r="203" spans="1:6" ht="13" x14ac:dyDescent="0.3">
      <c r="A203" s="13"/>
      <c r="B203" s="13"/>
      <c r="C203" s="13"/>
      <c r="D203" s="13"/>
      <c r="E203" s="13"/>
      <c r="F203" s="160"/>
    </row>
    <row r="204" spans="1:6" ht="13" x14ac:dyDescent="0.3">
      <c r="A204" s="13"/>
      <c r="B204" s="13"/>
      <c r="C204" s="13"/>
      <c r="D204" s="13"/>
      <c r="E204" s="13"/>
      <c r="F204" s="160"/>
    </row>
    <row r="205" spans="1:6" ht="13" x14ac:dyDescent="0.3">
      <c r="A205" s="13"/>
      <c r="B205" s="13"/>
      <c r="C205" s="13"/>
      <c r="D205" s="13"/>
      <c r="E205" s="13"/>
      <c r="F205" s="160"/>
    </row>
    <row r="206" spans="1:6" ht="13" x14ac:dyDescent="0.3">
      <c r="A206" s="13"/>
      <c r="B206" s="13"/>
      <c r="C206" s="13"/>
      <c r="D206" s="13"/>
      <c r="E206" s="13"/>
      <c r="F206" s="160"/>
    </row>
    <row r="207" spans="1:6" ht="13" x14ac:dyDescent="0.3">
      <c r="A207" s="13"/>
      <c r="B207" s="13"/>
      <c r="C207" s="13"/>
      <c r="D207" s="13"/>
      <c r="E207" s="13"/>
      <c r="F207" s="160"/>
    </row>
    <row r="208" spans="1:6" ht="13" x14ac:dyDescent="0.3">
      <c r="A208" s="13"/>
      <c r="B208" s="13"/>
      <c r="C208" s="13"/>
      <c r="D208" s="13"/>
      <c r="E208" s="13"/>
      <c r="F208" s="160"/>
    </row>
    <row r="209" spans="1:6" ht="13" x14ac:dyDescent="0.3">
      <c r="A209" s="13"/>
      <c r="B209" s="13"/>
      <c r="C209" s="13"/>
      <c r="D209" s="13"/>
      <c r="E209" s="13"/>
      <c r="F209" s="160"/>
    </row>
    <row r="210" spans="1:6" ht="13" x14ac:dyDescent="0.3">
      <c r="A210" s="13"/>
      <c r="B210" s="13"/>
      <c r="C210" s="13"/>
      <c r="D210" s="13"/>
      <c r="E210" s="13"/>
      <c r="F210" s="160"/>
    </row>
    <row r="211" spans="1:6" ht="13" x14ac:dyDescent="0.3">
      <c r="A211" s="13"/>
      <c r="B211" s="13"/>
      <c r="C211" s="13"/>
      <c r="D211" s="13"/>
      <c r="E211" s="13"/>
      <c r="F211" s="160"/>
    </row>
    <row r="212" spans="1:6" ht="13" x14ac:dyDescent="0.3">
      <c r="A212" s="13"/>
      <c r="B212" s="13"/>
      <c r="C212" s="13"/>
      <c r="D212" s="13"/>
      <c r="E212" s="13"/>
      <c r="F212" s="160"/>
    </row>
    <row r="213" spans="1:6" ht="13" x14ac:dyDescent="0.3">
      <c r="A213" s="13"/>
      <c r="B213" s="13"/>
      <c r="C213" s="13"/>
      <c r="D213" s="13"/>
      <c r="E213" s="13"/>
      <c r="F213" s="160"/>
    </row>
    <row r="214" spans="1:6" ht="13" x14ac:dyDescent="0.3">
      <c r="A214" s="13"/>
      <c r="B214" s="13"/>
      <c r="C214" s="13"/>
      <c r="D214" s="13"/>
      <c r="E214" s="13"/>
      <c r="F214" s="160"/>
    </row>
    <row r="215" spans="1:6" ht="13" x14ac:dyDescent="0.3">
      <c r="A215" s="13"/>
      <c r="B215" s="13"/>
      <c r="C215" s="13"/>
      <c r="D215" s="13"/>
      <c r="E215" s="13"/>
      <c r="F215" s="160"/>
    </row>
    <row r="216" spans="1:6" ht="13" x14ac:dyDescent="0.3">
      <c r="A216" s="13"/>
      <c r="B216" s="13"/>
      <c r="C216" s="13"/>
      <c r="D216" s="13"/>
      <c r="E216" s="13"/>
      <c r="F216" s="160"/>
    </row>
    <row r="217" spans="1:6" ht="13" x14ac:dyDescent="0.3">
      <c r="A217" s="13"/>
      <c r="B217" s="13"/>
      <c r="C217" s="13"/>
      <c r="D217" s="13"/>
      <c r="E217" s="13"/>
      <c r="F217" s="160"/>
    </row>
    <row r="218" spans="1:6" ht="13" x14ac:dyDescent="0.3">
      <c r="A218" s="13"/>
      <c r="B218" s="13"/>
      <c r="C218" s="13"/>
      <c r="D218" s="13"/>
      <c r="E218" s="13"/>
      <c r="F218" s="160"/>
    </row>
    <row r="219" spans="1:6" ht="13" x14ac:dyDescent="0.3">
      <c r="A219" s="13"/>
      <c r="B219" s="13"/>
      <c r="C219" s="13"/>
      <c r="D219" s="13"/>
      <c r="E219" s="13"/>
      <c r="F219" s="160"/>
    </row>
    <row r="220" spans="1:6" ht="13" x14ac:dyDescent="0.3">
      <c r="A220" s="13"/>
      <c r="B220" s="13"/>
      <c r="C220" s="13"/>
      <c r="D220" s="13"/>
      <c r="E220" s="13"/>
      <c r="F220" s="160"/>
    </row>
    <row r="221" spans="1:6" ht="13" x14ac:dyDescent="0.3">
      <c r="A221" s="13"/>
      <c r="B221" s="13"/>
      <c r="C221" s="13"/>
      <c r="D221" s="13"/>
      <c r="E221" s="13"/>
      <c r="F221" s="160"/>
    </row>
    <row r="222" spans="1:6" ht="13" x14ac:dyDescent="0.3">
      <c r="A222" s="13"/>
      <c r="B222" s="13"/>
      <c r="C222" s="13"/>
      <c r="D222" s="13"/>
      <c r="E222" s="13"/>
      <c r="F222" s="160"/>
    </row>
    <row r="223" spans="1:6" ht="13" x14ac:dyDescent="0.3">
      <c r="A223" s="13"/>
      <c r="B223" s="13"/>
      <c r="C223" s="13"/>
      <c r="D223" s="13"/>
      <c r="E223" s="13"/>
      <c r="F223" s="160"/>
    </row>
    <row r="224" spans="1:6" ht="13" x14ac:dyDescent="0.3">
      <c r="A224" s="13"/>
      <c r="B224" s="13"/>
      <c r="C224" s="13"/>
      <c r="D224" s="13"/>
      <c r="E224" s="13"/>
      <c r="F224" s="160"/>
    </row>
    <row r="225" spans="1:6" ht="13" x14ac:dyDescent="0.3">
      <c r="A225" s="13"/>
      <c r="B225" s="13"/>
      <c r="C225" s="13"/>
      <c r="D225" s="13"/>
      <c r="E225" s="13"/>
      <c r="F225" s="160"/>
    </row>
    <row r="226" spans="1:6" ht="13" x14ac:dyDescent="0.3">
      <c r="A226" s="13"/>
      <c r="B226" s="13"/>
      <c r="C226" s="13"/>
      <c r="D226" s="13"/>
      <c r="E226" s="13"/>
      <c r="F226" s="160"/>
    </row>
    <row r="227" spans="1:6" ht="13" x14ac:dyDescent="0.3">
      <c r="A227" s="13"/>
      <c r="B227" s="13"/>
      <c r="C227" s="13"/>
      <c r="D227" s="13"/>
      <c r="E227" s="13"/>
      <c r="F227" s="160"/>
    </row>
    <row r="228" spans="1:6" ht="13" x14ac:dyDescent="0.3">
      <c r="A228" s="13"/>
      <c r="B228" s="13"/>
      <c r="C228" s="13"/>
      <c r="D228" s="13"/>
      <c r="E228" s="13"/>
      <c r="F228" s="160"/>
    </row>
    <row r="229" spans="1:6" ht="13" x14ac:dyDescent="0.3">
      <c r="A229" s="13"/>
      <c r="B229" s="13"/>
      <c r="C229" s="13"/>
      <c r="D229" s="13"/>
      <c r="E229" s="13"/>
      <c r="F229" s="160"/>
    </row>
    <row r="230" spans="1:6" ht="13" x14ac:dyDescent="0.3">
      <c r="A230" s="13"/>
      <c r="B230" s="13"/>
      <c r="C230" s="13"/>
      <c r="D230" s="13"/>
      <c r="E230" s="13"/>
      <c r="F230" s="160"/>
    </row>
    <row r="231" spans="1:6" ht="13" x14ac:dyDescent="0.3">
      <c r="A231" s="13"/>
      <c r="B231" s="13"/>
      <c r="C231" s="13"/>
      <c r="D231" s="13"/>
      <c r="E231" s="13"/>
      <c r="F231" s="160"/>
    </row>
    <row r="232" spans="1:6" ht="13" x14ac:dyDescent="0.3">
      <c r="A232" s="13"/>
      <c r="B232" s="13"/>
      <c r="C232" s="13"/>
      <c r="D232" s="13"/>
      <c r="E232" s="13"/>
      <c r="F232" s="160"/>
    </row>
    <row r="233" spans="1:6" ht="13" x14ac:dyDescent="0.3">
      <c r="A233" s="13"/>
      <c r="B233" s="13"/>
      <c r="C233" s="13"/>
      <c r="D233" s="13"/>
      <c r="E233" s="13"/>
      <c r="F233" s="160"/>
    </row>
    <row r="234" spans="1:6" ht="13" x14ac:dyDescent="0.3">
      <c r="A234" s="13"/>
      <c r="B234" s="13"/>
      <c r="C234" s="13"/>
      <c r="D234" s="13"/>
      <c r="E234" s="13"/>
      <c r="F234" s="160"/>
    </row>
    <row r="235" spans="1:6" ht="13" x14ac:dyDescent="0.3">
      <c r="A235" s="13"/>
      <c r="B235" s="13"/>
      <c r="C235" s="13"/>
      <c r="D235" s="13"/>
      <c r="E235" s="13"/>
      <c r="F235" s="160"/>
    </row>
    <row r="236" spans="1:6" ht="13" x14ac:dyDescent="0.3">
      <c r="A236" s="13"/>
      <c r="B236" s="13"/>
      <c r="C236" s="13"/>
      <c r="D236" s="13"/>
      <c r="E236" s="13"/>
      <c r="F236" s="160"/>
    </row>
    <row r="237" spans="1:6" ht="13" x14ac:dyDescent="0.3">
      <c r="A237" s="13"/>
      <c r="B237" s="13"/>
      <c r="C237" s="13"/>
      <c r="D237" s="13"/>
      <c r="E237" s="13"/>
      <c r="F237" s="160"/>
    </row>
    <row r="238" spans="1:6" ht="13" x14ac:dyDescent="0.3">
      <c r="A238" s="13"/>
      <c r="B238" s="13"/>
      <c r="C238" s="13"/>
      <c r="D238" s="13"/>
      <c r="E238" s="13"/>
      <c r="F238" s="160"/>
    </row>
    <row r="239" spans="1:6" ht="13" x14ac:dyDescent="0.3">
      <c r="A239" s="13"/>
      <c r="B239" s="13"/>
      <c r="C239" s="13"/>
      <c r="D239" s="13"/>
      <c r="E239" s="13"/>
      <c r="F239" s="160"/>
    </row>
    <row r="240" spans="1:6" ht="13" x14ac:dyDescent="0.3">
      <c r="A240" s="13"/>
      <c r="B240" s="13"/>
      <c r="C240" s="13"/>
      <c r="D240" s="13"/>
      <c r="E240" s="13"/>
      <c r="F240" s="160"/>
    </row>
    <row r="241" spans="1:6" ht="13" x14ac:dyDescent="0.3">
      <c r="A241" s="13"/>
      <c r="B241" s="13"/>
      <c r="C241" s="13"/>
      <c r="D241" s="13"/>
      <c r="E241" s="13"/>
      <c r="F241" s="160"/>
    </row>
    <row r="242" spans="1:6" ht="13" x14ac:dyDescent="0.3">
      <c r="A242" s="13"/>
      <c r="B242" s="13"/>
      <c r="C242" s="13"/>
      <c r="D242" s="13"/>
      <c r="E242" s="13"/>
      <c r="F242" s="160"/>
    </row>
    <row r="243" spans="1:6" ht="13" x14ac:dyDescent="0.3">
      <c r="A243" s="13"/>
      <c r="B243" s="13"/>
      <c r="C243" s="13"/>
      <c r="D243" s="13"/>
      <c r="E243" s="13"/>
      <c r="F243" s="160"/>
    </row>
    <row r="244" spans="1:6" ht="13" x14ac:dyDescent="0.3">
      <c r="A244" s="13"/>
      <c r="B244" s="13"/>
      <c r="C244" s="13"/>
      <c r="D244" s="13"/>
      <c r="E244" s="13"/>
      <c r="F244" s="160"/>
    </row>
    <row r="245" spans="1:6" ht="13" x14ac:dyDescent="0.3">
      <c r="A245" s="13"/>
      <c r="B245" s="13"/>
      <c r="C245" s="13"/>
      <c r="D245" s="13"/>
      <c r="E245" s="13"/>
      <c r="F245" s="160"/>
    </row>
    <row r="246" spans="1:6" ht="13" x14ac:dyDescent="0.3">
      <c r="A246" s="13"/>
      <c r="B246" s="13"/>
      <c r="C246" s="13"/>
      <c r="D246" s="13"/>
      <c r="E246" s="13"/>
      <c r="F246" s="160"/>
    </row>
    <row r="247" spans="1:6" ht="13" x14ac:dyDescent="0.3">
      <c r="A247" s="13"/>
      <c r="B247" s="13"/>
      <c r="C247" s="13"/>
      <c r="D247" s="13"/>
      <c r="E247" s="13"/>
      <c r="F247" s="160"/>
    </row>
    <row r="248" spans="1:6" ht="13" x14ac:dyDescent="0.3">
      <c r="A248" s="13"/>
      <c r="B248" s="13"/>
      <c r="C248" s="13"/>
      <c r="D248" s="13"/>
      <c r="E248" s="13"/>
      <c r="F248" s="160"/>
    </row>
    <row r="249" spans="1:6" ht="13" x14ac:dyDescent="0.3">
      <c r="A249" s="13"/>
      <c r="B249" s="13"/>
      <c r="C249" s="13"/>
      <c r="D249" s="13"/>
      <c r="E249" s="13"/>
      <c r="F249" s="160"/>
    </row>
    <row r="250" spans="1:6" ht="13" x14ac:dyDescent="0.3">
      <c r="A250" s="13"/>
      <c r="B250" s="13"/>
      <c r="C250" s="13"/>
      <c r="D250" s="13"/>
      <c r="E250" s="13"/>
      <c r="F250" s="160"/>
    </row>
    <row r="251" spans="1:6" ht="13" x14ac:dyDescent="0.3">
      <c r="A251" s="13"/>
      <c r="B251" s="13"/>
      <c r="C251" s="13"/>
      <c r="D251" s="13"/>
      <c r="E251" s="13"/>
      <c r="F251" s="160"/>
    </row>
    <row r="252" spans="1:6" ht="13" x14ac:dyDescent="0.3">
      <c r="A252" s="13"/>
      <c r="B252" s="13"/>
      <c r="C252" s="13"/>
      <c r="D252" s="13"/>
      <c r="E252" s="13"/>
      <c r="F252" s="160"/>
    </row>
    <row r="253" spans="1:6" ht="13" x14ac:dyDescent="0.3">
      <c r="A253" s="13"/>
      <c r="B253" s="13"/>
      <c r="C253" s="13"/>
      <c r="D253" s="13"/>
      <c r="E253" s="13"/>
      <c r="F253" s="160"/>
    </row>
    <row r="254" spans="1:6" ht="13" x14ac:dyDescent="0.3">
      <c r="A254" s="13"/>
      <c r="B254" s="13"/>
      <c r="C254" s="13"/>
      <c r="D254" s="13"/>
      <c r="E254" s="13"/>
      <c r="F254" s="160"/>
    </row>
    <row r="255" spans="1:6" ht="13" x14ac:dyDescent="0.3">
      <c r="A255" s="13"/>
      <c r="B255" s="13"/>
      <c r="C255" s="13"/>
      <c r="D255" s="13"/>
      <c r="E255" s="13"/>
      <c r="F255" s="160"/>
    </row>
    <row r="256" spans="1:6" ht="13" x14ac:dyDescent="0.3">
      <c r="A256" s="13"/>
      <c r="B256" s="13"/>
      <c r="C256" s="13"/>
      <c r="D256" s="13"/>
      <c r="E256" s="13"/>
      <c r="F256" s="160"/>
    </row>
    <row r="257" spans="1:6" ht="13" x14ac:dyDescent="0.3">
      <c r="A257" s="13"/>
      <c r="B257" s="13"/>
      <c r="C257" s="13"/>
      <c r="D257" s="13"/>
      <c r="E257" s="13"/>
      <c r="F257" s="160"/>
    </row>
    <row r="258" spans="1:6" ht="13" x14ac:dyDescent="0.3">
      <c r="A258" s="13"/>
      <c r="B258" s="13"/>
      <c r="C258" s="13"/>
      <c r="D258" s="13"/>
      <c r="E258" s="13"/>
      <c r="F258" s="160"/>
    </row>
    <row r="259" spans="1:6" ht="13" x14ac:dyDescent="0.3">
      <c r="A259" s="13"/>
      <c r="B259" s="13"/>
      <c r="C259" s="13"/>
      <c r="D259" s="13"/>
      <c r="E259" s="13"/>
      <c r="F259" s="160"/>
    </row>
    <row r="260" spans="1:6" ht="13" x14ac:dyDescent="0.3">
      <c r="A260" s="13"/>
      <c r="B260" s="13"/>
      <c r="C260" s="13"/>
      <c r="D260" s="13"/>
      <c r="E260" s="13"/>
      <c r="F260" s="160"/>
    </row>
    <row r="261" spans="1:6" ht="13" x14ac:dyDescent="0.3">
      <c r="A261" s="13"/>
      <c r="B261" s="13"/>
      <c r="C261" s="13"/>
      <c r="D261" s="13"/>
      <c r="E261" s="13"/>
      <c r="F261" s="160"/>
    </row>
    <row r="262" spans="1:6" ht="13" x14ac:dyDescent="0.3">
      <c r="A262" s="13"/>
      <c r="B262" s="13"/>
      <c r="C262" s="13"/>
      <c r="D262" s="13"/>
      <c r="E262" s="13"/>
      <c r="F262" s="160"/>
    </row>
    <row r="263" spans="1:6" ht="13" x14ac:dyDescent="0.3">
      <c r="A263" s="13"/>
      <c r="B263" s="13"/>
      <c r="C263" s="13"/>
      <c r="D263" s="13"/>
      <c r="E263" s="13"/>
      <c r="F263" s="160"/>
    </row>
    <row r="264" spans="1:6" ht="13" x14ac:dyDescent="0.3">
      <c r="A264" s="13"/>
      <c r="B264" s="13"/>
      <c r="C264" s="13"/>
      <c r="D264" s="13"/>
      <c r="E264" s="13"/>
      <c r="F264" s="160"/>
    </row>
    <row r="265" spans="1:6" ht="13" x14ac:dyDescent="0.3">
      <c r="A265" s="13"/>
      <c r="B265" s="13"/>
      <c r="C265" s="13"/>
      <c r="D265" s="13"/>
      <c r="E265" s="13"/>
      <c r="F265" s="160"/>
    </row>
    <row r="266" spans="1:6" ht="13" x14ac:dyDescent="0.3">
      <c r="A266" s="13"/>
      <c r="B266" s="13"/>
      <c r="C266" s="13"/>
      <c r="D266" s="13"/>
      <c r="E266" s="13"/>
      <c r="F266" s="160"/>
    </row>
    <row r="267" spans="1:6" ht="13" x14ac:dyDescent="0.3">
      <c r="A267" s="13"/>
      <c r="B267" s="13"/>
      <c r="C267" s="13"/>
      <c r="D267" s="13"/>
      <c r="E267" s="13"/>
      <c r="F267" s="160"/>
    </row>
    <row r="268" spans="1:6" ht="13" x14ac:dyDescent="0.3">
      <c r="A268" s="13"/>
      <c r="B268" s="13"/>
      <c r="C268" s="13"/>
      <c r="D268" s="13"/>
      <c r="E268" s="13"/>
      <c r="F268" s="160"/>
    </row>
    <row r="269" spans="1:6" ht="13" x14ac:dyDescent="0.3">
      <c r="A269" s="13"/>
      <c r="B269" s="13"/>
      <c r="C269" s="13"/>
      <c r="D269" s="13"/>
      <c r="E269" s="13"/>
      <c r="F269" s="160"/>
    </row>
    <row r="270" spans="1:6" ht="13" x14ac:dyDescent="0.3">
      <c r="A270" s="13"/>
      <c r="B270" s="13"/>
      <c r="C270" s="13"/>
      <c r="D270" s="13"/>
      <c r="E270" s="13"/>
      <c r="F270" s="160"/>
    </row>
    <row r="271" spans="1:6" ht="13" x14ac:dyDescent="0.3">
      <c r="A271" s="13"/>
      <c r="B271" s="13"/>
      <c r="C271" s="13"/>
      <c r="D271" s="13"/>
      <c r="E271" s="13"/>
      <c r="F271" s="160"/>
    </row>
    <row r="272" spans="1:6" ht="13" x14ac:dyDescent="0.3">
      <c r="A272" s="13"/>
      <c r="B272" s="13"/>
      <c r="C272" s="13"/>
      <c r="D272" s="13"/>
      <c r="E272" s="13"/>
      <c r="F272" s="160"/>
    </row>
    <row r="273" spans="1:6" ht="13" x14ac:dyDescent="0.3">
      <c r="A273" s="13"/>
      <c r="B273" s="13"/>
      <c r="C273" s="13"/>
      <c r="D273" s="13"/>
      <c r="E273" s="13"/>
      <c r="F273" s="160"/>
    </row>
    <row r="274" spans="1:6" ht="13" x14ac:dyDescent="0.3">
      <c r="A274" s="13"/>
      <c r="B274" s="13"/>
      <c r="C274" s="13"/>
      <c r="D274" s="13"/>
      <c r="E274" s="13"/>
      <c r="F274" s="160"/>
    </row>
    <row r="275" spans="1:6" ht="13" x14ac:dyDescent="0.3">
      <c r="A275" s="13"/>
      <c r="B275" s="13"/>
      <c r="C275" s="13"/>
      <c r="D275" s="13"/>
      <c r="E275" s="13"/>
      <c r="F275" s="160"/>
    </row>
    <row r="276" spans="1:6" ht="13" x14ac:dyDescent="0.3">
      <c r="A276" s="13"/>
      <c r="B276" s="13"/>
      <c r="C276" s="13"/>
      <c r="D276" s="13"/>
      <c r="E276" s="13"/>
      <c r="F276" s="160"/>
    </row>
    <row r="277" spans="1:6" ht="13" x14ac:dyDescent="0.3">
      <c r="A277" s="13"/>
      <c r="B277" s="13"/>
      <c r="C277" s="13"/>
      <c r="D277" s="13"/>
      <c r="E277" s="13"/>
      <c r="F277" s="160"/>
    </row>
    <row r="278" spans="1:6" ht="13" x14ac:dyDescent="0.3">
      <c r="A278" s="13"/>
      <c r="B278" s="13"/>
      <c r="C278" s="13"/>
      <c r="D278" s="13"/>
      <c r="E278" s="13"/>
      <c r="F278" s="160"/>
    </row>
    <row r="279" spans="1:6" ht="13" x14ac:dyDescent="0.3">
      <c r="A279" s="13"/>
      <c r="B279" s="13"/>
      <c r="C279" s="13"/>
      <c r="D279" s="13"/>
      <c r="E279" s="13"/>
      <c r="F279" s="160"/>
    </row>
    <row r="280" spans="1:6" ht="13" x14ac:dyDescent="0.3">
      <c r="A280" s="13"/>
      <c r="B280" s="13"/>
      <c r="C280" s="13"/>
      <c r="D280" s="13"/>
      <c r="E280" s="13"/>
      <c r="F280" s="160"/>
    </row>
    <row r="281" spans="1:6" ht="13" x14ac:dyDescent="0.3">
      <c r="A281" s="13"/>
      <c r="B281" s="13"/>
      <c r="C281" s="13"/>
      <c r="D281" s="13"/>
      <c r="E281" s="13"/>
      <c r="F281" s="160"/>
    </row>
    <row r="282" spans="1:6" ht="13" x14ac:dyDescent="0.3">
      <c r="A282" s="13"/>
      <c r="B282" s="13"/>
      <c r="C282" s="13"/>
      <c r="D282" s="13"/>
      <c r="E282" s="13"/>
      <c r="F282" s="160"/>
    </row>
    <row r="283" spans="1:6" ht="13" x14ac:dyDescent="0.3">
      <c r="A283" s="13"/>
      <c r="B283" s="13"/>
      <c r="C283" s="13"/>
      <c r="D283" s="13"/>
      <c r="E283" s="13"/>
      <c r="F283" s="160"/>
    </row>
    <row r="284" spans="1:6" ht="13" x14ac:dyDescent="0.3">
      <c r="A284" s="13"/>
      <c r="B284" s="13"/>
      <c r="C284" s="13"/>
      <c r="D284" s="13"/>
      <c r="E284" s="13"/>
      <c r="F284" s="160"/>
    </row>
    <row r="285" spans="1:6" ht="13" x14ac:dyDescent="0.3">
      <c r="A285" s="13"/>
      <c r="B285" s="13"/>
      <c r="C285" s="13"/>
      <c r="D285" s="13"/>
      <c r="E285" s="13"/>
      <c r="F285" s="160"/>
    </row>
    <row r="286" spans="1:6" ht="13" x14ac:dyDescent="0.3">
      <c r="A286" s="13"/>
      <c r="B286" s="13"/>
      <c r="C286" s="13"/>
      <c r="D286" s="13"/>
      <c r="E286" s="13"/>
      <c r="F286" s="160"/>
    </row>
    <row r="287" spans="1:6" ht="13" x14ac:dyDescent="0.3">
      <c r="A287" s="13"/>
      <c r="B287" s="13"/>
      <c r="C287" s="13"/>
      <c r="D287" s="13"/>
      <c r="E287" s="13"/>
      <c r="F287" s="160"/>
    </row>
    <row r="288" spans="1:6" ht="13" x14ac:dyDescent="0.3">
      <c r="A288" s="13"/>
      <c r="B288" s="13"/>
      <c r="C288" s="13"/>
      <c r="D288" s="13"/>
      <c r="E288" s="13"/>
      <c r="F288" s="160"/>
    </row>
    <row r="289" spans="1:6" ht="13" x14ac:dyDescent="0.3">
      <c r="A289" s="13"/>
      <c r="B289" s="13"/>
      <c r="C289" s="13"/>
      <c r="D289" s="13"/>
      <c r="E289" s="13"/>
      <c r="F289" s="160"/>
    </row>
    <row r="290" spans="1:6" ht="13" x14ac:dyDescent="0.3">
      <c r="A290" s="13"/>
      <c r="B290" s="13"/>
      <c r="C290" s="13"/>
      <c r="D290" s="13"/>
      <c r="E290" s="13"/>
      <c r="F290" s="160"/>
    </row>
    <row r="291" spans="1:6" ht="13" x14ac:dyDescent="0.3">
      <c r="A291" s="13"/>
      <c r="B291" s="13"/>
      <c r="C291" s="13"/>
      <c r="D291" s="13"/>
      <c r="E291" s="13"/>
      <c r="F291" s="160"/>
    </row>
    <row r="292" spans="1:6" ht="13" x14ac:dyDescent="0.3">
      <c r="A292" s="13"/>
      <c r="B292" s="13"/>
      <c r="C292" s="13"/>
      <c r="D292" s="13"/>
      <c r="E292" s="13"/>
      <c r="F292" s="160"/>
    </row>
    <row r="293" spans="1:6" ht="13" x14ac:dyDescent="0.3">
      <c r="A293" s="13"/>
      <c r="B293" s="13"/>
      <c r="C293" s="13"/>
      <c r="D293" s="13"/>
      <c r="E293" s="13"/>
      <c r="F293" s="160"/>
    </row>
    <row r="294" spans="1:6" ht="13" x14ac:dyDescent="0.3">
      <c r="A294" s="13"/>
      <c r="B294" s="13"/>
      <c r="C294" s="13"/>
      <c r="D294" s="13"/>
      <c r="E294" s="13"/>
      <c r="F294" s="160"/>
    </row>
    <row r="295" spans="1:6" ht="13" x14ac:dyDescent="0.3">
      <c r="A295" s="13"/>
      <c r="B295" s="13"/>
      <c r="C295" s="13"/>
      <c r="D295" s="13"/>
      <c r="E295" s="13"/>
      <c r="F295" s="160"/>
    </row>
    <row r="296" spans="1:6" ht="13" x14ac:dyDescent="0.3">
      <c r="A296" s="13"/>
      <c r="B296" s="13"/>
      <c r="C296" s="13"/>
      <c r="D296" s="13"/>
      <c r="E296" s="13"/>
      <c r="F296" s="160"/>
    </row>
    <row r="297" spans="1:6" ht="13" x14ac:dyDescent="0.3">
      <c r="A297" s="13"/>
      <c r="B297" s="13"/>
      <c r="C297" s="13"/>
      <c r="D297" s="13"/>
      <c r="E297" s="13"/>
      <c r="F297" s="160"/>
    </row>
    <row r="298" spans="1:6" ht="13" x14ac:dyDescent="0.3">
      <c r="A298" s="13"/>
      <c r="B298" s="13"/>
      <c r="C298" s="13"/>
      <c r="D298" s="13"/>
      <c r="E298" s="13"/>
      <c r="F298" s="160"/>
    </row>
    <row r="299" spans="1:6" ht="13" x14ac:dyDescent="0.3">
      <c r="A299" s="13"/>
      <c r="B299" s="13"/>
      <c r="C299" s="13"/>
      <c r="D299" s="13"/>
      <c r="E299" s="13"/>
      <c r="F299" s="160"/>
    </row>
    <row r="300" spans="1:6" ht="13" x14ac:dyDescent="0.3">
      <c r="A300" s="13"/>
      <c r="B300" s="13"/>
      <c r="C300" s="13"/>
      <c r="D300" s="13"/>
      <c r="E300" s="13"/>
      <c r="F300" s="160"/>
    </row>
    <row r="301" spans="1:6" ht="13" x14ac:dyDescent="0.3">
      <c r="A301" s="13"/>
      <c r="B301" s="13"/>
      <c r="C301" s="13"/>
      <c r="D301" s="13"/>
      <c r="E301" s="13"/>
      <c r="F301" s="160"/>
    </row>
    <row r="302" spans="1:6" ht="13" x14ac:dyDescent="0.3">
      <c r="A302" s="13"/>
      <c r="B302" s="13"/>
      <c r="C302" s="13"/>
      <c r="D302" s="13"/>
      <c r="E302" s="13"/>
      <c r="F302" s="160"/>
    </row>
    <row r="303" spans="1:6" ht="13" x14ac:dyDescent="0.3">
      <c r="A303" s="13"/>
      <c r="B303" s="13"/>
      <c r="C303" s="13"/>
      <c r="D303" s="13"/>
      <c r="E303" s="13"/>
      <c r="F303" s="160"/>
    </row>
    <row r="304" spans="1:6" ht="13" x14ac:dyDescent="0.3">
      <c r="A304" s="13"/>
      <c r="B304" s="13"/>
      <c r="C304" s="13"/>
      <c r="D304" s="13"/>
      <c r="E304" s="13"/>
      <c r="F304" s="160"/>
    </row>
    <row r="305" spans="1:6" ht="13" x14ac:dyDescent="0.3">
      <c r="A305" s="13"/>
      <c r="B305" s="13"/>
      <c r="C305" s="13"/>
      <c r="D305" s="13"/>
      <c r="E305" s="13"/>
      <c r="F305" s="160"/>
    </row>
    <row r="306" spans="1:6" ht="13" x14ac:dyDescent="0.3">
      <c r="A306" s="13"/>
      <c r="B306" s="13"/>
      <c r="C306" s="13"/>
      <c r="D306" s="13"/>
      <c r="E306" s="13"/>
      <c r="F306" s="160"/>
    </row>
    <row r="307" spans="1:6" ht="13" x14ac:dyDescent="0.3">
      <c r="A307" s="13"/>
      <c r="B307" s="13"/>
      <c r="C307" s="13"/>
      <c r="D307" s="13"/>
      <c r="E307" s="13"/>
      <c r="F307" s="160"/>
    </row>
    <row r="308" spans="1:6" ht="13" x14ac:dyDescent="0.3">
      <c r="A308" s="13"/>
      <c r="B308" s="13"/>
      <c r="C308" s="13"/>
      <c r="D308" s="13"/>
      <c r="E308" s="13"/>
      <c r="F308" s="160"/>
    </row>
    <row r="309" spans="1:6" ht="13" x14ac:dyDescent="0.3">
      <c r="A309" s="13"/>
      <c r="B309" s="13"/>
      <c r="C309" s="13"/>
      <c r="D309" s="13"/>
      <c r="E309" s="13"/>
      <c r="F309" s="160"/>
    </row>
    <row r="310" spans="1:6" ht="13" x14ac:dyDescent="0.3">
      <c r="A310" s="13"/>
      <c r="B310" s="13"/>
      <c r="C310" s="13"/>
      <c r="D310" s="13"/>
      <c r="E310" s="13"/>
      <c r="F310" s="160"/>
    </row>
    <row r="311" spans="1:6" ht="13" x14ac:dyDescent="0.3">
      <c r="A311" s="13"/>
      <c r="B311" s="13"/>
      <c r="C311" s="13"/>
      <c r="D311" s="13"/>
      <c r="E311" s="13"/>
      <c r="F311" s="160"/>
    </row>
    <row r="312" spans="1:6" ht="13" x14ac:dyDescent="0.3">
      <c r="A312" s="13"/>
      <c r="B312" s="13"/>
      <c r="C312" s="13"/>
      <c r="D312" s="13"/>
      <c r="E312" s="13"/>
      <c r="F312" s="160"/>
    </row>
    <row r="313" spans="1:6" ht="13" x14ac:dyDescent="0.3">
      <c r="A313" s="13"/>
      <c r="B313" s="13"/>
      <c r="C313" s="13"/>
      <c r="D313" s="13"/>
      <c r="E313" s="13"/>
      <c r="F313" s="160"/>
    </row>
    <row r="314" spans="1:6" ht="13" x14ac:dyDescent="0.3">
      <c r="A314" s="13"/>
      <c r="B314" s="13"/>
      <c r="C314" s="13"/>
      <c r="D314" s="13"/>
      <c r="E314" s="13"/>
      <c r="F314" s="160"/>
    </row>
    <row r="315" spans="1:6" ht="13" x14ac:dyDescent="0.3">
      <c r="A315" s="13"/>
      <c r="B315" s="13"/>
      <c r="C315" s="13"/>
      <c r="D315" s="13"/>
      <c r="E315" s="13"/>
      <c r="F315" s="160"/>
    </row>
    <row r="316" spans="1:6" ht="13" x14ac:dyDescent="0.3">
      <c r="A316" s="13"/>
      <c r="B316" s="13"/>
      <c r="C316" s="13"/>
      <c r="D316" s="13"/>
      <c r="E316" s="13"/>
      <c r="F316" s="160"/>
    </row>
    <row r="317" spans="1:6" ht="13" x14ac:dyDescent="0.3">
      <c r="A317" s="13"/>
      <c r="B317" s="13"/>
      <c r="C317" s="13"/>
      <c r="D317" s="13"/>
      <c r="E317" s="13"/>
      <c r="F317" s="160"/>
    </row>
    <row r="318" spans="1:6" ht="13" x14ac:dyDescent="0.3">
      <c r="A318" s="13"/>
      <c r="B318" s="13"/>
      <c r="C318" s="13"/>
      <c r="D318" s="13"/>
      <c r="E318" s="13"/>
      <c r="F318" s="160"/>
    </row>
    <row r="319" spans="1:6" ht="13" x14ac:dyDescent="0.3">
      <c r="A319" s="13"/>
      <c r="B319" s="13"/>
      <c r="C319" s="13"/>
      <c r="D319" s="13"/>
      <c r="E319" s="13"/>
      <c r="F319" s="160"/>
    </row>
    <row r="320" spans="1:6" ht="13" x14ac:dyDescent="0.3">
      <c r="A320" s="13"/>
      <c r="B320" s="13"/>
      <c r="C320" s="13"/>
      <c r="D320" s="13"/>
      <c r="E320" s="13"/>
      <c r="F320" s="160"/>
    </row>
    <row r="321" spans="1:6" ht="13" x14ac:dyDescent="0.3">
      <c r="A321" s="13"/>
      <c r="B321" s="13"/>
      <c r="C321" s="13"/>
      <c r="D321" s="13"/>
      <c r="E321" s="13"/>
      <c r="F321" s="160"/>
    </row>
    <row r="322" spans="1:6" ht="13" x14ac:dyDescent="0.3">
      <c r="A322" s="13"/>
      <c r="B322" s="13"/>
      <c r="C322" s="13"/>
      <c r="D322" s="13"/>
      <c r="E322" s="13"/>
      <c r="F322" s="160"/>
    </row>
    <row r="323" spans="1:6" ht="13" x14ac:dyDescent="0.3">
      <c r="A323" s="13"/>
      <c r="B323" s="13"/>
      <c r="C323" s="13"/>
      <c r="D323" s="13"/>
      <c r="E323" s="13"/>
      <c r="F323" s="160"/>
    </row>
    <row r="324" spans="1:6" ht="13" x14ac:dyDescent="0.3">
      <c r="A324" s="13"/>
      <c r="B324" s="13"/>
      <c r="C324" s="13"/>
      <c r="D324" s="13"/>
      <c r="E324" s="13"/>
      <c r="F324" s="160"/>
    </row>
    <row r="325" spans="1:6" ht="13" x14ac:dyDescent="0.3">
      <c r="A325" s="13"/>
      <c r="B325" s="13"/>
      <c r="C325" s="13"/>
      <c r="D325" s="13"/>
      <c r="E325" s="13"/>
      <c r="F325" s="160"/>
    </row>
    <row r="326" spans="1:6" ht="13" x14ac:dyDescent="0.3">
      <c r="A326" s="13"/>
      <c r="B326" s="13"/>
      <c r="C326" s="13"/>
      <c r="D326" s="13"/>
      <c r="E326" s="13"/>
      <c r="F326" s="160"/>
    </row>
    <row r="327" spans="1:6" ht="13" x14ac:dyDescent="0.3">
      <c r="A327" s="13"/>
      <c r="B327" s="13"/>
      <c r="C327" s="13"/>
      <c r="D327" s="13"/>
      <c r="E327" s="13"/>
      <c r="F327" s="160"/>
    </row>
    <row r="328" spans="1:6" ht="13" x14ac:dyDescent="0.3">
      <c r="A328" s="13"/>
      <c r="B328" s="13"/>
      <c r="C328" s="13"/>
      <c r="D328" s="13"/>
      <c r="E328" s="13"/>
      <c r="F328" s="160"/>
    </row>
    <row r="329" spans="1:6" ht="13" x14ac:dyDescent="0.3">
      <c r="A329" s="13"/>
      <c r="B329" s="13"/>
      <c r="C329" s="13"/>
      <c r="D329" s="13"/>
      <c r="E329" s="13"/>
      <c r="F329" s="160"/>
    </row>
    <row r="330" spans="1:6" ht="13" x14ac:dyDescent="0.3">
      <c r="A330" s="13"/>
      <c r="B330" s="13"/>
      <c r="C330" s="13"/>
      <c r="D330" s="13"/>
      <c r="E330" s="13"/>
      <c r="F330" s="160"/>
    </row>
    <row r="331" spans="1:6" ht="13" x14ac:dyDescent="0.3">
      <c r="A331" s="13"/>
      <c r="B331" s="13"/>
      <c r="C331" s="13"/>
      <c r="D331" s="13"/>
      <c r="E331" s="13"/>
      <c r="F331" s="160"/>
    </row>
    <row r="332" spans="1:6" ht="13" x14ac:dyDescent="0.3">
      <c r="A332" s="13"/>
      <c r="B332" s="13"/>
      <c r="C332" s="13"/>
      <c r="D332" s="13"/>
      <c r="E332" s="13"/>
      <c r="F332" s="160"/>
    </row>
    <row r="333" spans="1:6" ht="13" x14ac:dyDescent="0.3">
      <c r="A333" s="13"/>
      <c r="B333" s="13"/>
      <c r="C333" s="13"/>
      <c r="D333" s="13"/>
      <c r="E333" s="13"/>
      <c r="F333" s="160"/>
    </row>
    <row r="334" spans="1:6" ht="13" x14ac:dyDescent="0.3">
      <c r="A334" s="13"/>
      <c r="B334" s="13"/>
      <c r="C334" s="13"/>
      <c r="D334" s="13"/>
      <c r="E334" s="13"/>
      <c r="F334" s="160"/>
    </row>
    <row r="335" spans="1:6" ht="13" x14ac:dyDescent="0.3">
      <c r="A335" s="13"/>
      <c r="B335" s="13"/>
      <c r="C335" s="13"/>
      <c r="D335" s="13"/>
      <c r="E335" s="13"/>
      <c r="F335" s="160"/>
    </row>
    <row r="336" spans="1:6" ht="13" x14ac:dyDescent="0.3">
      <c r="A336" s="13"/>
      <c r="B336" s="13"/>
      <c r="C336" s="13"/>
      <c r="D336" s="13"/>
      <c r="E336" s="13"/>
      <c r="F336" s="160"/>
    </row>
    <row r="337" spans="1:6" ht="13" x14ac:dyDescent="0.3">
      <c r="A337" s="13"/>
      <c r="B337" s="13"/>
      <c r="C337" s="13"/>
      <c r="D337" s="13"/>
      <c r="E337" s="13"/>
      <c r="F337" s="160"/>
    </row>
    <row r="338" spans="1:6" ht="13" x14ac:dyDescent="0.3">
      <c r="A338" s="13"/>
      <c r="B338" s="13"/>
      <c r="C338" s="13"/>
      <c r="D338" s="13"/>
      <c r="E338" s="13"/>
      <c r="F338" s="160"/>
    </row>
    <row r="339" spans="1:6" ht="13" x14ac:dyDescent="0.3">
      <c r="A339" s="13"/>
      <c r="B339" s="13"/>
      <c r="C339" s="13"/>
      <c r="D339" s="13"/>
      <c r="E339" s="13"/>
      <c r="F339" s="160"/>
    </row>
    <row r="340" spans="1:6" ht="13" x14ac:dyDescent="0.3">
      <c r="A340" s="13"/>
      <c r="B340" s="13"/>
      <c r="C340" s="13"/>
      <c r="D340" s="13"/>
      <c r="E340" s="13"/>
      <c r="F340" s="160"/>
    </row>
    <row r="341" spans="1:6" ht="13" x14ac:dyDescent="0.3">
      <c r="A341" s="13"/>
      <c r="B341" s="13"/>
      <c r="C341" s="13"/>
      <c r="D341" s="13"/>
      <c r="E341" s="13"/>
      <c r="F341" s="160"/>
    </row>
    <row r="342" spans="1:6" ht="13" x14ac:dyDescent="0.3">
      <c r="A342" s="13"/>
      <c r="B342" s="13"/>
      <c r="C342" s="13"/>
      <c r="D342" s="13"/>
      <c r="E342" s="13"/>
      <c r="F342" s="160"/>
    </row>
    <row r="343" spans="1:6" ht="13" x14ac:dyDescent="0.3">
      <c r="A343" s="13"/>
      <c r="B343" s="13"/>
      <c r="C343" s="13"/>
      <c r="D343" s="13"/>
      <c r="E343" s="13"/>
      <c r="F343" s="160"/>
    </row>
    <row r="344" spans="1:6" ht="13" x14ac:dyDescent="0.3">
      <c r="A344" s="13"/>
      <c r="B344" s="13"/>
      <c r="C344" s="13"/>
      <c r="D344" s="13"/>
      <c r="E344" s="13"/>
      <c r="F344" s="160"/>
    </row>
    <row r="345" spans="1:6" ht="13" x14ac:dyDescent="0.3">
      <c r="A345" s="13"/>
      <c r="B345" s="13"/>
      <c r="C345" s="13"/>
      <c r="D345" s="13"/>
      <c r="E345" s="13"/>
      <c r="F345" s="160"/>
    </row>
    <row r="346" spans="1:6" ht="13" x14ac:dyDescent="0.3">
      <c r="A346" s="13"/>
      <c r="B346" s="13"/>
      <c r="C346" s="13"/>
      <c r="D346" s="13"/>
      <c r="E346" s="13"/>
      <c r="F346" s="160"/>
    </row>
    <row r="347" spans="1:6" ht="13" x14ac:dyDescent="0.3">
      <c r="A347" s="13"/>
      <c r="B347" s="13"/>
      <c r="C347" s="13"/>
      <c r="D347" s="13"/>
      <c r="E347" s="13"/>
      <c r="F347" s="160"/>
    </row>
    <row r="348" spans="1:6" ht="13" x14ac:dyDescent="0.3">
      <c r="A348" s="13"/>
      <c r="B348" s="13"/>
      <c r="C348" s="13"/>
      <c r="D348" s="13"/>
      <c r="E348" s="13"/>
      <c r="F348" s="160"/>
    </row>
    <row r="349" spans="1:6" ht="13" x14ac:dyDescent="0.3">
      <c r="A349" s="13"/>
      <c r="B349" s="13"/>
      <c r="C349" s="13"/>
      <c r="D349" s="13"/>
      <c r="E349" s="13"/>
      <c r="F349" s="160"/>
    </row>
    <row r="350" spans="1:6" ht="13" x14ac:dyDescent="0.3">
      <c r="A350" s="13"/>
      <c r="B350" s="13"/>
      <c r="C350" s="13"/>
      <c r="D350" s="13"/>
      <c r="E350" s="13"/>
      <c r="F350" s="160"/>
    </row>
    <row r="351" spans="1:6" ht="13" x14ac:dyDescent="0.3">
      <c r="A351" s="13"/>
      <c r="B351" s="13"/>
      <c r="C351" s="13"/>
      <c r="D351" s="13"/>
      <c r="E351" s="13"/>
      <c r="F351" s="160"/>
    </row>
    <row r="352" spans="1:6" ht="13" x14ac:dyDescent="0.3">
      <c r="A352" s="13"/>
      <c r="B352" s="13"/>
      <c r="C352" s="13"/>
      <c r="D352" s="13"/>
      <c r="E352" s="13"/>
      <c r="F352" s="160"/>
    </row>
    <row r="353" spans="1:6" ht="13" x14ac:dyDescent="0.3">
      <c r="A353" s="13"/>
      <c r="B353" s="13"/>
      <c r="C353" s="13"/>
      <c r="D353" s="13"/>
      <c r="E353" s="13"/>
      <c r="F353" s="160"/>
    </row>
    <row r="354" spans="1:6" ht="13" x14ac:dyDescent="0.3">
      <c r="A354" s="13"/>
      <c r="B354" s="13"/>
      <c r="C354" s="13"/>
      <c r="D354" s="13"/>
      <c r="E354" s="13"/>
      <c r="F354" s="160"/>
    </row>
    <row r="355" spans="1:6" ht="13" x14ac:dyDescent="0.3">
      <c r="A355" s="13"/>
      <c r="B355" s="13"/>
      <c r="C355" s="13"/>
      <c r="D355" s="13"/>
      <c r="E355" s="13"/>
      <c r="F355" s="160"/>
    </row>
    <row r="356" spans="1:6" ht="13" x14ac:dyDescent="0.3">
      <c r="A356" s="13"/>
      <c r="B356" s="13"/>
      <c r="C356" s="13"/>
      <c r="D356" s="13"/>
      <c r="E356" s="13"/>
      <c r="F356" s="160"/>
    </row>
    <row r="357" spans="1:6" ht="13" x14ac:dyDescent="0.3">
      <c r="A357" s="13"/>
      <c r="B357" s="13"/>
      <c r="C357" s="13"/>
      <c r="D357" s="13"/>
      <c r="E357" s="13"/>
      <c r="F357" s="160"/>
    </row>
    <row r="358" spans="1:6" ht="13" x14ac:dyDescent="0.3">
      <c r="A358" s="13"/>
      <c r="B358" s="13"/>
      <c r="C358" s="13"/>
      <c r="D358" s="13"/>
      <c r="E358" s="13"/>
      <c r="F358" s="160"/>
    </row>
    <row r="359" spans="1:6" ht="13" x14ac:dyDescent="0.3">
      <c r="A359" s="13"/>
      <c r="B359" s="13"/>
      <c r="C359" s="13"/>
      <c r="D359" s="13"/>
      <c r="E359" s="13"/>
      <c r="F359" s="160"/>
    </row>
    <row r="360" spans="1:6" ht="13" x14ac:dyDescent="0.3">
      <c r="A360" s="13"/>
      <c r="B360" s="13"/>
      <c r="C360" s="13"/>
      <c r="D360" s="13"/>
      <c r="E360" s="13"/>
      <c r="F360" s="160"/>
    </row>
    <row r="361" spans="1:6" ht="13" x14ac:dyDescent="0.3">
      <c r="A361" s="13"/>
      <c r="B361" s="13"/>
      <c r="C361" s="13"/>
      <c r="D361" s="13"/>
      <c r="E361" s="13"/>
      <c r="F361" s="160"/>
    </row>
    <row r="362" spans="1:6" ht="13" x14ac:dyDescent="0.3">
      <c r="A362" s="13"/>
      <c r="B362" s="13"/>
      <c r="C362" s="13"/>
      <c r="D362" s="13"/>
      <c r="E362" s="13"/>
      <c r="F362" s="160"/>
    </row>
    <row r="363" spans="1:6" ht="13" x14ac:dyDescent="0.3">
      <c r="A363" s="13"/>
      <c r="B363" s="13"/>
      <c r="C363" s="13"/>
      <c r="D363" s="13"/>
      <c r="E363" s="13"/>
      <c r="F363" s="160"/>
    </row>
    <row r="364" spans="1:6" ht="13" x14ac:dyDescent="0.3">
      <c r="A364" s="13"/>
      <c r="B364" s="13"/>
      <c r="C364" s="13"/>
      <c r="D364" s="13"/>
      <c r="E364" s="13"/>
      <c r="F364" s="160"/>
    </row>
    <row r="365" spans="1:6" ht="13" x14ac:dyDescent="0.3">
      <c r="A365" s="13"/>
      <c r="B365" s="13"/>
      <c r="C365" s="13"/>
      <c r="D365" s="13"/>
      <c r="E365" s="13"/>
      <c r="F365" s="160"/>
    </row>
    <row r="366" spans="1:6" ht="13" x14ac:dyDescent="0.3">
      <c r="A366" s="13"/>
      <c r="B366" s="13"/>
      <c r="C366" s="13"/>
      <c r="D366" s="13"/>
      <c r="E366" s="13"/>
      <c r="F366" s="160"/>
    </row>
    <row r="367" spans="1:6" ht="13" x14ac:dyDescent="0.3">
      <c r="A367" s="13"/>
      <c r="B367" s="13"/>
      <c r="C367" s="13"/>
      <c r="D367" s="13"/>
      <c r="E367" s="13"/>
      <c r="F367" s="160"/>
    </row>
    <row r="368" spans="1:6" ht="13" x14ac:dyDescent="0.3">
      <c r="A368" s="13"/>
      <c r="B368" s="13"/>
      <c r="C368" s="13"/>
      <c r="D368" s="13"/>
      <c r="E368" s="13"/>
      <c r="F368" s="160"/>
    </row>
    <row r="369" spans="1:6" ht="13" x14ac:dyDescent="0.3">
      <c r="A369" s="13"/>
      <c r="B369" s="13"/>
      <c r="C369" s="13"/>
      <c r="D369" s="13"/>
      <c r="E369" s="13"/>
      <c r="F369" s="160"/>
    </row>
    <row r="370" spans="1:6" ht="13" x14ac:dyDescent="0.3">
      <c r="A370" s="13"/>
      <c r="B370" s="13"/>
      <c r="C370" s="13"/>
      <c r="D370" s="13"/>
      <c r="E370" s="13"/>
      <c r="F370" s="160"/>
    </row>
    <row r="371" spans="1:6" ht="13" x14ac:dyDescent="0.3">
      <c r="A371" s="13"/>
      <c r="B371" s="13"/>
      <c r="C371" s="13"/>
      <c r="D371" s="13"/>
      <c r="E371" s="13"/>
      <c r="F371" s="160"/>
    </row>
    <row r="372" spans="1:6" ht="13" x14ac:dyDescent="0.3">
      <c r="A372" s="13"/>
      <c r="B372" s="13"/>
      <c r="C372" s="13"/>
      <c r="D372" s="13"/>
      <c r="E372" s="13"/>
      <c r="F372" s="160"/>
    </row>
    <row r="373" spans="1:6" ht="13" x14ac:dyDescent="0.3">
      <c r="A373" s="13"/>
      <c r="B373" s="13"/>
      <c r="C373" s="13"/>
      <c r="D373" s="13"/>
      <c r="E373" s="13"/>
      <c r="F373" s="160"/>
    </row>
    <row r="374" spans="1:6" ht="13" x14ac:dyDescent="0.3">
      <c r="A374" s="13"/>
      <c r="B374" s="13"/>
      <c r="C374" s="13"/>
      <c r="D374" s="13"/>
      <c r="E374" s="13"/>
      <c r="F374" s="160"/>
    </row>
    <row r="375" spans="1:6" ht="13" x14ac:dyDescent="0.3">
      <c r="A375" s="13"/>
      <c r="B375" s="13"/>
      <c r="C375" s="13"/>
      <c r="D375" s="13"/>
      <c r="E375" s="13"/>
      <c r="F375" s="160"/>
    </row>
    <row r="376" spans="1:6" ht="13" x14ac:dyDescent="0.3">
      <c r="A376" s="13"/>
      <c r="B376" s="13"/>
      <c r="C376" s="13"/>
      <c r="D376" s="13"/>
      <c r="E376" s="13"/>
      <c r="F376" s="160"/>
    </row>
    <row r="377" spans="1:6" ht="13" x14ac:dyDescent="0.3">
      <c r="A377" s="13"/>
      <c r="B377" s="13"/>
      <c r="C377" s="13"/>
      <c r="D377" s="13"/>
      <c r="E377" s="13"/>
      <c r="F377" s="160"/>
    </row>
    <row r="378" spans="1:6" ht="13" x14ac:dyDescent="0.3">
      <c r="A378" s="13"/>
      <c r="B378" s="13"/>
      <c r="C378" s="13"/>
      <c r="D378" s="13"/>
      <c r="E378" s="13"/>
      <c r="F378" s="160"/>
    </row>
    <row r="379" spans="1:6" ht="13" x14ac:dyDescent="0.3">
      <c r="A379" s="13"/>
      <c r="B379" s="13"/>
      <c r="C379" s="13"/>
      <c r="D379" s="13"/>
      <c r="E379" s="13"/>
      <c r="F379" s="160"/>
    </row>
    <row r="380" spans="1:6" ht="13" x14ac:dyDescent="0.3">
      <c r="A380" s="13"/>
      <c r="B380" s="13"/>
      <c r="C380" s="13"/>
      <c r="D380" s="13"/>
      <c r="E380" s="13"/>
      <c r="F380" s="160"/>
    </row>
    <row r="381" spans="1:6" ht="13" x14ac:dyDescent="0.3">
      <c r="A381" s="13"/>
      <c r="B381" s="13"/>
      <c r="C381" s="13"/>
      <c r="D381" s="13"/>
      <c r="E381" s="13"/>
      <c r="F381" s="160"/>
    </row>
    <row r="382" spans="1:6" ht="13" x14ac:dyDescent="0.3">
      <c r="A382" s="13"/>
      <c r="B382" s="13"/>
      <c r="C382" s="13"/>
      <c r="D382" s="13"/>
      <c r="E382" s="13"/>
      <c r="F382" s="160"/>
    </row>
    <row r="383" spans="1:6" ht="13" x14ac:dyDescent="0.3">
      <c r="A383" s="13"/>
      <c r="B383" s="13"/>
      <c r="C383" s="13"/>
      <c r="D383" s="13"/>
      <c r="E383" s="13"/>
      <c r="F383" s="160"/>
    </row>
    <row r="384" spans="1:6" ht="13" x14ac:dyDescent="0.3">
      <c r="A384" s="13"/>
      <c r="B384" s="13"/>
      <c r="C384" s="13"/>
      <c r="D384" s="13"/>
      <c r="E384" s="13"/>
      <c r="F384" s="160"/>
    </row>
    <row r="385" spans="1:6" ht="13" x14ac:dyDescent="0.3">
      <c r="A385" s="13"/>
      <c r="B385" s="13"/>
      <c r="C385" s="13"/>
      <c r="D385" s="13"/>
      <c r="E385" s="13"/>
      <c r="F385" s="160"/>
    </row>
    <row r="386" spans="1:6" ht="13" x14ac:dyDescent="0.3">
      <c r="A386" s="13"/>
      <c r="B386" s="13"/>
      <c r="C386" s="13"/>
      <c r="D386" s="13"/>
      <c r="E386" s="13"/>
      <c r="F386" s="160"/>
    </row>
    <row r="387" spans="1:6" ht="13" x14ac:dyDescent="0.3">
      <c r="A387" s="13"/>
      <c r="B387" s="13"/>
      <c r="C387" s="13"/>
      <c r="D387" s="13"/>
      <c r="E387" s="13"/>
      <c r="F387" s="160"/>
    </row>
    <row r="388" spans="1:6" ht="13" x14ac:dyDescent="0.3">
      <c r="A388" s="13"/>
      <c r="B388" s="13"/>
      <c r="C388" s="13"/>
      <c r="D388" s="13"/>
      <c r="E388" s="13"/>
      <c r="F388" s="160"/>
    </row>
    <row r="389" spans="1:6" ht="13" x14ac:dyDescent="0.3">
      <c r="A389" s="13"/>
      <c r="B389" s="13"/>
      <c r="C389" s="13"/>
      <c r="D389" s="13"/>
      <c r="E389" s="13"/>
      <c r="F389" s="160"/>
    </row>
    <row r="390" spans="1:6" ht="13" x14ac:dyDescent="0.3">
      <c r="A390" s="13"/>
      <c r="B390" s="13"/>
      <c r="C390" s="13"/>
      <c r="D390" s="13"/>
      <c r="E390" s="13"/>
      <c r="F390" s="160"/>
    </row>
    <row r="391" spans="1:6" ht="13" x14ac:dyDescent="0.3">
      <c r="A391" s="13"/>
      <c r="B391" s="13"/>
      <c r="C391" s="13"/>
      <c r="D391" s="13"/>
      <c r="E391" s="13"/>
      <c r="F391" s="160"/>
    </row>
    <row r="392" spans="1:6" ht="13" x14ac:dyDescent="0.3">
      <c r="A392" s="13"/>
      <c r="B392" s="13"/>
      <c r="C392" s="13"/>
      <c r="D392" s="13"/>
      <c r="E392" s="13"/>
      <c r="F392" s="160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Crops">
                <anchor moveWithCells="1" sizeWithCells="1">
                  <from>
                    <xdr:col>6</xdr:col>
                    <xdr:colOff>50800</xdr:colOff>
                    <xdr:row>3</xdr:row>
                    <xdr:rowOff>0</xdr:rowOff>
                  </from>
                  <to>
                    <xdr:col>6</xdr:col>
                    <xdr:colOff>755650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V270"/>
  <sheetViews>
    <sheetView zoomScale="70" zoomScaleNormal="70" workbookViewId="0">
      <pane xSplit="8" ySplit="1" topLeftCell="BD2" activePane="bottomRight" state="frozen"/>
      <selection pane="topRight" activeCell="I1" sqref="I1"/>
      <selection pane="bottomLeft" activeCell="A3" sqref="A3"/>
      <selection pane="bottomRight" activeCell="E14" sqref="E14"/>
    </sheetView>
  </sheetViews>
  <sheetFormatPr baseColWidth="10" defaultColWidth="13.54296875" defaultRowHeight="15.75" customHeight="1" x14ac:dyDescent="0.25"/>
  <cols>
    <col min="1" max="3" width="13.54296875" style="3" customWidth="1"/>
    <col min="4" max="5" width="13.54296875" style="27" customWidth="1"/>
    <col min="6" max="8" width="13.54296875" style="31" customWidth="1"/>
    <col min="9" max="12" width="13.54296875" style="27" customWidth="1"/>
    <col min="13" max="21" width="13.54296875" style="29" customWidth="1"/>
    <col min="22" max="27" width="13.54296875" style="31" customWidth="1"/>
    <col min="28" max="34" width="13.54296875" style="27" customWidth="1"/>
    <col min="35" max="35" width="13.54296875" style="31" customWidth="1"/>
    <col min="36" max="36" width="13.54296875" style="29" customWidth="1"/>
    <col min="37" max="43" width="13.54296875" style="31" customWidth="1"/>
    <col min="44" max="61" width="13.54296875" style="29" customWidth="1"/>
    <col min="62" max="16384" width="13.54296875" style="3"/>
  </cols>
  <sheetData>
    <row r="1" spans="1:74" s="7" customFormat="1" ht="15.75" customHeight="1" x14ac:dyDescent="0.3">
      <c r="A1" s="7" t="s">
        <v>1010</v>
      </c>
      <c r="B1" s="7" t="s">
        <v>667</v>
      </c>
      <c r="C1" s="7" t="s">
        <v>1011</v>
      </c>
      <c r="D1" s="26" t="s">
        <v>1012</v>
      </c>
      <c r="E1" s="26" t="s">
        <v>1013</v>
      </c>
      <c r="F1" s="30" t="s">
        <v>1014</v>
      </c>
      <c r="G1" s="30" t="s">
        <v>1015</v>
      </c>
      <c r="H1" s="30" t="s">
        <v>1016</v>
      </c>
      <c r="I1" s="26" t="s">
        <v>1017</v>
      </c>
      <c r="J1" s="26" t="s">
        <v>29</v>
      </c>
      <c r="K1" s="26" t="s">
        <v>604</v>
      </c>
      <c r="L1" s="26" t="s">
        <v>530</v>
      </c>
      <c r="M1" s="28" t="s">
        <v>1018</v>
      </c>
      <c r="N1" s="28" t="s">
        <v>27</v>
      </c>
      <c r="O1" s="28" t="s">
        <v>28</v>
      </c>
      <c r="P1" s="28" t="s">
        <v>1019</v>
      </c>
      <c r="Q1" s="28" t="s">
        <v>1020</v>
      </c>
      <c r="R1" s="28" t="s">
        <v>1021</v>
      </c>
      <c r="S1" s="28" t="s">
        <v>1022</v>
      </c>
      <c r="T1" s="28" t="s">
        <v>1023</v>
      </c>
      <c r="U1" s="28" t="s">
        <v>1024</v>
      </c>
      <c r="V1" s="30" t="s">
        <v>1025</v>
      </c>
      <c r="W1" s="30" t="s">
        <v>1026</v>
      </c>
      <c r="X1" s="30" t="s">
        <v>1027</v>
      </c>
      <c r="Y1" s="30" t="s">
        <v>1028</v>
      </c>
      <c r="Z1" s="30" t="s">
        <v>1029</v>
      </c>
      <c r="AA1" s="30" t="s">
        <v>1030</v>
      </c>
      <c r="AB1" s="26" t="s">
        <v>1031</v>
      </c>
      <c r="AC1" s="26" t="s">
        <v>1032</v>
      </c>
      <c r="AD1" s="26" t="s">
        <v>1033</v>
      </c>
      <c r="AE1" s="26" t="s">
        <v>1034</v>
      </c>
      <c r="AF1" s="26" t="s">
        <v>1035</v>
      </c>
      <c r="AG1" s="26" t="s">
        <v>1036</v>
      </c>
      <c r="AH1" s="26" t="s">
        <v>1037</v>
      </c>
      <c r="AI1" s="30" t="s">
        <v>1038</v>
      </c>
      <c r="AJ1" s="28" t="s">
        <v>1039</v>
      </c>
      <c r="AK1" s="30" t="s">
        <v>1040</v>
      </c>
      <c r="AL1" s="30" t="s">
        <v>1041</v>
      </c>
      <c r="AM1" s="30" t="s">
        <v>1042</v>
      </c>
      <c r="AN1" s="30" t="s">
        <v>1043</v>
      </c>
      <c r="AO1" s="30" t="s">
        <v>1044</v>
      </c>
      <c r="AP1" s="30" t="s">
        <v>1045</v>
      </c>
      <c r="AQ1" s="30" t="s">
        <v>1046</v>
      </c>
      <c r="AR1" s="28" t="s">
        <v>1047</v>
      </c>
      <c r="AS1" s="28" t="s">
        <v>1048</v>
      </c>
      <c r="AT1" s="28" t="s">
        <v>1049</v>
      </c>
      <c r="AU1" s="28" t="s">
        <v>1050</v>
      </c>
      <c r="AV1" s="28" t="s">
        <v>1051</v>
      </c>
      <c r="AW1" s="28" t="s">
        <v>1052</v>
      </c>
      <c r="AX1" s="28" t="s">
        <v>1053</v>
      </c>
      <c r="AY1" s="28" t="s">
        <v>1054</v>
      </c>
      <c r="AZ1" s="28" t="s">
        <v>1055</v>
      </c>
      <c r="BA1" s="28" t="s">
        <v>1056</v>
      </c>
      <c r="BB1" s="28" t="s">
        <v>1057</v>
      </c>
      <c r="BC1" s="28" t="s">
        <v>1058</v>
      </c>
      <c r="BD1" s="28" t="s">
        <v>1059</v>
      </c>
      <c r="BE1" s="28" t="s">
        <v>1060</v>
      </c>
      <c r="BF1" s="28" t="s">
        <v>1061</v>
      </c>
      <c r="BG1" s="28" t="s">
        <v>1062</v>
      </c>
      <c r="BH1" s="28" t="s">
        <v>1063</v>
      </c>
      <c r="BI1" s="28" t="s">
        <v>97</v>
      </c>
      <c r="BJ1" s="7" t="s">
        <v>1064</v>
      </c>
      <c r="BK1" s="7" t="s">
        <v>1065</v>
      </c>
      <c r="BL1" s="7" t="s">
        <v>1066</v>
      </c>
      <c r="BM1" s="7" t="s">
        <v>1067</v>
      </c>
      <c r="BN1" s="7" t="s">
        <v>1068</v>
      </c>
      <c r="BO1" s="7" t="s">
        <v>1069</v>
      </c>
      <c r="BP1" s="7" t="s">
        <v>1070</v>
      </c>
      <c r="BQ1" s="7" t="s">
        <v>1071</v>
      </c>
      <c r="BR1" s="7" t="s">
        <v>1072</v>
      </c>
      <c r="BS1" s="7" t="s">
        <v>1073</v>
      </c>
      <c r="BT1" s="7" t="s">
        <v>1074</v>
      </c>
      <c r="BU1" s="7" t="s">
        <v>1075</v>
      </c>
      <c r="BV1" s="7" t="s">
        <v>1076</v>
      </c>
    </row>
    <row r="2" spans="1:74" ht="15.75" customHeight="1" x14ac:dyDescent="0.25">
      <c r="A2" s="3" t="s">
        <v>1008</v>
      </c>
      <c r="B2" s="3" t="s">
        <v>900</v>
      </c>
      <c r="C2" s="3" t="s">
        <v>987</v>
      </c>
      <c r="D2" s="27" t="s">
        <v>900</v>
      </c>
      <c r="E2" s="27" t="s">
        <v>989</v>
      </c>
      <c r="F2" s="31">
        <v>1981</v>
      </c>
      <c r="G2" s="31">
        <v>1981</v>
      </c>
      <c r="H2" s="31">
        <v>117</v>
      </c>
      <c r="I2" s="27">
        <v>0</v>
      </c>
      <c r="J2" s="27">
        <v>14.89999961853025</v>
      </c>
      <c r="L2" s="27">
        <v>0</v>
      </c>
      <c r="P2" s="29">
        <v>0</v>
      </c>
      <c r="AB2" s="27">
        <v>200</v>
      </c>
      <c r="AC2" s="27">
        <v>0</v>
      </c>
      <c r="AD2" s="27">
        <v>0</v>
      </c>
      <c r="AE2" s="27">
        <v>0</v>
      </c>
      <c r="AF2" s="27">
        <v>6.3230954735973555</v>
      </c>
      <c r="AG2" s="27">
        <v>1.7428952540940135</v>
      </c>
      <c r="AH2" s="27">
        <v>0</v>
      </c>
      <c r="AJ2" s="29">
        <v>0</v>
      </c>
      <c r="AK2" s="31">
        <v>0</v>
      </c>
      <c r="AL2" s="31">
        <v>0</v>
      </c>
      <c r="AM2" s="31">
        <v>0</v>
      </c>
      <c r="AN2" s="31">
        <v>0</v>
      </c>
      <c r="AO2" s="31">
        <v>0</v>
      </c>
      <c r="AP2" s="31">
        <v>1.7428952540940135</v>
      </c>
      <c r="AQ2" s="31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7.7840765353211249E-4</v>
      </c>
      <c r="AZ2" s="29">
        <v>7.7840765353211249E-4</v>
      </c>
      <c r="BA2" s="29">
        <v>0</v>
      </c>
      <c r="BB2" s="29">
        <v>0</v>
      </c>
      <c r="BC2" s="29">
        <v>0</v>
      </c>
      <c r="BD2" s="29">
        <v>1.8812318036138005</v>
      </c>
      <c r="BK2" s="3">
        <v>0</v>
      </c>
      <c r="BL2" s="3">
        <v>36.144365811092122</v>
      </c>
      <c r="BM2" s="3">
        <v>93.693058937356753</v>
      </c>
    </row>
    <row r="3" spans="1:74" ht="15.75" customHeight="1" x14ac:dyDescent="0.25">
      <c r="A3" s="3" t="s">
        <v>1008</v>
      </c>
      <c r="B3" s="3" t="s">
        <v>900</v>
      </c>
      <c r="C3" s="3" t="s">
        <v>987</v>
      </c>
      <c r="D3" s="27" t="s">
        <v>900</v>
      </c>
      <c r="E3" s="27" t="s">
        <v>989</v>
      </c>
      <c r="F3" s="31">
        <v>1981</v>
      </c>
      <c r="G3" s="31">
        <v>1981</v>
      </c>
      <c r="H3" s="31">
        <v>118</v>
      </c>
      <c r="I3" s="27">
        <v>0</v>
      </c>
      <c r="J3" s="27">
        <v>14.800000429153464</v>
      </c>
      <c r="L3" s="27">
        <v>0</v>
      </c>
      <c r="P3" s="29">
        <v>0</v>
      </c>
      <c r="AB3" s="27">
        <v>200</v>
      </c>
      <c r="AC3" s="27">
        <v>0</v>
      </c>
      <c r="AD3" s="27">
        <v>0</v>
      </c>
      <c r="AE3" s="27">
        <v>0</v>
      </c>
      <c r="AF3" s="27">
        <v>6.2603416477154008</v>
      </c>
      <c r="AG3" s="27">
        <v>1.3240977754894507</v>
      </c>
      <c r="AH3" s="27">
        <v>0</v>
      </c>
      <c r="AI3" s="31">
        <v>0</v>
      </c>
      <c r="AJ3" s="29">
        <v>0</v>
      </c>
      <c r="AK3" s="31">
        <v>0</v>
      </c>
      <c r="AL3" s="31">
        <v>0</v>
      </c>
      <c r="AM3" s="31">
        <v>0</v>
      </c>
      <c r="AN3" s="31">
        <v>0</v>
      </c>
      <c r="AO3" s="31">
        <v>0</v>
      </c>
      <c r="AP3" s="31">
        <v>3.0669930295834642</v>
      </c>
      <c r="AQ3" s="31">
        <v>0</v>
      </c>
      <c r="AR3" s="29">
        <v>0</v>
      </c>
      <c r="AS3" s="29">
        <v>0</v>
      </c>
      <c r="AT3" s="29">
        <v>0</v>
      </c>
      <c r="AU3" s="29">
        <v>0</v>
      </c>
      <c r="AV3" s="29">
        <v>0</v>
      </c>
      <c r="AW3" s="29">
        <v>0</v>
      </c>
      <c r="AX3" s="29">
        <v>0</v>
      </c>
      <c r="AY3" s="29">
        <v>7.7239110479366798E-4</v>
      </c>
      <c r="AZ3" s="29">
        <v>1.5507987583257806E-3</v>
      </c>
      <c r="BA3" s="29">
        <v>0</v>
      </c>
      <c r="BB3" s="29">
        <v>0</v>
      </c>
      <c r="BC3" s="29">
        <v>0</v>
      </c>
      <c r="BD3" s="29">
        <v>1.8820041947185944</v>
      </c>
      <c r="BK3" s="3">
        <v>0</v>
      </c>
      <c r="BL3" s="3">
        <v>34.820268035602673</v>
      </c>
      <c r="BM3" s="3">
        <v>93.693058937356753</v>
      </c>
    </row>
    <row r="4" spans="1:74" ht="15.75" customHeight="1" x14ac:dyDescent="0.25">
      <c r="A4" s="3" t="s">
        <v>1008</v>
      </c>
      <c r="B4" s="3" t="s">
        <v>900</v>
      </c>
      <c r="C4" s="3" t="s">
        <v>987</v>
      </c>
      <c r="D4" s="27" t="s">
        <v>900</v>
      </c>
      <c r="E4" s="27" t="s">
        <v>989</v>
      </c>
      <c r="F4" s="31">
        <v>1981</v>
      </c>
      <c r="G4" s="31">
        <v>1981</v>
      </c>
      <c r="H4" s="31">
        <v>119</v>
      </c>
      <c r="I4" s="27">
        <v>0</v>
      </c>
      <c r="J4" s="27">
        <v>13.45000028610232</v>
      </c>
      <c r="L4" s="27">
        <v>0</v>
      </c>
      <c r="P4" s="29">
        <v>0</v>
      </c>
      <c r="AB4" s="27">
        <v>200</v>
      </c>
      <c r="AC4" s="27">
        <v>0</v>
      </c>
      <c r="AD4" s="27">
        <v>0</v>
      </c>
      <c r="AE4" s="27">
        <v>0</v>
      </c>
      <c r="AF4" s="27">
        <v>6.1318294886559341</v>
      </c>
      <c r="AG4" s="27">
        <v>1.0933513749616852</v>
      </c>
      <c r="AH4" s="27">
        <v>0</v>
      </c>
      <c r="AI4" s="31">
        <v>0</v>
      </c>
      <c r="AJ4" s="29">
        <v>0</v>
      </c>
      <c r="AK4" s="31">
        <v>0</v>
      </c>
      <c r="AL4" s="31">
        <v>0</v>
      </c>
      <c r="AM4" s="31">
        <v>0</v>
      </c>
      <c r="AN4" s="31">
        <v>0</v>
      </c>
      <c r="AO4" s="31">
        <v>0</v>
      </c>
      <c r="AP4" s="31">
        <v>4.1603444045451496</v>
      </c>
      <c r="AQ4" s="31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6.9609864938905189E-4</v>
      </c>
      <c r="AZ4" s="29">
        <v>2.2468974077148327E-3</v>
      </c>
      <c r="BA4" s="29">
        <v>0</v>
      </c>
      <c r="BB4" s="29">
        <v>0</v>
      </c>
      <c r="BC4" s="29">
        <v>0</v>
      </c>
      <c r="BD4" s="29">
        <v>1.8827002933679835</v>
      </c>
      <c r="BK4" s="3">
        <v>0</v>
      </c>
      <c r="BL4" s="3">
        <v>33.726916660640988</v>
      </c>
      <c r="BM4" s="3">
        <v>93.693058937356753</v>
      </c>
    </row>
    <row r="5" spans="1:74" ht="15.75" customHeight="1" x14ac:dyDescent="0.25">
      <c r="A5" s="3" t="s">
        <v>1008</v>
      </c>
      <c r="B5" s="3" t="s">
        <v>900</v>
      </c>
      <c r="C5" s="3" t="s">
        <v>987</v>
      </c>
      <c r="D5" s="27" t="s">
        <v>900</v>
      </c>
      <c r="E5" s="27" t="s">
        <v>989</v>
      </c>
      <c r="F5" s="31">
        <v>1981</v>
      </c>
      <c r="G5" s="31">
        <v>1981</v>
      </c>
      <c r="H5" s="31">
        <v>120</v>
      </c>
      <c r="I5" s="27">
        <v>0</v>
      </c>
      <c r="J5" s="27">
        <v>11.950000286102281</v>
      </c>
      <c r="L5" s="27">
        <v>0</v>
      </c>
      <c r="P5" s="29">
        <v>0</v>
      </c>
      <c r="AB5" s="27">
        <v>200</v>
      </c>
      <c r="AC5" s="27">
        <v>0</v>
      </c>
      <c r="AD5" s="27">
        <v>0</v>
      </c>
      <c r="AE5" s="27">
        <v>0</v>
      </c>
      <c r="AF5" s="27">
        <v>5.8251421737233144</v>
      </c>
      <c r="AG5" s="27">
        <v>0.91508374772365497</v>
      </c>
      <c r="AH5" s="27">
        <v>0</v>
      </c>
      <c r="AI5" s="31">
        <v>0</v>
      </c>
      <c r="AJ5" s="29">
        <v>0</v>
      </c>
      <c r="AK5" s="31">
        <v>0</v>
      </c>
      <c r="AL5" s="31">
        <v>0</v>
      </c>
      <c r="AM5" s="31">
        <v>0</v>
      </c>
      <c r="AN5" s="31">
        <v>0</v>
      </c>
      <c r="AO5" s="31">
        <v>0</v>
      </c>
      <c r="AP5" s="31">
        <v>5.0754281522688043</v>
      </c>
      <c r="AQ5" s="31">
        <v>0</v>
      </c>
      <c r="AR5" s="29">
        <v>0</v>
      </c>
      <c r="AS5" s="29">
        <v>0</v>
      </c>
      <c r="AT5" s="29">
        <v>0</v>
      </c>
      <c r="AU5" s="29">
        <v>0</v>
      </c>
      <c r="AV5" s="29">
        <v>0</v>
      </c>
      <c r="AW5" s="29">
        <v>0</v>
      </c>
      <c r="AX5" s="29">
        <v>0</v>
      </c>
      <c r="AY5" s="29">
        <v>6.1942515002315704E-4</v>
      </c>
      <c r="AZ5" s="29">
        <v>2.8663225577379896E-3</v>
      </c>
      <c r="BA5" s="29">
        <v>0</v>
      </c>
      <c r="BB5" s="29">
        <v>0</v>
      </c>
      <c r="BC5" s="29">
        <v>0</v>
      </c>
      <c r="BD5" s="29">
        <v>1.8833197185180066</v>
      </c>
      <c r="BK5" s="3">
        <v>0</v>
      </c>
      <c r="BL5" s="3">
        <v>32.811832912917332</v>
      </c>
      <c r="BM5" s="3">
        <v>93.693058937356753</v>
      </c>
    </row>
    <row r="6" spans="1:74" ht="15.75" customHeight="1" x14ac:dyDescent="0.25">
      <c r="A6" s="3" t="s">
        <v>1008</v>
      </c>
      <c r="B6" s="3" t="s">
        <v>900</v>
      </c>
      <c r="C6" s="3" t="s">
        <v>987</v>
      </c>
      <c r="D6" s="27" t="s">
        <v>900</v>
      </c>
      <c r="E6" s="27" t="s">
        <v>989</v>
      </c>
      <c r="F6" s="31">
        <v>1981</v>
      </c>
      <c r="G6" s="31">
        <v>1981</v>
      </c>
      <c r="H6" s="31">
        <v>121</v>
      </c>
      <c r="I6" s="27">
        <v>0</v>
      </c>
      <c r="J6" s="27">
        <v>13.949999570846536</v>
      </c>
      <c r="L6" s="27">
        <v>0</v>
      </c>
      <c r="P6" s="29">
        <v>0</v>
      </c>
      <c r="AB6" s="27">
        <v>200</v>
      </c>
      <c r="AC6" s="27">
        <v>0</v>
      </c>
      <c r="AD6" s="27">
        <v>0</v>
      </c>
      <c r="AE6" s="27">
        <v>0</v>
      </c>
      <c r="AF6" s="27">
        <v>5.8802737256885163</v>
      </c>
      <c r="AG6" s="27">
        <v>0.83512884435616663</v>
      </c>
      <c r="AH6" s="27">
        <v>0</v>
      </c>
      <c r="AI6" s="31">
        <v>0</v>
      </c>
      <c r="AJ6" s="29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31">
        <v>5.9105569966249707</v>
      </c>
      <c r="AQ6" s="31">
        <v>0</v>
      </c>
      <c r="AR6" s="29">
        <v>0</v>
      </c>
      <c r="AS6" s="29">
        <v>0</v>
      </c>
      <c r="AT6" s="29">
        <v>0</v>
      </c>
      <c r="AU6" s="29">
        <v>0</v>
      </c>
      <c r="AV6" s="29">
        <v>0</v>
      </c>
      <c r="AW6" s="29">
        <v>0</v>
      </c>
      <c r="AX6" s="29">
        <v>0</v>
      </c>
      <c r="AY6" s="29">
        <v>7.2336514272228777E-4</v>
      </c>
      <c r="AZ6" s="29">
        <v>3.5896877004602773E-3</v>
      </c>
      <c r="BA6" s="29">
        <v>0</v>
      </c>
      <c r="BB6" s="29">
        <v>0</v>
      </c>
      <c r="BC6" s="29">
        <v>0</v>
      </c>
      <c r="BD6" s="29">
        <v>1.8840430836607287</v>
      </c>
      <c r="BK6" s="3">
        <v>0</v>
      </c>
      <c r="BL6" s="3">
        <v>31.976704068561165</v>
      </c>
      <c r="BM6" s="3">
        <v>93.693058937356753</v>
      </c>
    </row>
    <row r="7" spans="1:74" ht="15.75" customHeight="1" x14ac:dyDescent="0.25">
      <c r="A7" s="3" t="s">
        <v>1008</v>
      </c>
      <c r="B7" s="3" t="s">
        <v>900</v>
      </c>
      <c r="C7" s="3" t="s">
        <v>987</v>
      </c>
      <c r="D7" s="27" t="s">
        <v>900</v>
      </c>
      <c r="E7" s="27" t="s">
        <v>989</v>
      </c>
      <c r="F7" s="31">
        <v>1981</v>
      </c>
      <c r="G7" s="31">
        <v>1981</v>
      </c>
      <c r="H7" s="31">
        <v>122</v>
      </c>
      <c r="I7" s="27">
        <v>0</v>
      </c>
      <c r="J7" s="27">
        <v>18.049999713897719</v>
      </c>
      <c r="L7" s="27">
        <v>0</v>
      </c>
      <c r="P7" s="29">
        <v>0</v>
      </c>
      <c r="AB7" s="27">
        <v>200</v>
      </c>
      <c r="AC7" s="27">
        <v>0</v>
      </c>
      <c r="AD7" s="27">
        <v>0</v>
      </c>
      <c r="AE7" s="27">
        <v>0</v>
      </c>
      <c r="AF7" s="27">
        <v>6.6969302022485762</v>
      </c>
      <c r="AG7" s="27">
        <v>0.87463785650362058</v>
      </c>
      <c r="AH7" s="27">
        <v>0</v>
      </c>
      <c r="AI7" s="31">
        <v>0</v>
      </c>
      <c r="AJ7" s="29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31">
        <v>6.7851948531285915</v>
      </c>
      <c r="AQ7" s="31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9.8757198541289172E-4</v>
      </c>
      <c r="AZ7" s="29">
        <v>4.5772596858731692E-3</v>
      </c>
      <c r="BA7" s="29">
        <v>0</v>
      </c>
      <c r="BB7" s="29">
        <v>0</v>
      </c>
      <c r="BC7" s="29">
        <v>0</v>
      </c>
      <c r="BD7" s="29">
        <v>1.8850306556461418</v>
      </c>
      <c r="BK7" s="3">
        <v>0</v>
      </c>
      <c r="BL7" s="3">
        <v>31.102066212057544</v>
      </c>
      <c r="BM7" s="3">
        <v>93.693058937356753</v>
      </c>
    </row>
    <row r="8" spans="1:74" ht="15.75" customHeight="1" x14ac:dyDescent="0.25">
      <c r="A8" s="3" t="s">
        <v>1008</v>
      </c>
      <c r="B8" s="3" t="s">
        <v>900</v>
      </c>
      <c r="C8" s="3" t="s">
        <v>987</v>
      </c>
      <c r="D8" s="27" t="s">
        <v>900</v>
      </c>
      <c r="E8" s="27" t="s">
        <v>989</v>
      </c>
      <c r="F8" s="31">
        <v>1981</v>
      </c>
      <c r="G8" s="31">
        <v>1981</v>
      </c>
      <c r="H8" s="31">
        <v>123</v>
      </c>
      <c r="I8" s="27">
        <v>0</v>
      </c>
      <c r="J8" s="27">
        <v>19.150000095367421</v>
      </c>
      <c r="L8" s="27">
        <v>0</v>
      </c>
      <c r="P8" s="29">
        <v>0</v>
      </c>
      <c r="AB8" s="27">
        <v>200</v>
      </c>
      <c r="AC8" s="27">
        <v>0</v>
      </c>
      <c r="AD8" s="27">
        <v>0</v>
      </c>
      <c r="AE8" s="27">
        <v>0</v>
      </c>
      <c r="AF8" s="27">
        <v>6.9771311742475888</v>
      </c>
      <c r="AG8" s="27">
        <v>0.84815489291298352</v>
      </c>
      <c r="AH8" s="27">
        <v>0</v>
      </c>
      <c r="AI8" s="31">
        <v>0</v>
      </c>
      <c r="AJ8" s="29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31">
        <v>7.6333497460415751</v>
      </c>
      <c r="AQ8" s="31">
        <v>0</v>
      </c>
      <c r="AR8" s="29">
        <v>0</v>
      </c>
      <c r="AS8" s="29">
        <v>0</v>
      </c>
      <c r="AT8" s="29">
        <v>0</v>
      </c>
      <c r="AU8" s="29">
        <v>0</v>
      </c>
      <c r="AV8" s="29">
        <v>0</v>
      </c>
      <c r="AW8" s="29">
        <v>0</v>
      </c>
      <c r="AX8" s="29">
        <v>0</v>
      </c>
      <c r="AY8" s="29">
        <v>1.0718789127704713E-3</v>
      </c>
      <c r="AZ8" s="29">
        <v>5.6491385986436405E-3</v>
      </c>
      <c r="BA8" s="29">
        <v>0</v>
      </c>
      <c r="BB8" s="29">
        <v>0</v>
      </c>
      <c r="BC8" s="29">
        <v>0</v>
      </c>
      <c r="BD8" s="29">
        <v>1.886102534558912</v>
      </c>
      <c r="BK8" s="3">
        <v>0</v>
      </c>
      <c r="BL8" s="3">
        <v>30.25391131914456</v>
      </c>
      <c r="BM8" s="3">
        <v>93.693058937356753</v>
      </c>
    </row>
    <row r="9" spans="1:74" ht="15.75" customHeight="1" x14ac:dyDescent="0.25">
      <c r="A9" s="3" t="s">
        <v>1008</v>
      </c>
      <c r="B9" s="3" t="s">
        <v>900</v>
      </c>
      <c r="C9" s="3" t="s">
        <v>987</v>
      </c>
      <c r="D9" s="27" t="s">
        <v>900</v>
      </c>
      <c r="E9" s="27" t="s">
        <v>989</v>
      </c>
      <c r="F9" s="31">
        <v>1981</v>
      </c>
      <c r="G9" s="31">
        <v>1981</v>
      </c>
      <c r="H9" s="31">
        <v>124</v>
      </c>
      <c r="I9" s="27">
        <v>0</v>
      </c>
      <c r="J9" s="27">
        <v>21.849999427795399</v>
      </c>
      <c r="L9" s="27">
        <v>0</v>
      </c>
      <c r="P9" s="29">
        <v>0</v>
      </c>
      <c r="AB9" s="27">
        <v>200</v>
      </c>
      <c r="AC9" s="27">
        <v>0</v>
      </c>
      <c r="AD9" s="27">
        <v>0</v>
      </c>
      <c r="AE9" s="27">
        <v>0</v>
      </c>
      <c r="AF9" s="27">
        <v>7.1583708458605191</v>
      </c>
      <c r="AG9" s="27">
        <v>0.81729728509707089</v>
      </c>
      <c r="AH9" s="27">
        <v>0</v>
      </c>
      <c r="AI9" s="31">
        <v>0</v>
      </c>
      <c r="AJ9" s="29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8.4506470311386455</v>
      </c>
      <c r="AQ9" s="31">
        <v>0</v>
      </c>
      <c r="AR9" s="29">
        <v>0</v>
      </c>
      <c r="AS9" s="29">
        <v>0</v>
      </c>
      <c r="AT9" s="29">
        <v>0</v>
      </c>
      <c r="AU9" s="29">
        <v>0</v>
      </c>
      <c r="AV9" s="29">
        <v>0</v>
      </c>
      <c r="AW9" s="29">
        <v>0</v>
      </c>
      <c r="AX9" s="29">
        <v>0</v>
      </c>
      <c r="AY9" s="29">
        <v>1.3073870610283253E-3</v>
      </c>
      <c r="AZ9" s="29">
        <v>6.9565256596719662E-3</v>
      </c>
      <c r="BA9" s="29">
        <v>0</v>
      </c>
      <c r="BB9" s="29">
        <v>0</v>
      </c>
      <c r="BC9" s="29">
        <v>0</v>
      </c>
      <c r="BD9" s="29">
        <v>1.8874099216199403</v>
      </c>
      <c r="BK9" s="3">
        <v>0</v>
      </c>
      <c r="BL9" s="3">
        <v>29.436614034047491</v>
      </c>
      <c r="BM9" s="3">
        <v>93.693058937356753</v>
      </c>
    </row>
    <row r="10" spans="1:74" ht="15.75" customHeight="1" x14ac:dyDescent="0.25">
      <c r="A10" s="3" t="s">
        <v>1008</v>
      </c>
      <c r="B10" s="3" t="s">
        <v>900</v>
      </c>
      <c r="C10" s="3" t="s">
        <v>987</v>
      </c>
      <c r="D10" s="27" t="s">
        <v>900</v>
      </c>
      <c r="E10" s="27" t="s">
        <v>989</v>
      </c>
      <c r="F10" s="31">
        <v>1981</v>
      </c>
      <c r="G10" s="31">
        <v>1981</v>
      </c>
      <c r="H10" s="31">
        <v>125</v>
      </c>
      <c r="I10" s="27">
        <v>0</v>
      </c>
      <c r="J10" s="27">
        <v>22.599999427795399</v>
      </c>
      <c r="L10" s="27">
        <v>0</v>
      </c>
      <c r="P10" s="29">
        <v>0</v>
      </c>
      <c r="AB10" s="27">
        <v>200</v>
      </c>
      <c r="AC10" s="27">
        <v>0</v>
      </c>
      <c r="AD10" s="27">
        <v>0</v>
      </c>
      <c r="AE10" s="27">
        <v>0</v>
      </c>
      <c r="AF10" s="27">
        <v>7.2304640716153274</v>
      </c>
      <c r="AG10" s="27">
        <v>0.78080420375884629</v>
      </c>
      <c r="AH10" s="27">
        <v>0</v>
      </c>
      <c r="AI10" s="31">
        <v>0</v>
      </c>
      <c r="AJ10" s="29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31">
        <v>9.2314512348974915</v>
      </c>
      <c r="AQ10" s="31">
        <v>0</v>
      </c>
      <c r="AR10" s="29">
        <v>0</v>
      </c>
      <c r="AS10" s="29">
        <v>0</v>
      </c>
      <c r="AT10" s="29">
        <v>0</v>
      </c>
      <c r="AU10" s="29">
        <v>0</v>
      </c>
      <c r="AV10" s="29">
        <v>0</v>
      </c>
      <c r="AW10" s="29">
        <v>0</v>
      </c>
      <c r="AX10" s="29">
        <v>0</v>
      </c>
      <c r="AY10" s="29">
        <v>1.3804562932346778E-3</v>
      </c>
      <c r="AZ10" s="29">
        <v>8.3369819529066445E-3</v>
      </c>
      <c r="BA10" s="29">
        <v>0</v>
      </c>
      <c r="BB10" s="29">
        <v>0</v>
      </c>
      <c r="BC10" s="29">
        <v>0</v>
      </c>
      <c r="BD10" s="29">
        <v>1.8887903779131752</v>
      </c>
      <c r="BK10" s="3">
        <v>0</v>
      </c>
      <c r="BL10" s="3">
        <v>28.655809830288643</v>
      </c>
      <c r="BM10" s="3">
        <v>93.693058937356753</v>
      </c>
    </row>
    <row r="11" spans="1:74" ht="15.75" customHeight="1" x14ac:dyDescent="0.25">
      <c r="A11" s="3" t="s">
        <v>1008</v>
      </c>
      <c r="B11" s="3" t="s">
        <v>900</v>
      </c>
      <c r="C11" s="3" t="s">
        <v>987</v>
      </c>
      <c r="D11" s="27" t="s">
        <v>900</v>
      </c>
      <c r="E11" s="27" t="s">
        <v>989</v>
      </c>
      <c r="F11" s="31">
        <v>1981</v>
      </c>
      <c r="G11" s="31">
        <v>1981</v>
      </c>
      <c r="H11" s="31">
        <v>126</v>
      </c>
      <c r="I11" s="27">
        <v>0</v>
      </c>
      <c r="J11" s="27">
        <v>23.750000476837201</v>
      </c>
      <c r="L11" s="27">
        <v>0</v>
      </c>
      <c r="P11" s="29">
        <v>0</v>
      </c>
      <c r="AB11" s="27">
        <v>200</v>
      </c>
      <c r="AC11" s="27">
        <v>0</v>
      </c>
      <c r="AD11" s="27">
        <v>0</v>
      </c>
      <c r="AE11" s="27">
        <v>0</v>
      </c>
      <c r="AF11" s="27">
        <v>7.476887454540754</v>
      </c>
      <c r="AG11" s="27">
        <v>0.76795652675394632</v>
      </c>
      <c r="AH11" s="27">
        <v>0</v>
      </c>
      <c r="AI11" s="31">
        <v>0</v>
      </c>
      <c r="AJ11" s="29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31">
        <v>9.9994077616514385</v>
      </c>
      <c r="AQ11" s="31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1.4998106974023618E-3</v>
      </c>
      <c r="AZ11" s="29">
        <v>9.8367926503090067E-3</v>
      </c>
      <c r="BA11" s="29">
        <v>0</v>
      </c>
      <c r="BB11" s="29">
        <v>0</v>
      </c>
      <c r="BC11" s="29">
        <v>0</v>
      </c>
      <c r="BD11" s="29">
        <v>1.8902901886105776</v>
      </c>
      <c r="BK11" s="3">
        <v>0</v>
      </c>
      <c r="BL11" s="3">
        <v>27.887853303534698</v>
      </c>
      <c r="BM11" s="3">
        <v>93.693058937356753</v>
      </c>
    </row>
    <row r="12" spans="1:74" ht="15.75" customHeight="1" x14ac:dyDescent="0.25">
      <c r="A12" s="3" t="s">
        <v>1008</v>
      </c>
      <c r="B12" s="3" t="s">
        <v>900</v>
      </c>
      <c r="C12" s="3" t="s">
        <v>987</v>
      </c>
      <c r="D12" s="27" t="s">
        <v>900</v>
      </c>
      <c r="E12" s="27" t="s">
        <v>989</v>
      </c>
      <c r="F12" s="31">
        <v>1981</v>
      </c>
      <c r="G12" s="31">
        <v>1981</v>
      </c>
      <c r="H12" s="31">
        <v>127</v>
      </c>
      <c r="I12" s="27">
        <v>0</v>
      </c>
      <c r="J12" s="27">
        <v>22.300000190734899</v>
      </c>
      <c r="L12" s="27">
        <v>0</v>
      </c>
      <c r="P12" s="29">
        <v>0</v>
      </c>
      <c r="AB12" s="27">
        <v>200</v>
      </c>
      <c r="AC12" s="27">
        <v>0.40000000596046398</v>
      </c>
      <c r="AD12" s="27">
        <v>0</v>
      </c>
      <c r="AE12" s="27">
        <v>0</v>
      </c>
      <c r="AF12" s="27">
        <v>4.5421729438992662</v>
      </c>
      <c r="AG12" s="27">
        <v>0.44576367774434505</v>
      </c>
      <c r="AH12" s="27">
        <v>0</v>
      </c>
      <c r="AI12" s="31">
        <v>0</v>
      </c>
      <c r="AJ12" s="29">
        <v>0</v>
      </c>
      <c r="AK12" s="31">
        <v>0</v>
      </c>
      <c r="AL12" s="31">
        <v>0.40000000596046398</v>
      </c>
      <c r="AM12" s="31">
        <v>0</v>
      </c>
      <c r="AN12" s="31">
        <v>0</v>
      </c>
      <c r="AO12" s="31">
        <v>0</v>
      </c>
      <c r="AP12" s="31">
        <v>10.445171439395784</v>
      </c>
      <c r="AQ12" s="31">
        <v>0</v>
      </c>
      <c r="AR12" s="29">
        <v>0</v>
      </c>
      <c r="AS12" s="29">
        <v>0</v>
      </c>
      <c r="AT12" s="29">
        <v>0</v>
      </c>
      <c r="AU12" s="29">
        <v>0</v>
      </c>
      <c r="AV12" s="29">
        <v>0</v>
      </c>
      <c r="AW12" s="29">
        <v>0</v>
      </c>
      <c r="AX12" s="29">
        <v>0</v>
      </c>
      <c r="AY12" s="29">
        <v>1.3501917985509467E-3</v>
      </c>
      <c r="AZ12" s="29">
        <v>1.1186984448859953E-2</v>
      </c>
      <c r="BA12" s="29">
        <v>0</v>
      </c>
      <c r="BB12" s="29">
        <v>0</v>
      </c>
      <c r="BC12" s="29">
        <v>0</v>
      </c>
      <c r="BD12" s="29">
        <v>1.8916403804091284</v>
      </c>
      <c r="BK12" s="3">
        <v>0</v>
      </c>
      <c r="BL12" s="3">
        <v>27.842089631750817</v>
      </c>
      <c r="BM12" s="3">
        <v>93.693058937356753</v>
      </c>
    </row>
    <row r="13" spans="1:74" ht="15.75" customHeight="1" x14ac:dyDescent="0.25">
      <c r="A13" s="3" t="s">
        <v>1008</v>
      </c>
      <c r="B13" s="3" t="s">
        <v>900</v>
      </c>
      <c r="C13" s="3" t="s">
        <v>987</v>
      </c>
      <c r="D13" s="27" t="s">
        <v>900</v>
      </c>
      <c r="E13" s="27" t="s">
        <v>989</v>
      </c>
      <c r="F13" s="31">
        <v>1981</v>
      </c>
      <c r="G13" s="31">
        <v>1981</v>
      </c>
      <c r="H13" s="31">
        <v>128</v>
      </c>
      <c r="I13" s="27">
        <v>0</v>
      </c>
      <c r="J13" s="27">
        <v>18.500000476837201</v>
      </c>
      <c r="L13" s="27">
        <v>0</v>
      </c>
      <c r="P13" s="29">
        <v>0</v>
      </c>
      <c r="AB13" s="27">
        <v>200</v>
      </c>
      <c r="AC13" s="27">
        <v>0</v>
      </c>
      <c r="AD13" s="27">
        <v>0</v>
      </c>
      <c r="AE13" s="27">
        <v>0</v>
      </c>
      <c r="AF13" s="27">
        <v>6.9477108945291306</v>
      </c>
      <c r="AG13" s="27">
        <v>0.65397459961580784</v>
      </c>
      <c r="AH13" s="27">
        <v>0</v>
      </c>
      <c r="AI13" s="31">
        <v>0</v>
      </c>
      <c r="AJ13" s="29">
        <v>0</v>
      </c>
      <c r="AK13" s="31">
        <v>0</v>
      </c>
      <c r="AL13" s="31">
        <v>0.40000000596046398</v>
      </c>
      <c r="AM13" s="31">
        <v>0</v>
      </c>
      <c r="AN13" s="31">
        <v>0</v>
      </c>
      <c r="AO13" s="31">
        <v>0</v>
      </c>
      <c r="AP13" s="31">
        <v>11.099146039011591</v>
      </c>
      <c r="AQ13" s="31">
        <v>0</v>
      </c>
      <c r="AR13" s="29">
        <v>0</v>
      </c>
      <c r="AS13" s="29">
        <v>0</v>
      </c>
      <c r="AT13" s="29">
        <v>0</v>
      </c>
      <c r="AU13" s="29">
        <v>0</v>
      </c>
      <c r="AV13" s="29">
        <v>0</v>
      </c>
      <c r="AW13" s="29">
        <v>0</v>
      </c>
      <c r="AX13" s="29">
        <v>0</v>
      </c>
      <c r="AY13" s="29">
        <v>1.0203397180587775E-3</v>
      </c>
      <c r="AZ13" s="29">
        <v>1.2207324166918731E-2</v>
      </c>
      <c r="BA13" s="29">
        <v>0</v>
      </c>
      <c r="BB13" s="29">
        <v>0</v>
      </c>
      <c r="BC13" s="29">
        <v>0</v>
      </c>
      <c r="BD13" s="29">
        <v>1.8926607201271874</v>
      </c>
      <c r="BK13" s="3">
        <v>0</v>
      </c>
      <c r="BL13" s="3">
        <v>27.188115032135009</v>
      </c>
      <c r="BM13" s="3">
        <v>93.693058937356753</v>
      </c>
    </row>
    <row r="14" spans="1:74" ht="15.75" customHeight="1" x14ac:dyDescent="0.25">
      <c r="A14" s="3" t="s">
        <v>1008</v>
      </c>
      <c r="B14" s="3" t="s">
        <v>900</v>
      </c>
      <c r="C14" s="3" t="s">
        <v>987</v>
      </c>
      <c r="D14" s="27" t="s">
        <v>900</v>
      </c>
      <c r="E14" s="27" t="s">
        <v>989</v>
      </c>
      <c r="F14" s="31">
        <v>1981</v>
      </c>
      <c r="G14" s="31">
        <v>1981</v>
      </c>
      <c r="H14" s="31">
        <v>129</v>
      </c>
      <c r="I14" s="27">
        <v>0</v>
      </c>
      <c r="J14" s="27">
        <v>14.5</v>
      </c>
      <c r="L14" s="27">
        <v>0</v>
      </c>
      <c r="P14" s="29">
        <v>0</v>
      </c>
      <c r="AB14" s="27">
        <v>200</v>
      </c>
      <c r="AC14" s="27">
        <v>0.40000000596046398</v>
      </c>
      <c r="AD14" s="27">
        <v>0</v>
      </c>
      <c r="AE14" s="27">
        <v>0</v>
      </c>
      <c r="AF14" s="27">
        <v>5.608518338825478</v>
      </c>
      <c r="AG14" s="27">
        <v>0.50797577724367204</v>
      </c>
      <c r="AH14" s="27">
        <v>0</v>
      </c>
      <c r="AI14" s="31">
        <v>0</v>
      </c>
      <c r="AJ14" s="29">
        <v>0</v>
      </c>
      <c r="AK14" s="31">
        <v>0</v>
      </c>
      <c r="AL14" s="31">
        <v>0.80000001192092796</v>
      </c>
      <c r="AM14" s="31">
        <v>0</v>
      </c>
      <c r="AN14" s="31">
        <v>0</v>
      </c>
      <c r="AO14" s="31">
        <v>0</v>
      </c>
      <c r="AP14" s="31">
        <v>11.607121816255264</v>
      </c>
      <c r="AQ14" s="31">
        <v>0</v>
      </c>
      <c r="AR14" s="29">
        <v>0</v>
      </c>
      <c r="AS14" s="29">
        <v>0</v>
      </c>
      <c r="AT14" s="29">
        <v>0</v>
      </c>
      <c r="AU14" s="29">
        <v>0</v>
      </c>
      <c r="AV14" s="29">
        <v>0</v>
      </c>
      <c r="AW14" s="29">
        <v>0</v>
      </c>
      <c r="AX14" s="29">
        <v>0</v>
      </c>
      <c r="AY14" s="29">
        <v>7.5369188988674124E-4</v>
      </c>
      <c r="AZ14" s="29">
        <v>1.2961016056805472E-2</v>
      </c>
      <c r="BA14" s="29">
        <v>0</v>
      </c>
      <c r="BB14" s="29">
        <v>0</v>
      </c>
      <c r="BC14" s="29">
        <v>0</v>
      </c>
      <c r="BD14" s="29">
        <v>1.8934144120170742</v>
      </c>
      <c r="BK14" s="3">
        <v>0</v>
      </c>
      <c r="BL14" s="3">
        <v>27.080139260851801</v>
      </c>
      <c r="BM14" s="3">
        <v>93.693058937356753</v>
      </c>
    </row>
    <row r="15" spans="1:74" ht="15.75" customHeight="1" x14ac:dyDescent="0.25">
      <c r="A15" s="3" t="s">
        <v>1008</v>
      </c>
      <c r="B15" s="3" t="s">
        <v>900</v>
      </c>
      <c r="C15" s="3" t="s">
        <v>987</v>
      </c>
      <c r="D15" s="27" t="s">
        <v>900</v>
      </c>
      <c r="E15" s="27" t="s">
        <v>989</v>
      </c>
      <c r="F15" s="31">
        <v>1981</v>
      </c>
      <c r="G15" s="31">
        <v>1981</v>
      </c>
      <c r="H15" s="31">
        <v>130</v>
      </c>
      <c r="I15" s="27">
        <v>0</v>
      </c>
      <c r="J15" s="27">
        <v>14.300000190734851</v>
      </c>
      <c r="L15" s="27">
        <v>0</v>
      </c>
      <c r="P15" s="29">
        <v>0</v>
      </c>
      <c r="AB15" s="27">
        <v>200</v>
      </c>
      <c r="AC15" s="27">
        <v>0</v>
      </c>
      <c r="AD15" s="27">
        <v>0</v>
      </c>
      <c r="AE15" s="27">
        <v>0</v>
      </c>
      <c r="AF15" s="27">
        <v>6.3548577886215938</v>
      </c>
      <c r="AG15" s="27">
        <v>0.55535879220648632</v>
      </c>
      <c r="AH15" s="27">
        <v>0</v>
      </c>
      <c r="AI15" s="31">
        <v>0</v>
      </c>
      <c r="AJ15" s="29">
        <v>0</v>
      </c>
      <c r="AK15" s="31">
        <v>0</v>
      </c>
      <c r="AL15" s="31">
        <v>0.80000001192092796</v>
      </c>
      <c r="AM15" s="31">
        <v>0</v>
      </c>
      <c r="AN15" s="31">
        <v>0</v>
      </c>
      <c r="AO15" s="31">
        <v>0</v>
      </c>
      <c r="AP15" s="31">
        <v>12.162480608461751</v>
      </c>
      <c r="AQ15" s="31">
        <v>0</v>
      </c>
      <c r="AR15" s="29">
        <v>0</v>
      </c>
      <c r="AS15" s="29">
        <v>0</v>
      </c>
      <c r="AT15" s="29">
        <v>0</v>
      </c>
      <c r="AU15" s="29">
        <v>0</v>
      </c>
      <c r="AV15" s="29">
        <v>0</v>
      </c>
      <c r="AW15" s="29">
        <v>0</v>
      </c>
      <c r="AX15" s="29">
        <v>0</v>
      </c>
      <c r="AY15" s="29">
        <v>7.4212816444960952E-4</v>
      </c>
      <c r="AZ15" s="29">
        <v>1.3703144221255082E-2</v>
      </c>
      <c r="BA15" s="29">
        <v>0</v>
      </c>
      <c r="BB15" s="29">
        <v>0</v>
      </c>
      <c r="BC15" s="29">
        <v>0</v>
      </c>
      <c r="BD15" s="29">
        <v>1.8941565401815237</v>
      </c>
      <c r="BK15" s="3">
        <v>0</v>
      </c>
      <c r="BL15" s="3">
        <v>26.524780468645314</v>
      </c>
      <c r="BM15" s="3">
        <v>93.693058937356753</v>
      </c>
    </row>
    <row r="16" spans="1:74" ht="15.75" customHeight="1" x14ac:dyDescent="0.25">
      <c r="A16" s="3" t="s">
        <v>1008</v>
      </c>
      <c r="B16" s="3" t="s">
        <v>900</v>
      </c>
      <c r="C16" s="3" t="s">
        <v>987</v>
      </c>
      <c r="D16" s="27" t="s">
        <v>900</v>
      </c>
      <c r="E16" s="27" t="s">
        <v>989</v>
      </c>
      <c r="F16" s="31">
        <v>1981</v>
      </c>
      <c r="G16" s="31">
        <v>1981</v>
      </c>
      <c r="H16" s="31">
        <v>131</v>
      </c>
      <c r="I16" s="27">
        <v>0</v>
      </c>
      <c r="J16" s="27">
        <v>18.29999971389768</v>
      </c>
      <c r="L16" s="27">
        <v>0</v>
      </c>
      <c r="P16" s="29">
        <v>0</v>
      </c>
      <c r="AB16" s="27">
        <v>200</v>
      </c>
      <c r="AC16" s="27">
        <v>0</v>
      </c>
      <c r="AD16" s="27">
        <v>0</v>
      </c>
      <c r="AE16" s="27">
        <v>0</v>
      </c>
      <c r="AF16" s="27">
        <v>6.8890533743429376</v>
      </c>
      <c r="AG16" s="27">
        <v>0.58228747706197292</v>
      </c>
      <c r="AH16" s="27">
        <v>0</v>
      </c>
      <c r="AI16" s="31">
        <v>0</v>
      </c>
      <c r="AJ16" s="29">
        <v>0</v>
      </c>
      <c r="AK16" s="31">
        <v>0</v>
      </c>
      <c r="AL16" s="31">
        <v>0.80000001192092796</v>
      </c>
      <c r="AM16" s="31">
        <v>0</v>
      </c>
      <c r="AN16" s="31">
        <v>0</v>
      </c>
      <c r="AO16" s="31">
        <v>0</v>
      </c>
      <c r="AP16" s="31">
        <v>12.744768085523724</v>
      </c>
      <c r="AQ16" s="31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1.0048774595743889E-3</v>
      </c>
      <c r="AZ16" s="29">
        <v>1.4708021680829471E-2</v>
      </c>
      <c r="BA16" s="29">
        <v>0</v>
      </c>
      <c r="BB16" s="29">
        <v>0</v>
      </c>
      <c r="BC16" s="29">
        <v>0</v>
      </c>
      <c r="BD16" s="29">
        <v>1.895161417641098</v>
      </c>
      <c r="BK16" s="3">
        <v>0</v>
      </c>
      <c r="BL16" s="3">
        <v>25.942492991583343</v>
      </c>
      <c r="BM16" s="3">
        <v>93.693058937356753</v>
      </c>
    </row>
    <row r="17" spans="1:65" ht="15.75" customHeight="1" x14ac:dyDescent="0.25">
      <c r="A17" s="3" t="s">
        <v>1008</v>
      </c>
      <c r="B17" s="3" t="s">
        <v>900</v>
      </c>
      <c r="C17" s="3" t="s">
        <v>987</v>
      </c>
      <c r="D17" s="27" t="s">
        <v>900</v>
      </c>
      <c r="E17" s="27" t="s">
        <v>989</v>
      </c>
      <c r="F17" s="31">
        <v>1981</v>
      </c>
      <c r="G17" s="31">
        <v>1981</v>
      </c>
      <c r="H17" s="31">
        <v>132</v>
      </c>
      <c r="I17" s="27">
        <v>0</v>
      </c>
      <c r="J17" s="27">
        <v>22.550000190734899</v>
      </c>
      <c r="L17" s="27">
        <v>0</v>
      </c>
      <c r="P17" s="29">
        <v>0</v>
      </c>
      <c r="AB17" s="27">
        <v>200</v>
      </c>
      <c r="AC17" s="27">
        <v>0</v>
      </c>
      <c r="AD17" s="27">
        <v>0</v>
      </c>
      <c r="AE17" s="27">
        <v>0</v>
      </c>
      <c r="AF17" s="27">
        <v>7.5528786138228687</v>
      </c>
      <c r="AG17" s="27">
        <v>0.61873920908015057</v>
      </c>
      <c r="AH17" s="27">
        <v>0</v>
      </c>
      <c r="AI17" s="31">
        <v>0</v>
      </c>
      <c r="AJ17" s="29">
        <v>0</v>
      </c>
      <c r="AK17" s="31">
        <v>0</v>
      </c>
      <c r="AL17" s="31">
        <v>0.80000001192092796</v>
      </c>
      <c r="AM17" s="31">
        <v>0</v>
      </c>
      <c r="AN17" s="31">
        <v>0</v>
      </c>
      <c r="AO17" s="31">
        <v>0</v>
      </c>
      <c r="AP17" s="31">
        <v>13.363507294603874</v>
      </c>
      <c r="AQ17" s="31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29">
        <v>0</v>
      </c>
      <c r="AX17" s="29">
        <v>0</v>
      </c>
      <c r="AY17" s="29">
        <v>1.3740539553523925E-3</v>
      </c>
      <c r="AZ17" s="29">
        <v>1.6082075636181862E-2</v>
      </c>
      <c r="BA17" s="29">
        <v>0</v>
      </c>
      <c r="BB17" s="29">
        <v>0</v>
      </c>
      <c r="BC17" s="29">
        <v>0</v>
      </c>
      <c r="BD17" s="29">
        <v>1.8965354715964504</v>
      </c>
      <c r="BK17" s="3">
        <v>0</v>
      </c>
      <c r="BL17" s="3">
        <v>25.323753782503193</v>
      </c>
      <c r="BM17" s="3">
        <v>93.693058937356753</v>
      </c>
    </row>
    <row r="18" spans="1:65" ht="15.75" customHeight="1" x14ac:dyDescent="0.25">
      <c r="A18" s="3" t="s">
        <v>1008</v>
      </c>
      <c r="B18" s="3" t="s">
        <v>900</v>
      </c>
      <c r="C18" s="3" t="s">
        <v>987</v>
      </c>
      <c r="D18" s="27" t="s">
        <v>900</v>
      </c>
      <c r="E18" s="27" t="s">
        <v>989</v>
      </c>
      <c r="F18" s="31">
        <v>1981</v>
      </c>
      <c r="G18" s="31">
        <v>1981</v>
      </c>
      <c r="H18" s="31">
        <v>133</v>
      </c>
      <c r="I18" s="27">
        <v>0</v>
      </c>
      <c r="J18" s="27">
        <v>23.799999713897698</v>
      </c>
      <c r="L18" s="27">
        <v>0</v>
      </c>
      <c r="P18" s="29">
        <v>0</v>
      </c>
      <c r="AB18" s="27">
        <v>200</v>
      </c>
      <c r="AC18" s="27">
        <v>0</v>
      </c>
      <c r="AD18" s="27">
        <v>0</v>
      </c>
      <c r="AE18" s="27">
        <v>0</v>
      </c>
      <c r="AF18" s="27">
        <v>7.733226028953248</v>
      </c>
      <c r="AG18" s="27">
        <v>0.61513897787232308</v>
      </c>
      <c r="AH18" s="27">
        <v>0</v>
      </c>
      <c r="AI18" s="31">
        <v>0</v>
      </c>
      <c r="AJ18" s="29">
        <v>0</v>
      </c>
      <c r="AK18" s="31">
        <v>0</v>
      </c>
      <c r="AL18" s="31">
        <v>0.80000001192092796</v>
      </c>
      <c r="AM18" s="31">
        <v>0</v>
      </c>
      <c r="AN18" s="31">
        <v>0</v>
      </c>
      <c r="AO18" s="31">
        <v>0</v>
      </c>
      <c r="AP18" s="31">
        <v>13.978646272476198</v>
      </c>
      <c r="AQ18" s="31">
        <v>0</v>
      </c>
      <c r="AR18" s="29">
        <v>0</v>
      </c>
      <c r="AS18" s="29">
        <v>0</v>
      </c>
      <c r="AT18" s="29">
        <v>0</v>
      </c>
      <c r="AU18" s="29">
        <v>0</v>
      </c>
      <c r="AV18" s="29">
        <v>0</v>
      </c>
      <c r="AW18" s="29">
        <v>0</v>
      </c>
      <c r="AX18" s="29">
        <v>0</v>
      </c>
      <c r="AY18" s="29">
        <v>1.5036832648701801E-3</v>
      </c>
      <c r="AZ18" s="29">
        <v>1.7585758901052042E-2</v>
      </c>
      <c r="BA18" s="29">
        <v>0</v>
      </c>
      <c r="BB18" s="29">
        <v>0</v>
      </c>
      <c r="BC18" s="29">
        <v>0</v>
      </c>
      <c r="BD18" s="29">
        <v>1.8980391548613205</v>
      </c>
      <c r="BK18" s="3">
        <v>0</v>
      </c>
      <c r="BL18" s="3">
        <v>24.708614804630869</v>
      </c>
      <c r="BM18" s="3">
        <v>93.693058937356753</v>
      </c>
    </row>
    <row r="19" spans="1:65" ht="15.75" customHeight="1" x14ac:dyDescent="0.25">
      <c r="A19" s="3" t="s">
        <v>1008</v>
      </c>
      <c r="B19" s="3" t="s">
        <v>900</v>
      </c>
      <c r="C19" s="3" t="s">
        <v>987</v>
      </c>
      <c r="D19" s="27" t="s">
        <v>900</v>
      </c>
      <c r="E19" s="27" t="s">
        <v>989</v>
      </c>
      <c r="F19" s="31">
        <v>1981</v>
      </c>
      <c r="G19" s="31">
        <v>1981</v>
      </c>
      <c r="H19" s="31">
        <v>134</v>
      </c>
      <c r="I19" s="27">
        <v>0</v>
      </c>
      <c r="J19" s="27">
        <v>21.550000190734899</v>
      </c>
      <c r="L19" s="27">
        <v>0</v>
      </c>
      <c r="P19" s="29">
        <v>0</v>
      </c>
      <c r="AB19" s="27">
        <v>200</v>
      </c>
      <c r="AC19" s="27">
        <v>0</v>
      </c>
      <c r="AD19" s="27">
        <v>0</v>
      </c>
      <c r="AE19" s="27">
        <v>0</v>
      </c>
      <c r="AF19" s="27">
        <v>6.902208674111197</v>
      </c>
      <c r="AG19" s="27">
        <v>0.53398508144225243</v>
      </c>
      <c r="AH19" s="27">
        <v>0</v>
      </c>
      <c r="AI19" s="31">
        <v>0</v>
      </c>
      <c r="AJ19" s="29">
        <v>0</v>
      </c>
      <c r="AK19" s="31">
        <v>0</v>
      </c>
      <c r="AL19" s="31">
        <v>0.80000001192092796</v>
      </c>
      <c r="AM19" s="31">
        <v>0</v>
      </c>
      <c r="AN19" s="31">
        <v>0</v>
      </c>
      <c r="AO19" s="31">
        <v>0</v>
      </c>
      <c r="AP19" s="31">
        <v>14.512631353918451</v>
      </c>
      <c r="AQ19" s="31">
        <v>0</v>
      </c>
      <c r="AR19" s="29">
        <v>0</v>
      </c>
      <c r="AS19" s="29">
        <v>0</v>
      </c>
      <c r="AT19" s="29">
        <v>0</v>
      </c>
      <c r="AU19" s="29">
        <v>0</v>
      </c>
      <c r="AV19" s="29">
        <v>0</v>
      </c>
      <c r="AW19" s="29">
        <v>0</v>
      </c>
      <c r="AX19" s="29">
        <v>0</v>
      </c>
      <c r="AY19" s="29">
        <v>1.277056409616253E-3</v>
      </c>
      <c r="AZ19" s="29">
        <v>1.8862815310668295E-2</v>
      </c>
      <c r="BA19" s="29">
        <v>0</v>
      </c>
      <c r="BB19" s="29">
        <v>0</v>
      </c>
      <c r="BC19" s="29">
        <v>0</v>
      </c>
      <c r="BD19" s="29">
        <v>1.899316211270937</v>
      </c>
      <c r="BK19" s="3">
        <v>0</v>
      </c>
      <c r="BL19" s="3">
        <v>24.174629723188616</v>
      </c>
      <c r="BM19" s="3">
        <v>93.693058937356753</v>
      </c>
    </row>
    <row r="20" spans="1:65" ht="15.75" customHeight="1" x14ac:dyDescent="0.25">
      <c r="A20" s="3" t="s">
        <v>1008</v>
      </c>
      <c r="B20" s="3" t="s">
        <v>900</v>
      </c>
      <c r="C20" s="3" t="s">
        <v>987</v>
      </c>
      <c r="D20" s="27" t="s">
        <v>900</v>
      </c>
      <c r="E20" s="27" t="s">
        <v>989</v>
      </c>
      <c r="F20" s="31">
        <v>1981</v>
      </c>
      <c r="G20" s="31">
        <v>1981</v>
      </c>
      <c r="H20" s="31">
        <v>135</v>
      </c>
      <c r="I20" s="27">
        <v>0</v>
      </c>
      <c r="J20" s="27">
        <v>19.499999523162799</v>
      </c>
      <c r="L20" s="27">
        <v>0</v>
      </c>
      <c r="P20" s="29">
        <v>0</v>
      </c>
      <c r="AB20" s="27">
        <v>200</v>
      </c>
      <c r="AC20" s="27">
        <v>0</v>
      </c>
      <c r="AD20" s="27">
        <v>0</v>
      </c>
      <c r="AE20" s="27">
        <v>0</v>
      </c>
      <c r="AF20" s="27">
        <v>7.1545510993135615</v>
      </c>
      <c r="AG20" s="27">
        <v>0.53912320121513069</v>
      </c>
      <c r="AH20" s="27">
        <v>0</v>
      </c>
      <c r="AI20" s="31">
        <v>0</v>
      </c>
      <c r="AJ20" s="29">
        <v>0</v>
      </c>
      <c r="AK20" s="31">
        <v>0</v>
      </c>
      <c r="AL20" s="31">
        <v>0.80000001192092796</v>
      </c>
      <c r="AM20" s="31">
        <v>0</v>
      </c>
      <c r="AN20" s="31">
        <v>0</v>
      </c>
      <c r="AO20" s="31">
        <v>0</v>
      </c>
      <c r="AP20" s="31">
        <v>15.051754555133581</v>
      </c>
      <c r="AQ20" s="31">
        <v>0</v>
      </c>
      <c r="AR20" s="29">
        <v>0</v>
      </c>
      <c r="AS20" s="29">
        <v>0</v>
      </c>
      <c r="AT20" s="29">
        <v>0</v>
      </c>
      <c r="AU20" s="29">
        <v>0</v>
      </c>
      <c r="AV20" s="29">
        <v>0</v>
      </c>
      <c r="AW20" s="29">
        <v>0</v>
      </c>
      <c r="AX20" s="29">
        <v>0</v>
      </c>
      <c r="AY20" s="29">
        <v>1.0980189524443266E-3</v>
      </c>
      <c r="AZ20" s="29">
        <v>1.9960834263112622E-2</v>
      </c>
      <c r="BA20" s="29">
        <v>0</v>
      </c>
      <c r="BB20" s="29">
        <v>0</v>
      </c>
      <c r="BC20" s="29">
        <v>0</v>
      </c>
      <c r="BD20" s="29">
        <v>1.9004142302233813</v>
      </c>
      <c r="BK20" s="3">
        <v>0</v>
      </c>
      <c r="BL20" s="3">
        <v>23.635506521973486</v>
      </c>
      <c r="BM20" s="3">
        <v>93.693058937356753</v>
      </c>
    </row>
    <row r="21" spans="1:65" ht="15.75" customHeight="1" x14ac:dyDescent="0.25">
      <c r="A21" s="3" t="s">
        <v>1008</v>
      </c>
      <c r="B21" s="3" t="s">
        <v>900</v>
      </c>
      <c r="C21" s="3" t="s">
        <v>987</v>
      </c>
      <c r="D21" s="27" t="s">
        <v>900</v>
      </c>
      <c r="E21" s="27" t="s">
        <v>989</v>
      </c>
      <c r="F21" s="31">
        <v>1981</v>
      </c>
      <c r="G21" s="31">
        <v>1981</v>
      </c>
      <c r="H21" s="31">
        <v>136</v>
      </c>
      <c r="I21" s="27">
        <v>0</v>
      </c>
      <c r="J21" s="27">
        <v>20.699999809265101</v>
      </c>
      <c r="L21" s="27">
        <v>0</v>
      </c>
      <c r="P21" s="29">
        <v>0</v>
      </c>
      <c r="AB21" s="27">
        <v>200</v>
      </c>
      <c r="AC21" s="27">
        <v>0</v>
      </c>
      <c r="AD21" s="27">
        <v>0</v>
      </c>
      <c r="AE21" s="27">
        <v>0</v>
      </c>
      <c r="AF21" s="27">
        <v>7.0754199843205789</v>
      </c>
      <c r="AG21" s="27">
        <v>0.51998980943502959</v>
      </c>
      <c r="AH21" s="27">
        <v>0</v>
      </c>
      <c r="AI21" s="31">
        <v>0</v>
      </c>
      <c r="AJ21" s="29">
        <v>0</v>
      </c>
      <c r="AK21" s="31">
        <v>0</v>
      </c>
      <c r="AL21" s="31">
        <v>0.80000001192092796</v>
      </c>
      <c r="AM21" s="31">
        <v>0</v>
      </c>
      <c r="AN21" s="31">
        <v>0</v>
      </c>
      <c r="AO21" s="31">
        <v>0</v>
      </c>
      <c r="AP21" s="31">
        <v>15.571744364568611</v>
      </c>
      <c r="AQ21" s="31">
        <v>0</v>
      </c>
      <c r="AR21" s="29">
        <v>0</v>
      </c>
      <c r="AS21" s="29">
        <v>0</v>
      </c>
      <c r="AT21" s="29">
        <v>0</v>
      </c>
      <c r="AU21" s="29">
        <v>0</v>
      </c>
      <c r="AV21" s="29">
        <v>0</v>
      </c>
      <c r="AW21" s="29">
        <v>0</v>
      </c>
      <c r="AX21" s="29">
        <v>0</v>
      </c>
      <c r="AY21" s="29">
        <v>1.1995467889747752E-3</v>
      </c>
      <c r="AZ21" s="29">
        <v>2.1160381052087396E-2</v>
      </c>
      <c r="BA21" s="29">
        <v>0</v>
      </c>
      <c r="BB21" s="29">
        <v>0</v>
      </c>
      <c r="BC21" s="29">
        <v>0</v>
      </c>
      <c r="BD21" s="29">
        <v>1.901613777012356</v>
      </c>
      <c r="BK21" s="3">
        <v>0</v>
      </c>
      <c r="BL21" s="3">
        <v>23.115516712538458</v>
      </c>
      <c r="BM21" s="3">
        <v>93.693058937356753</v>
      </c>
    </row>
    <row r="22" spans="1:65" ht="15.75" customHeight="1" x14ac:dyDescent="0.25">
      <c r="A22" s="3" t="s">
        <v>1008</v>
      </c>
      <c r="B22" s="3" t="s">
        <v>900</v>
      </c>
      <c r="C22" s="3" t="s">
        <v>987</v>
      </c>
      <c r="D22" s="27" t="s">
        <v>900</v>
      </c>
      <c r="E22" s="27" t="s">
        <v>989</v>
      </c>
      <c r="F22" s="31">
        <v>1981</v>
      </c>
      <c r="G22" s="31">
        <v>1981</v>
      </c>
      <c r="H22" s="31">
        <v>137</v>
      </c>
      <c r="I22" s="27">
        <v>0</v>
      </c>
      <c r="J22" s="27">
        <v>23.050000667572</v>
      </c>
      <c r="L22" s="27">
        <v>0</v>
      </c>
      <c r="P22" s="29">
        <v>0</v>
      </c>
      <c r="AB22" s="27">
        <v>200</v>
      </c>
      <c r="AC22" s="27">
        <v>0</v>
      </c>
      <c r="AD22" s="27">
        <v>0</v>
      </c>
      <c r="AE22" s="27">
        <v>0</v>
      </c>
      <c r="AF22" s="27">
        <v>7.5811710564259487</v>
      </c>
      <c r="AG22" s="27">
        <v>0.54404355474747024</v>
      </c>
      <c r="AH22" s="27">
        <v>0</v>
      </c>
      <c r="AI22" s="31">
        <v>0</v>
      </c>
      <c r="AJ22" s="29">
        <v>0</v>
      </c>
      <c r="AK22" s="31">
        <v>0</v>
      </c>
      <c r="AL22" s="31">
        <v>0.80000001192092796</v>
      </c>
      <c r="AM22" s="31">
        <v>0</v>
      </c>
      <c r="AN22" s="31">
        <v>0</v>
      </c>
      <c r="AO22" s="31">
        <v>0</v>
      </c>
      <c r="AP22" s="31">
        <v>16.11578791931608</v>
      </c>
      <c r="AQ22" s="31">
        <v>0</v>
      </c>
      <c r="AR22" s="29">
        <v>0</v>
      </c>
      <c r="AS22" s="29">
        <v>0</v>
      </c>
      <c r="AT22" s="29">
        <v>0</v>
      </c>
      <c r="AU22" s="29">
        <v>0</v>
      </c>
      <c r="AV22" s="29">
        <v>0</v>
      </c>
      <c r="AW22" s="29">
        <v>0</v>
      </c>
      <c r="AX22" s="29">
        <v>0</v>
      </c>
      <c r="AY22" s="29">
        <v>1.4235336047089722E-3</v>
      </c>
      <c r="AZ22" s="29">
        <v>2.2583914656796367E-2</v>
      </c>
      <c r="BA22" s="29">
        <v>0</v>
      </c>
      <c r="BB22" s="29">
        <v>0</v>
      </c>
      <c r="BC22" s="29">
        <v>0</v>
      </c>
      <c r="BD22" s="29">
        <v>1.9030373106170648</v>
      </c>
      <c r="BK22" s="3">
        <v>0</v>
      </c>
      <c r="BL22" s="3">
        <v>22.571473157790987</v>
      </c>
      <c r="BM22" s="3">
        <v>93.693058937356753</v>
      </c>
    </row>
    <row r="23" spans="1:65" ht="15.75" customHeight="1" x14ac:dyDescent="0.25">
      <c r="A23" s="3" t="s">
        <v>1008</v>
      </c>
      <c r="B23" s="3" t="s">
        <v>900</v>
      </c>
      <c r="C23" s="3" t="s">
        <v>987</v>
      </c>
      <c r="D23" s="27" t="s">
        <v>900</v>
      </c>
      <c r="E23" s="27" t="s">
        <v>989</v>
      </c>
      <c r="F23" s="31">
        <v>1981</v>
      </c>
      <c r="G23" s="31">
        <v>1981</v>
      </c>
      <c r="H23" s="31">
        <v>138</v>
      </c>
      <c r="I23" s="27">
        <v>0</v>
      </c>
      <c r="J23" s="27">
        <v>23.25</v>
      </c>
      <c r="L23" s="27">
        <v>0</v>
      </c>
      <c r="P23" s="29">
        <v>0</v>
      </c>
      <c r="AB23" s="27">
        <v>200</v>
      </c>
      <c r="AC23" s="27">
        <v>0</v>
      </c>
      <c r="AD23" s="27">
        <v>0</v>
      </c>
      <c r="AE23" s="27">
        <v>0</v>
      </c>
      <c r="AF23" s="27">
        <v>7.7258820558832131</v>
      </c>
      <c r="AG23" s="27">
        <v>0.54196453195113592</v>
      </c>
      <c r="AH23" s="27">
        <v>0</v>
      </c>
      <c r="AI23" s="31">
        <v>0</v>
      </c>
      <c r="AJ23" s="29">
        <v>0</v>
      </c>
      <c r="AK23" s="31">
        <v>0</v>
      </c>
      <c r="AL23" s="31">
        <v>0.80000001192092796</v>
      </c>
      <c r="AM23" s="31">
        <v>0</v>
      </c>
      <c r="AN23" s="31">
        <v>0</v>
      </c>
      <c r="AO23" s="31">
        <v>0</v>
      </c>
      <c r="AP23" s="31">
        <v>16.657752451267218</v>
      </c>
      <c r="AQ23" s="31">
        <v>0</v>
      </c>
      <c r="AR23" s="29">
        <v>0</v>
      </c>
      <c r="AS23" s="29">
        <v>0</v>
      </c>
      <c r="AT23" s="29">
        <v>0</v>
      </c>
      <c r="AU23" s="29">
        <v>0</v>
      </c>
      <c r="AV23" s="29">
        <v>0</v>
      </c>
      <c r="AW23" s="29">
        <v>0</v>
      </c>
      <c r="AX23" s="29">
        <v>0</v>
      </c>
      <c r="AY23" s="29">
        <v>1.4439903857839122E-3</v>
      </c>
      <c r="AZ23" s="29">
        <v>2.4027905042580278E-2</v>
      </c>
      <c r="BA23" s="29">
        <v>0</v>
      </c>
      <c r="BB23" s="29">
        <v>0</v>
      </c>
      <c r="BC23" s="29">
        <v>0</v>
      </c>
      <c r="BD23" s="29">
        <v>1.904481301002849</v>
      </c>
      <c r="BK23" s="3">
        <v>0</v>
      </c>
      <c r="BL23" s="3">
        <v>22.029508625839849</v>
      </c>
      <c r="BM23" s="3">
        <v>93.693058937356753</v>
      </c>
    </row>
    <row r="24" spans="1:65" ht="15.75" customHeight="1" x14ac:dyDescent="0.25">
      <c r="A24" s="3" t="s">
        <v>1008</v>
      </c>
      <c r="B24" s="3" t="s">
        <v>900</v>
      </c>
      <c r="C24" s="3" t="s">
        <v>987</v>
      </c>
      <c r="D24" s="27" t="s">
        <v>900</v>
      </c>
      <c r="E24" s="27" t="s">
        <v>989</v>
      </c>
      <c r="F24" s="31">
        <v>1981</v>
      </c>
      <c r="G24" s="31">
        <v>1981</v>
      </c>
      <c r="H24" s="31">
        <v>139</v>
      </c>
      <c r="I24" s="27">
        <v>0</v>
      </c>
      <c r="J24" s="27">
        <v>24.500000476837201</v>
      </c>
      <c r="L24" s="27">
        <v>0</v>
      </c>
      <c r="P24" s="29">
        <v>0</v>
      </c>
      <c r="AB24" s="27">
        <v>200</v>
      </c>
      <c r="AC24" s="27">
        <v>0</v>
      </c>
      <c r="AD24" s="27">
        <v>0</v>
      </c>
      <c r="AE24" s="27">
        <v>0</v>
      </c>
      <c r="AF24" s="27">
        <v>8.19722986132453</v>
      </c>
      <c r="AG24" s="27">
        <v>0.56265864943004062</v>
      </c>
      <c r="AH24" s="27">
        <v>0</v>
      </c>
      <c r="AI24" s="31">
        <v>0</v>
      </c>
      <c r="AJ24" s="29">
        <v>0</v>
      </c>
      <c r="AK24" s="31">
        <v>0</v>
      </c>
      <c r="AL24" s="31">
        <v>0.80000001192092796</v>
      </c>
      <c r="AM24" s="31">
        <v>0</v>
      </c>
      <c r="AN24" s="31">
        <v>0</v>
      </c>
      <c r="AO24" s="31">
        <v>0</v>
      </c>
      <c r="AP24" s="31">
        <v>17.220411100697259</v>
      </c>
      <c r="AQ24" s="31">
        <v>0</v>
      </c>
      <c r="AR24" s="29">
        <v>0</v>
      </c>
      <c r="AS24" s="29">
        <v>0</v>
      </c>
      <c r="AT24" s="29">
        <v>0</v>
      </c>
      <c r="AU24" s="29">
        <v>0</v>
      </c>
      <c r="AV24" s="29">
        <v>0</v>
      </c>
      <c r="AW24" s="29">
        <v>0</v>
      </c>
      <c r="AX24" s="29">
        <v>0</v>
      </c>
      <c r="AY24" s="29">
        <v>1.5795175666913019E-3</v>
      </c>
      <c r="AZ24" s="29">
        <v>2.5607422609271579E-2</v>
      </c>
      <c r="BA24" s="29">
        <v>0</v>
      </c>
      <c r="BB24" s="29">
        <v>0</v>
      </c>
      <c r="BC24" s="29">
        <v>0</v>
      </c>
      <c r="BD24" s="29">
        <v>1.9060608185695402</v>
      </c>
      <c r="BK24" s="3">
        <v>0</v>
      </c>
      <c r="BL24" s="3">
        <v>21.466849976409808</v>
      </c>
      <c r="BM24" s="3">
        <v>93.693058937356753</v>
      </c>
    </row>
    <row r="25" spans="1:65" ht="15.75" customHeight="1" x14ac:dyDescent="0.25">
      <c r="A25" s="3" t="s">
        <v>1008</v>
      </c>
      <c r="B25" s="3" t="s">
        <v>900</v>
      </c>
      <c r="C25" s="3" t="s">
        <v>987</v>
      </c>
      <c r="D25" s="27" t="s">
        <v>900</v>
      </c>
      <c r="E25" s="27" t="s">
        <v>989</v>
      </c>
      <c r="F25" s="31">
        <v>1981</v>
      </c>
      <c r="G25" s="31">
        <v>1981</v>
      </c>
      <c r="H25" s="31">
        <v>140</v>
      </c>
      <c r="I25" s="27">
        <v>0</v>
      </c>
      <c r="J25" s="27">
        <v>24</v>
      </c>
      <c r="L25" s="27">
        <v>0</v>
      </c>
      <c r="P25" s="29">
        <v>0</v>
      </c>
      <c r="AB25" s="27">
        <v>200</v>
      </c>
      <c r="AC25" s="27">
        <v>0</v>
      </c>
      <c r="AD25" s="27">
        <v>0</v>
      </c>
      <c r="AE25" s="27">
        <v>0</v>
      </c>
      <c r="AF25" s="27">
        <v>7.5509585426993864</v>
      </c>
      <c r="AG25" s="27">
        <v>0.50760851063077439</v>
      </c>
      <c r="AH25" s="27">
        <v>0</v>
      </c>
      <c r="AI25" s="31">
        <v>0</v>
      </c>
      <c r="AJ25" s="29">
        <v>0</v>
      </c>
      <c r="AK25" s="31">
        <v>0</v>
      </c>
      <c r="AL25" s="31">
        <v>0.80000001192092796</v>
      </c>
      <c r="AM25" s="31">
        <v>0</v>
      </c>
      <c r="AN25" s="31">
        <v>0</v>
      </c>
      <c r="AO25" s="31">
        <v>0</v>
      </c>
      <c r="AP25" s="31">
        <v>17.728019611328033</v>
      </c>
      <c r="AQ25" s="31">
        <v>0</v>
      </c>
      <c r="AR25" s="29">
        <v>0</v>
      </c>
      <c r="AS25" s="29">
        <v>0</v>
      </c>
      <c r="AT25" s="29">
        <v>0</v>
      </c>
      <c r="AU25" s="29">
        <v>0</v>
      </c>
      <c r="AV25" s="29">
        <v>0</v>
      </c>
      <c r="AW25" s="29">
        <v>0</v>
      </c>
      <c r="AX25" s="29">
        <v>0</v>
      </c>
      <c r="AY25" s="29">
        <v>1.5235516586623898E-3</v>
      </c>
      <c r="AZ25" s="29">
        <v>2.7130974267933969E-2</v>
      </c>
      <c r="BA25" s="29">
        <v>0</v>
      </c>
      <c r="BB25" s="29">
        <v>0</v>
      </c>
      <c r="BC25" s="29">
        <v>0</v>
      </c>
      <c r="BD25" s="29">
        <v>1.9075843702282027</v>
      </c>
      <c r="BK25" s="3">
        <v>0</v>
      </c>
      <c r="BL25" s="3">
        <v>20.959241465779034</v>
      </c>
      <c r="BM25" s="3">
        <v>93.693058937356753</v>
      </c>
    </row>
    <row r="26" spans="1:65" ht="15.75" customHeight="1" x14ac:dyDescent="0.25">
      <c r="A26" s="3" t="s">
        <v>1008</v>
      </c>
      <c r="B26" s="3" t="s">
        <v>900</v>
      </c>
      <c r="C26" s="3" t="s">
        <v>987</v>
      </c>
      <c r="D26" s="27" t="s">
        <v>900</v>
      </c>
      <c r="E26" s="27" t="s">
        <v>989</v>
      </c>
      <c r="F26" s="31">
        <v>1981</v>
      </c>
      <c r="G26" s="31">
        <v>1981</v>
      </c>
      <c r="H26" s="31">
        <v>141</v>
      </c>
      <c r="I26" s="27">
        <v>0</v>
      </c>
      <c r="J26" s="27">
        <v>24.600000381469748</v>
      </c>
      <c r="L26" s="27">
        <v>0</v>
      </c>
      <c r="P26" s="29">
        <v>0</v>
      </c>
      <c r="AB26" s="27">
        <v>200</v>
      </c>
      <c r="AC26" s="27">
        <v>0</v>
      </c>
      <c r="AD26" s="27">
        <v>0</v>
      </c>
      <c r="AE26" s="27">
        <v>0</v>
      </c>
      <c r="AF26" s="27">
        <v>7.7647667810682375</v>
      </c>
      <c r="AG26" s="27">
        <v>0.51164229454914045</v>
      </c>
      <c r="AH26" s="27">
        <v>0</v>
      </c>
      <c r="AI26" s="31">
        <v>0</v>
      </c>
      <c r="AJ26" s="29">
        <v>0</v>
      </c>
      <c r="AK26" s="31">
        <v>0</v>
      </c>
      <c r="AL26" s="31">
        <v>0.80000001192092796</v>
      </c>
      <c r="AM26" s="31">
        <v>0</v>
      </c>
      <c r="AN26" s="31">
        <v>0</v>
      </c>
      <c r="AO26" s="31">
        <v>0</v>
      </c>
      <c r="AP26" s="31">
        <v>18.239661905877174</v>
      </c>
      <c r="AQ26" s="31">
        <v>0</v>
      </c>
      <c r="AR26" s="29">
        <v>0</v>
      </c>
      <c r="AS26" s="29">
        <v>0</v>
      </c>
      <c r="AT26" s="29">
        <v>0</v>
      </c>
      <c r="AU26" s="29">
        <v>0</v>
      </c>
      <c r="AV26" s="29">
        <v>0</v>
      </c>
      <c r="AW26" s="29">
        <v>0</v>
      </c>
      <c r="AX26" s="29">
        <v>0</v>
      </c>
      <c r="AY26" s="29">
        <v>1.5902149827747836E-3</v>
      </c>
      <c r="AZ26" s="29">
        <v>2.8721189250708754E-2</v>
      </c>
      <c r="BA26" s="29">
        <v>0</v>
      </c>
      <c r="BB26" s="29">
        <v>0</v>
      </c>
      <c r="BC26" s="29">
        <v>0</v>
      </c>
      <c r="BD26" s="29">
        <v>1.9091745852109772</v>
      </c>
      <c r="BK26" s="3">
        <v>0</v>
      </c>
      <c r="BL26" s="3">
        <v>20.447599171229893</v>
      </c>
      <c r="BM26" s="3">
        <v>93.693058937356753</v>
      </c>
    </row>
    <row r="27" spans="1:65" ht="15.75" customHeight="1" x14ac:dyDescent="0.25">
      <c r="A27" s="3" t="s">
        <v>1008</v>
      </c>
      <c r="B27" s="3" t="s">
        <v>900</v>
      </c>
      <c r="C27" s="3" t="s">
        <v>987</v>
      </c>
      <c r="D27" s="27" t="s">
        <v>900</v>
      </c>
      <c r="E27" s="27" t="s">
        <v>989</v>
      </c>
      <c r="F27" s="31">
        <v>1981</v>
      </c>
      <c r="G27" s="31">
        <v>1981</v>
      </c>
      <c r="H27" s="31">
        <v>142</v>
      </c>
      <c r="I27" s="27">
        <v>0</v>
      </c>
      <c r="J27" s="27">
        <v>25.249999046325698</v>
      </c>
      <c r="L27" s="27">
        <v>0</v>
      </c>
      <c r="P27" s="29">
        <v>0</v>
      </c>
      <c r="AB27" s="27">
        <v>200</v>
      </c>
      <c r="AC27" s="27">
        <v>0</v>
      </c>
      <c r="AD27" s="27">
        <v>0</v>
      </c>
      <c r="AE27" s="27">
        <v>0</v>
      </c>
      <c r="AF27" s="27">
        <v>7.9775779028093803</v>
      </c>
      <c r="AG27" s="27">
        <v>0.51564959756482609</v>
      </c>
      <c r="AH27" s="27">
        <v>0</v>
      </c>
      <c r="AI27" s="31">
        <v>0</v>
      </c>
      <c r="AJ27" s="29">
        <v>0</v>
      </c>
      <c r="AK27" s="31">
        <v>0</v>
      </c>
      <c r="AL27" s="31">
        <v>0.80000001192092796</v>
      </c>
      <c r="AM27" s="31">
        <v>0</v>
      </c>
      <c r="AN27" s="31">
        <v>0</v>
      </c>
      <c r="AO27" s="31">
        <v>0</v>
      </c>
      <c r="AP27" s="31">
        <v>18.755311503442002</v>
      </c>
      <c r="AQ27" s="31">
        <v>0</v>
      </c>
      <c r="AR27" s="29">
        <v>0</v>
      </c>
      <c r="AS27" s="29">
        <v>0</v>
      </c>
      <c r="AT27" s="29">
        <v>0</v>
      </c>
      <c r="AU27" s="29">
        <v>0</v>
      </c>
      <c r="AV27" s="29">
        <v>0</v>
      </c>
      <c r="AW27" s="29">
        <v>0</v>
      </c>
      <c r="AX27" s="29">
        <v>0</v>
      </c>
      <c r="AY27" s="29">
        <v>1.6654098973311673E-3</v>
      </c>
      <c r="AZ27" s="29">
        <v>3.0386599148039921E-2</v>
      </c>
      <c r="BA27" s="29">
        <v>0</v>
      </c>
      <c r="BB27" s="29">
        <v>0</v>
      </c>
      <c r="BC27" s="29">
        <v>0</v>
      </c>
      <c r="BD27" s="29">
        <v>1.9108399951083084</v>
      </c>
      <c r="BK27" s="3">
        <v>0</v>
      </c>
      <c r="BL27" s="3">
        <v>19.931949573665065</v>
      </c>
      <c r="BM27" s="3">
        <v>93.693058937356753</v>
      </c>
    </row>
    <row r="28" spans="1:65" ht="15.75" customHeight="1" x14ac:dyDescent="0.25">
      <c r="A28" s="3" t="s">
        <v>1008</v>
      </c>
      <c r="B28" s="3" t="s">
        <v>900</v>
      </c>
      <c r="C28" s="3" t="s">
        <v>987</v>
      </c>
      <c r="D28" s="27" t="s">
        <v>900</v>
      </c>
      <c r="E28" s="27" t="s">
        <v>989</v>
      </c>
      <c r="F28" s="31">
        <v>1981</v>
      </c>
      <c r="G28" s="31">
        <v>1981</v>
      </c>
      <c r="H28" s="31">
        <v>143</v>
      </c>
      <c r="I28" s="27">
        <v>0</v>
      </c>
      <c r="J28" s="27">
        <v>27.300000190734849</v>
      </c>
      <c r="L28" s="27">
        <v>0</v>
      </c>
      <c r="P28" s="29">
        <v>0</v>
      </c>
      <c r="AB28" s="27">
        <v>200</v>
      </c>
      <c r="AC28" s="27">
        <v>0</v>
      </c>
      <c r="AD28" s="27">
        <v>0</v>
      </c>
      <c r="AE28" s="27">
        <v>0</v>
      </c>
      <c r="AF28" s="27">
        <v>8.870737502072009</v>
      </c>
      <c r="AG28" s="27">
        <v>0.56285764211736999</v>
      </c>
      <c r="AH28" s="27">
        <v>0</v>
      </c>
      <c r="AI28" s="31">
        <v>0</v>
      </c>
      <c r="AJ28" s="29">
        <v>0</v>
      </c>
      <c r="AK28" s="31">
        <v>0</v>
      </c>
      <c r="AL28" s="31">
        <v>0.80000001192092796</v>
      </c>
      <c r="AM28" s="31">
        <v>0</v>
      </c>
      <c r="AN28" s="31">
        <v>0</v>
      </c>
      <c r="AO28" s="31">
        <v>0</v>
      </c>
      <c r="AP28" s="31">
        <v>19.31816914555937</v>
      </c>
      <c r="AQ28" s="31">
        <v>0</v>
      </c>
      <c r="AR28" s="29">
        <v>0</v>
      </c>
      <c r="AS28" s="29">
        <v>0</v>
      </c>
      <c r="AT28" s="29">
        <v>0</v>
      </c>
      <c r="AU28" s="29">
        <v>0</v>
      </c>
      <c r="AV28" s="29">
        <v>0</v>
      </c>
      <c r="AW28" s="29">
        <v>0</v>
      </c>
      <c r="AX28" s="29">
        <v>0</v>
      </c>
      <c r="AY28" s="29">
        <v>1.9249141886431152E-3</v>
      </c>
      <c r="AZ28" s="29">
        <v>3.2311513336683036E-2</v>
      </c>
      <c r="BA28" s="29">
        <v>0</v>
      </c>
      <c r="BB28" s="29">
        <v>0</v>
      </c>
      <c r="BC28" s="29">
        <v>0</v>
      </c>
      <c r="BD28" s="29">
        <v>1.9127649092969516</v>
      </c>
      <c r="BK28" s="3">
        <v>0</v>
      </c>
      <c r="BL28" s="3">
        <v>19.369091931547697</v>
      </c>
      <c r="BM28" s="3">
        <v>93.693058937356753</v>
      </c>
    </row>
    <row r="29" spans="1:65" ht="15.75" customHeight="1" x14ac:dyDescent="0.25">
      <c r="A29" s="3" t="s">
        <v>1008</v>
      </c>
      <c r="B29" s="3" t="s">
        <v>900</v>
      </c>
      <c r="C29" s="3" t="s">
        <v>987</v>
      </c>
      <c r="D29" s="27" t="s">
        <v>900</v>
      </c>
      <c r="E29" s="27" t="s">
        <v>989</v>
      </c>
      <c r="F29" s="31">
        <v>1981</v>
      </c>
      <c r="G29" s="31">
        <v>1981</v>
      </c>
      <c r="H29" s="31">
        <v>144</v>
      </c>
      <c r="I29" s="27">
        <v>0</v>
      </c>
      <c r="J29" s="27">
        <v>29.199998855590799</v>
      </c>
      <c r="L29" s="27">
        <v>0</v>
      </c>
      <c r="P29" s="29">
        <v>0</v>
      </c>
      <c r="AB29" s="27">
        <v>200</v>
      </c>
      <c r="AC29" s="27">
        <v>0</v>
      </c>
      <c r="AD29" s="27">
        <v>0</v>
      </c>
      <c r="AE29" s="27">
        <v>0</v>
      </c>
      <c r="AF29" s="27">
        <v>9.7220019406215492</v>
      </c>
      <c r="AG29" s="27">
        <v>0.60595060268625933</v>
      </c>
      <c r="AH29" s="27">
        <v>0</v>
      </c>
      <c r="AI29" s="31">
        <v>0</v>
      </c>
      <c r="AJ29" s="29">
        <v>0</v>
      </c>
      <c r="AK29" s="31">
        <v>0</v>
      </c>
      <c r="AL29" s="31">
        <v>0.80000001192092796</v>
      </c>
      <c r="AM29" s="31">
        <v>0</v>
      </c>
      <c r="AN29" s="31">
        <v>0</v>
      </c>
      <c r="AO29" s="31">
        <v>0</v>
      </c>
      <c r="AP29" s="31">
        <v>19.92411974824563</v>
      </c>
      <c r="AQ29" s="31">
        <v>0</v>
      </c>
      <c r="AR29" s="29">
        <v>0</v>
      </c>
      <c r="AS29" s="29">
        <v>0</v>
      </c>
      <c r="AT29" s="29">
        <v>0</v>
      </c>
      <c r="AU29" s="29">
        <v>0</v>
      </c>
      <c r="AV29" s="29">
        <v>0</v>
      </c>
      <c r="AW29" s="29">
        <v>0</v>
      </c>
      <c r="AX29" s="29">
        <v>0</v>
      </c>
      <c r="AY29" s="29">
        <v>2.1973323316713273E-3</v>
      </c>
      <c r="AZ29" s="29">
        <v>3.4508845668354361E-2</v>
      </c>
      <c r="BA29" s="29">
        <v>0</v>
      </c>
      <c r="BB29" s="29">
        <v>0</v>
      </c>
      <c r="BC29" s="29">
        <v>0</v>
      </c>
      <c r="BD29" s="29">
        <v>1.9149622416286229</v>
      </c>
      <c r="BK29" s="3">
        <v>0</v>
      </c>
      <c r="BL29" s="3">
        <v>18.763141328861437</v>
      </c>
      <c r="BM29" s="3">
        <v>93.693058937356753</v>
      </c>
    </row>
    <row r="30" spans="1:65" ht="15.75" customHeight="1" x14ac:dyDescent="0.25">
      <c r="A30" s="3" t="s">
        <v>1008</v>
      </c>
      <c r="B30" s="3" t="s">
        <v>900</v>
      </c>
      <c r="C30" s="3" t="s">
        <v>987</v>
      </c>
      <c r="D30" s="27" t="s">
        <v>900</v>
      </c>
      <c r="E30" s="27" t="s">
        <v>989</v>
      </c>
      <c r="F30" s="31">
        <v>1981</v>
      </c>
      <c r="G30" s="31">
        <v>1981</v>
      </c>
      <c r="H30" s="31">
        <v>145</v>
      </c>
      <c r="I30" s="27">
        <v>0</v>
      </c>
      <c r="J30" s="27">
        <v>28.050001144409201</v>
      </c>
      <c r="L30" s="27">
        <v>0</v>
      </c>
      <c r="P30" s="29">
        <v>0</v>
      </c>
      <c r="AB30" s="27">
        <v>200</v>
      </c>
      <c r="AC30" s="27">
        <v>0</v>
      </c>
      <c r="AD30" s="27">
        <v>0</v>
      </c>
      <c r="AE30" s="27">
        <v>0</v>
      </c>
      <c r="AF30" s="27">
        <v>9.4345964909152311</v>
      </c>
      <c r="AG30" s="27">
        <v>0.57798312264954199</v>
      </c>
      <c r="AH30" s="27">
        <v>0</v>
      </c>
      <c r="AI30" s="31">
        <v>0</v>
      </c>
      <c r="AJ30" s="29">
        <v>0</v>
      </c>
      <c r="AK30" s="31">
        <v>0</v>
      </c>
      <c r="AL30" s="31">
        <v>0.80000001192092796</v>
      </c>
      <c r="AM30" s="31">
        <v>0</v>
      </c>
      <c r="AN30" s="31">
        <v>0</v>
      </c>
      <c r="AO30" s="31">
        <v>0</v>
      </c>
      <c r="AP30" s="31">
        <v>20.502102870895172</v>
      </c>
      <c r="AQ30" s="31">
        <v>0</v>
      </c>
      <c r="AR30" s="29">
        <v>0</v>
      </c>
      <c r="AS30" s="29">
        <v>0</v>
      </c>
      <c r="AT30" s="29">
        <v>0</v>
      </c>
      <c r="AU30" s="29">
        <v>0</v>
      </c>
      <c r="AV30" s="29">
        <v>0</v>
      </c>
      <c r="AW30" s="29">
        <v>0</v>
      </c>
      <c r="AX30" s="29">
        <v>0</v>
      </c>
      <c r="AY30" s="29">
        <v>2.0276794084367303E-3</v>
      </c>
      <c r="AZ30" s="29">
        <v>3.6536525076791095E-2</v>
      </c>
      <c r="BA30" s="29">
        <v>0</v>
      </c>
      <c r="BB30" s="29">
        <v>0</v>
      </c>
      <c r="BC30" s="29">
        <v>0</v>
      </c>
      <c r="BD30" s="29">
        <v>1.9169899210370596</v>
      </c>
      <c r="BK30" s="3">
        <v>0</v>
      </c>
      <c r="BL30" s="3">
        <v>18.185158206211895</v>
      </c>
      <c r="BM30" s="3">
        <v>93.693058937356753</v>
      </c>
    </row>
    <row r="31" spans="1:65" ht="15.75" customHeight="1" x14ac:dyDescent="0.25">
      <c r="A31" s="3" t="s">
        <v>1008</v>
      </c>
      <c r="B31" s="3" t="s">
        <v>900</v>
      </c>
      <c r="C31" s="3" t="s">
        <v>987</v>
      </c>
      <c r="D31" s="27" t="s">
        <v>900</v>
      </c>
      <c r="E31" s="27" t="s">
        <v>989</v>
      </c>
      <c r="F31" s="31">
        <v>1981</v>
      </c>
      <c r="G31" s="31">
        <v>1981</v>
      </c>
      <c r="H31" s="31">
        <v>146</v>
      </c>
      <c r="I31" s="27">
        <v>0</v>
      </c>
      <c r="J31" s="27">
        <v>24.649999618530298</v>
      </c>
      <c r="L31" s="27">
        <v>0</v>
      </c>
      <c r="P31" s="29">
        <v>0</v>
      </c>
      <c r="AB31" s="27">
        <v>200</v>
      </c>
      <c r="AC31" s="27">
        <v>0</v>
      </c>
      <c r="AD31" s="27">
        <v>0</v>
      </c>
      <c r="AE31" s="27">
        <v>0</v>
      </c>
      <c r="AF31" s="27">
        <v>7.9527980108642211</v>
      </c>
      <c r="AG31" s="27">
        <v>0.47915040647296125</v>
      </c>
      <c r="AH31" s="27">
        <v>0</v>
      </c>
      <c r="AI31" s="31">
        <v>0</v>
      </c>
      <c r="AJ31" s="29">
        <v>0</v>
      </c>
      <c r="AK31" s="31">
        <v>0</v>
      </c>
      <c r="AL31" s="31">
        <v>0.80000001192092796</v>
      </c>
      <c r="AM31" s="31">
        <v>0</v>
      </c>
      <c r="AN31" s="31">
        <v>0</v>
      </c>
      <c r="AO31" s="31">
        <v>0</v>
      </c>
      <c r="AP31" s="31">
        <v>20.981253277368133</v>
      </c>
      <c r="AQ31" s="31">
        <v>0</v>
      </c>
      <c r="AR31" s="29">
        <v>0</v>
      </c>
      <c r="AS31" s="29">
        <v>0</v>
      </c>
      <c r="AT31" s="29">
        <v>0</v>
      </c>
      <c r="AU31" s="29">
        <v>0</v>
      </c>
      <c r="AV31" s="29">
        <v>0</v>
      </c>
      <c r="AW31" s="29">
        <v>0</v>
      </c>
      <c r="AX31" s="29">
        <v>0</v>
      </c>
      <c r="AY31" s="29">
        <v>1.5939365232144353E-3</v>
      </c>
      <c r="AZ31" s="29">
        <v>3.8130461600005529E-2</v>
      </c>
      <c r="BA31" s="29">
        <v>0</v>
      </c>
      <c r="BB31" s="29">
        <v>0</v>
      </c>
      <c r="BC31" s="29">
        <v>0</v>
      </c>
      <c r="BD31" s="29">
        <v>1.9185838575602738</v>
      </c>
      <c r="BK31" s="3">
        <v>0</v>
      </c>
      <c r="BL31" s="3">
        <v>17.706007799738934</v>
      </c>
      <c r="BM31" s="3">
        <v>93.693058937356753</v>
      </c>
    </row>
    <row r="32" spans="1:65" ht="15.75" customHeight="1" x14ac:dyDescent="0.25">
      <c r="A32" s="3" t="s">
        <v>1008</v>
      </c>
      <c r="B32" s="3" t="s">
        <v>900</v>
      </c>
      <c r="C32" s="3" t="s">
        <v>987</v>
      </c>
      <c r="D32" s="27" t="s">
        <v>900</v>
      </c>
      <c r="E32" s="27" t="s">
        <v>989</v>
      </c>
      <c r="F32" s="31">
        <v>1981</v>
      </c>
      <c r="G32" s="31">
        <v>1981</v>
      </c>
      <c r="H32" s="31">
        <v>147</v>
      </c>
      <c r="I32" s="27">
        <v>0</v>
      </c>
      <c r="J32" s="27">
        <v>24.599999904632551</v>
      </c>
      <c r="L32" s="27">
        <v>0</v>
      </c>
      <c r="P32" s="29">
        <v>0</v>
      </c>
      <c r="AB32" s="27">
        <v>200</v>
      </c>
      <c r="AC32" s="27">
        <v>0</v>
      </c>
      <c r="AD32" s="27">
        <v>0</v>
      </c>
      <c r="AE32" s="27">
        <v>0</v>
      </c>
      <c r="AF32" s="27">
        <v>8.0910346637637325</v>
      </c>
      <c r="AG32" s="27">
        <v>0.47967789079973333</v>
      </c>
      <c r="AH32" s="27">
        <v>0</v>
      </c>
      <c r="AI32" s="31">
        <v>0</v>
      </c>
      <c r="AJ32" s="29">
        <v>0</v>
      </c>
      <c r="AK32" s="31">
        <v>0</v>
      </c>
      <c r="AL32" s="31">
        <v>0.80000001192092796</v>
      </c>
      <c r="AM32" s="31">
        <v>0</v>
      </c>
      <c r="AN32" s="31">
        <v>0</v>
      </c>
      <c r="AO32" s="31">
        <v>0</v>
      </c>
      <c r="AP32" s="31">
        <v>21.460931168167868</v>
      </c>
      <c r="AQ32" s="31">
        <v>0</v>
      </c>
      <c r="AR32" s="29">
        <v>0</v>
      </c>
      <c r="AS32" s="29">
        <v>0</v>
      </c>
      <c r="AT32" s="29">
        <v>0</v>
      </c>
      <c r="AU32" s="29">
        <v>0</v>
      </c>
      <c r="AV32" s="29">
        <v>0</v>
      </c>
      <c r="AW32" s="29">
        <v>0</v>
      </c>
      <c r="AX32" s="29">
        <v>0</v>
      </c>
      <c r="AY32" s="29">
        <v>1.5879106493143114E-3</v>
      </c>
      <c r="AZ32" s="29">
        <v>3.9718372249319837E-2</v>
      </c>
      <c r="BA32" s="29">
        <v>0</v>
      </c>
      <c r="BB32" s="29">
        <v>0</v>
      </c>
      <c r="BC32" s="29">
        <v>0</v>
      </c>
      <c r="BD32" s="29">
        <v>1.9201717682095882</v>
      </c>
      <c r="BK32" s="3">
        <v>0</v>
      </c>
      <c r="BL32" s="3">
        <v>17.226329908939199</v>
      </c>
      <c r="BM32" s="3">
        <v>93.693058937356753</v>
      </c>
    </row>
    <row r="33" spans="1:65" ht="15.75" customHeight="1" x14ac:dyDescent="0.25">
      <c r="A33" s="3" t="s">
        <v>1008</v>
      </c>
      <c r="B33" s="3" t="s">
        <v>900</v>
      </c>
      <c r="C33" s="3" t="s">
        <v>987</v>
      </c>
      <c r="D33" s="27" t="s">
        <v>900</v>
      </c>
      <c r="E33" s="27" t="s">
        <v>989</v>
      </c>
      <c r="F33" s="31">
        <v>1981</v>
      </c>
      <c r="G33" s="31">
        <v>1981</v>
      </c>
      <c r="H33" s="31">
        <v>148</v>
      </c>
      <c r="I33" s="27">
        <v>0</v>
      </c>
      <c r="J33" s="27">
        <v>24.999999046325701</v>
      </c>
      <c r="L33" s="27">
        <v>0</v>
      </c>
      <c r="P33" s="29">
        <v>0</v>
      </c>
      <c r="AB33" s="27">
        <v>200</v>
      </c>
      <c r="AC33" s="27">
        <v>0</v>
      </c>
      <c r="AD33" s="27">
        <v>0</v>
      </c>
      <c r="AE33" s="27">
        <v>0</v>
      </c>
      <c r="AF33" s="27">
        <v>7.9714438876388245</v>
      </c>
      <c r="AG33" s="27">
        <v>0.46525966174523276</v>
      </c>
      <c r="AH33" s="27">
        <v>0</v>
      </c>
      <c r="AI33" s="31">
        <v>0</v>
      </c>
      <c r="AJ33" s="29">
        <v>0</v>
      </c>
      <c r="AK33" s="31">
        <v>0</v>
      </c>
      <c r="AL33" s="31">
        <v>0.80000001192092796</v>
      </c>
      <c r="AM33" s="31">
        <v>0</v>
      </c>
      <c r="AN33" s="31">
        <v>0</v>
      </c>
      <c r="AO33" s="31">
        <v>0</v>
      </c>
      <c r="AP33" s="31">
        <v>21.9261908299131</v>
      </c>
      <c r="AQ33" s="31">
        <v>0</v>
      </c>
      <c r="AR33" s="29">
        <v>0</v>
      </c>
      <c r="AS33" s="29">
        <v>0</v>
      </c>
      <c r="AT33" s="29">
        <v>0</v>
      </c>
      <c r="AU33" s="29">
        <v>0</v>
      </c>
      <c r="AV33" s="29">
        <v>0</v>
      </c>
      <c r="AW33" s="29">
        <v>0</v>
      </c>
      <c r="AX33" s="29">
        <v>0</v>
      </c>
      <c r="AY33" s="29">
        <v>1.6336146778615291E-3</v>
      </c>
      <c r="AZ33" s="29">
        <v>4.1351986927181367E-2</v>
      </c>
      <c r="BA33" s="29">
        <v>0</v>
      </c>
      <c r="BB33" s="29">
        <v>0</v>
      </c>
      <c r="BC33" s="29">
        <v>0</v>
      </c>
      <c r="BD33" s="29">
        <v>1.9218053828874497</v>
      </c>
      <c r="BK33" s="3">
        <v>0</v>
      </c>
      <c r="BL33" s="3">
        <v>16.761070247193967</v>
      </c>
      <c r="BM33" s="3">
        <v>93.693058937356753</v>
      </c>
    </row>
    <row r="34" spans="1:65" ht="15.75" customHeight="1" x14ac:dyDescent="0.25">
      <c r="A34" s="3" t="s">
        <v>1008</v>
      </c>
      <c r="B34" s="3" t="s">
        <v>900</v>
      </c>
      <c r="C34" s="3" t="s">
        <v>987</v>
      </c>
      <c r="D34" s="27" t="s">
        <v>900</v>
      </c>
      <c r="E34" s="27" t="s">
        <v>989</v>
      </c>
      <c r="F34" s="31">
        <v>1981</v>
      </c>
      <c r="G34" s="31">
        <v>1981</v>
      </c>
      <c r="H34" s="31">
        <v>149</v>
      </c>
      <c r="I34" s="27">
        <v>0</v>
      </c>
      <c r="J34" s="27">
        <v>25.949999809265101</v>
      </c>
      <c r="L34" s="27">
        <v>0</v>
      </c>
      <c r="P34" s="29">
        <v>0</v>
      </c>
      <c r="AB34" s="27">
        <v>200</v>
      </c>
      <c r="AC34" s="27">
        <v>0</v>
      </c>
      <c r="AD34" s="27">
        <v>0</v>
      </c>
      <c r="AE34" s="27">
        <v>0</v>
      </c>
      <c r="AF34" s="27">
        <v>8.6202491284277603</v>
      </c>
      <c r="AG34" s="27">
        <v>0.49556057216859312</v>
      </c>
      <c r="AH34" s="27">
        <v>0</v>
      </c>
      <c r="AI34" s="31">
        <v>0</v>
      </c>
      <c r="AJ34" s="29">
        <v>0</v>
      </c>
      <c r="AK34" s="31">
        <v>0</v>
      </c>
      <c r="AL34" s="31">
        <v>0.80000001192092796</v>
      </c>
      <c r="AM34" s="31">
        <v>0</v>
      </c>
      <c r="AN34" s="31">
        <v>0</v>
      </c>
      <c r="AO34" s="31">
        <v>0</v>
      </c>
      <c r="AP34" s="31">
        <v>22.421751402081693</v>
      </c>
      <c r="AQ34" s="31">
        <v>0</v>
      </c>
      <c r="AR34" s="29">
        <v>0</v>
      </c>
      <c r="AS34" s="29">
        <v>0</v>
      </c>
      <c r="AT34" s="29">
        <v>0</v>
      </c>
      <c r="AU34" s="29">
        <v>0</v>
      </c>
      <c r="AV34" s="29">
        <v>0</v>
      </c>
      <c r="AW34" s="29">
        <v>0</v>
      </c>
      <c r="AX34" s="29">
        <v>0</v>
      </c>
      <c r="AY34" s="29">
        <v>1.7474491494848855E-3</v>
      </c>
      <c r="AZ34" s="29">
        <v>4.3099436076666255E-2</v>
      </c>
      <c r="BA34" s="29">
        <v>0</v>
      </c>
      <c r="BB34" s="29">
        <v>0</v>
      </c>
      <c r="BC34" s="29">
        <v>0</v>
      </c>
      <c r="BD34" s="29">
        <v>1.9235528320369348</v>
      </c>
      <c r="BK34" s="3">
        <v>0</v>
      </c>
      <c r="BL34" s="3">
        <v>16.265509675025374</v>
      </c>
      <c r="BM34" s="3">
        <v>93.693058937356753</v>
      </c>
    </row>
    <row r="35" spans="1:65" ht="15.75" customHeight="1" x14ac:dyDescent="0.25">
      <c r="A35" s="3" t="s">
        <v>1008</v>
      </c>
      <c r="B35" s="3" t="s">
        <v>900</v>
      </c>
      <c r="C35" s="3" t="s">
        <v>987</v>
      </c>
      <c r="D35" s="27" t="s">
        <v>900</v>
      </c>
      <c r="E35" s="27" t="s">
        <v>989</v>
      </c>
      <c r="F35" s="31">
        <v>1981</v>
      </c>
      <c r="G35" s="31">
        <v>1981</v>
      </c>
      <c r="H35" s="31">
        <v>150</v>
      </c>
      <c r="I35" s="27">
        <v>0</v>
      </c>
      <c r="J35" s="27">
        <v>24.699998855590799</v>
      </c>
      <c r="L35" s="27">
        <v>0</v>
      </c>
      <c r="P35" s="29">
        <v>0</v>
      </c>
      <c r="AB35" s="27">
        <v>200</v>
      </c>
      <c r="AC35" s="27">
        <v>0</v>
      </c>
      <c r="AD35" s="27">
        <v>0</v>
      </c>
      <c r="AE35" s="27">
        <v>0</v>
      </c>
      <c r="AF35" s="27">
        <v>8.0367145230569896</v>
      </c>
      <c r="AG35" s="27">
        <v>0.455268534199539</v>
      </c>
      <c r="AH35" s="27">
        <v>0</v>
      </c>
      <c r="AI35" s="31">
        <v>0</v>
      </c>
      <c r="AJ35" s="29">
        <v>0</v>
      </c>
      <c r="AK35" s="31">
        <v>0</v>
      </c>
      <c r="AL35" s="31">
        <v>0.80000001192092796</v>
      </c>
      <c r="AM35" s="31">
        <v>0</v>
      </c>
      <c r="AN35" s="31">
        <v>0</v>
      </c>
      <c r="AO35" s="31">
        <v>0</v>
      </c>
      <c r="AP35" s="31">
        <v>22.877019936281233</v>
      </c>
      <c r="AQ35" s="31">
        <v>0</v>
      </c>
      <c r="AR35" s="29">
        <v>0</v>
      </c>
      <c r="AS35" s="29">
        <v>0</v>
      </c>
      <c r="AT35" s="29">
        <v>0</v>
      </c>
      <c r="AU35" s="29">
        <v>0</v>
      </c>
      <c r="AV35" s="29">
        <v>0</v>
      </c>
      <c r="AW35" s="29">
        <v>0</v>
      </c>
      <c r="AX35" s="29">
        <v>0</v>
      </c>
      <c r="AY35" s="29">
        <v>1.5982628840749049E-3</v>
      </c>
      <c r="AZ35" s="29">
        <v>4.4697698960741161E-2</v>
      </c>
      <c r="BA35" s="29">
        <v>0</v>
      </c>
      <c r="BB35" s="29">
        <v>0</v>
      </c>
      <c r="BC35" s="29">
        <v>0</v>
      </c>
      <c r="BD35" s="29">
        <v>1.9251510949210098</v>
      </c>
      <c r="BK35" s="3">
        <v>0</v>
      </c>
      <c r="BL35" s="3">
        <v>15.810241140825836</v>
      </c>
      <c r="BM35" s="3">
        <v>93.693058937356753</v>
      </c>
    </row>
    <row r="36" spans="1:65" ht="15.75" customHeight="1" x14ac:dyDescent="0.25">
      <c r="A36" s="3" t="s">
        <v>1008</v>
      </c>
      <c r="B36" s="3" t="s">
        <v>900</v>
      </c>
      <c r="C36" s="3" t="s">
        <v>987</v>
      </c>
      <c r="D36" s="27" t="s">
        <v>900</v>
      </c>
      <c r="E36" s="27" t="s">
        <v>989</v>
      </c>
      <c r="F36" s="31">
        <v>1981</v>
      </c>
      <c r="G36" s="31">
        <v>1981</v>
      </c>
      <c r="H36" s="31">
        <v>151</v>
      </c>
      <c r="I36" s="27">
        <v>0</v>
      </c>
      <c r="J36" s="27">
        <v>23.749999046325701</v>
      </c>
      <c r="L36" s="27">
        <v>0</v>
      </c>
      <c r="P36" s="29">
        <v>0</v>
      </c>
      <c r="AB36" s="27">
        <v>200</v>
      </c>
      <c r="AC36" s="27">
        <v>0</v>
      </c>
      <c r="AD36" s="27">
        <v>0</v>
      </c>
      <c r="AE36" s="27">
        <v>0</v>
      </c>
      <c r="AF36" s="27">
        <v>8.0713532283496274</v>
      </c>
      <c r="AG36" s="27">
        <v>0.45074423914240958</v>
      </c>
      <c r="AH36" s="27">
        <v>0</v>
      </c>
      <c r="AI36" s="31">
        <v>0</v>
      </c>
      <c r="AJ36" s="29">
        <v>0</v>
      </c>
      <c r="AK36" s="31">
        <v>0</v>
      </c>
      <c r="AL36" s="31">
        <v>0.80000001192092796</v>
      </c>
      <c r="AM36" s="31">
        <v>0</v>
      </c>
      <c r="AN36" s="31">
        <v>0</v>
      </c>
      <c r="AO36" s="31">
        <v>0</v>
      </c>
      <c r="AP36" s="31">
        <v>23.327764175423642</v>
      </c>
      <c r="AQ36" s="31">
        <v>0</v>
      </c>
      <c r="AR36" s="29">
        <v>0</v>
      </c>
      <c r="AS36" s="29">
        <v>0</v>
      </c>
      <c r="AT36" s="29">
        <v>0</v>
      </c>
      <c r="AU36" s="29">
        <v>0</v>
      </c>
      <c r="AV36" s="29">
        <v>0</v>
      </c>
      <c r="AW36" s="29">
        <v>0</v>
      </c>
      <c r="AX36" s="29">
        <v>0</v>
      </c>
      <c r="AY36" s="29">
        <v>1.4926412933313146E-3</v>
      </c>
      <c r="AZ36" s="29">
        <v>4.6190340254072475E-2</v>
      </c>
      <c r="BA36" s="29">
        <v>0</v>
      </c>
      <c r="BB36" s="29">
        <v>0</v>
      </c>
      <c r="BC36" s="29">
        <v>0</v>
      </c>
      <c r="BD36" s="29">
        <v>1.9266437362143409</v>
      </c>
      <c r="BK36" s="3">
        <v>0</v>
      </c>
      <c r="BL36" s="3">
        <v>15.359496901683427</v>
      </c>
      <c r="BM36" s="3">
        <v>93.693058937356753</v>
      </c>
    </row>
    <row r="37" spans="1:65" ht="15.75" customHeight="1" x14ac:dyDescent="0.25">
      <c r="A37" s="3" t="s">
        <v>1008</v>
      </c>
      <c r="B37" s="3" t="s">
        <v>900</v>
      </c>
      <c r="C37" s="3" t="s">
        <v>987</v>
      </c>
      <c r="D37" s="27" t="s">
        <v>900</v>
      </c>
      <c r="E37" s="27" t="s">
        <v>989</v>
      </c>
      <c r="F37" s="31">
        <v>1981</v>
      </c>
      <c r="G37" s="31">
        <v>1981</v>
      </c>
      <c r="H37" s="31">
        <v>152</v>
      </c>
      <c r="I37" s="27">
        <v>0</v>
      </c>
      <c r="J37" s="27">
        <v>24.249999046325701</v>
      </c>
      <c r="L37" s="27">
        <v>0</v>
      </c>
      <c r="P37" s="29">
        <v>0</v>
      </c>
      <c r="AB37" s="27">
        <v>200</v>
      </c>
      <c r="AC37" s="27">
        <v>0</v>
      </c>
      <c r="AD37" s="27">
        <v>0</v>
      </c>
      <c r="AE37" s="27">
        <v>0</v>
      </c>
      <c r="AF37" s="27">
        <v>8.1055884486820844</v>
      </c>
      <c r="AG37" s="27">
        <v>0.44641167314725683</v>
      </c>
      <c r="AH37" s="27">
        <v>0</v>
      </c>
      <c r="AI37" s="31">
        <v>0</v>
      </c>
      <c r="AJ37" s="29">
        <v>0</v>
      </c>
      <c r="AK37" s="31">
        <v>0</v>
      </c>
      <c r="AL37" s="31">
        <v>0.80000001192092796</v>
      </c>
      <c r="AM37" s="31">
        <v>0</v>
      </c>
      <c r="AN37" s="31">
        <v>0</v>
      </c>
      <c r="AO37" s="31">
        <v>0</v>
      </c>
      <c r="AP37" s="31">
        <v>23.774175848570898</v>
      </c>
      <c r="AQ37" s="31">
        <v>0</v>
      </c>
      <c r="AR37" s="29">
        <v>0</v>
      </c>
      <c r="AS37" s="29">
        <v>0</v>
      </c>
      <c r="AT37" s="29">
        <v>0</v>
      </c>
      <c r="AU37" s="29">
        <v>0</v>
      </c>
      <c r="AV37" s="29">
        <v>0</v>
      </c>
      <c r="AW37" s="29">
        <v>0</v>
      </c>
      <c r="AX37" s="29">
        <v>0</v>
      </c>
      <c r="AY37" s="29">
        <v>1.5469403431194696E-3</v>
      </c>
      <c r="AZ37" s="29">
        <v>4.7737280597191942E-2</v>
      </c>
      <c r="BA37" s="29">
        <v>0</v>
      </c>
      <c r="BB37" s="29">
        <v>0</v>
      </c>
      <c r="BC37" s="29">
        <v>0</v>
      </c>
      <c r="BD37" s="29">
        <v>1.9281906765574606</v>
      </c>
      <c r="BK37" s="3">
        <v>0</v>
      </c>
      <c r="BL37" s="3">
        <v>14.91308522853617</v>
      </c>
      <c r="BM37" s="3">
        <v>93.693058937356753</v>
      </c>
    </row>
    <row r="38" spans="1:65" ht="15.75" customHeight="1" x14ac:dyDescent="0.25">
      <c r="A38" s="3" t="s">
        <v>1008</v>
      </c>
      <c r="B38" s="3" t="s">
        <v>900</v>
      </c>
      <c r="C38" s="3" t="s">
        <v>987</v>
      </c>
      <c r="D38" s="27" t="s">
        <v>900</v>
      </c>
      <c r="E38" s="27" t="s">
        <v>989</v>
      </c>
      <c r="F38" s="31">
        <v>1981</v>
      </c>
      <c r="G38" s="31">
        <v>1981</v>
      </c>
      <c r="H38" s="31">
        <v>153</v>
      </c>
      <c r="I38" s="27">
        <v>0</v>
      </c>
      <c r="J38" s="27">
        <v>24.550000190734899</v>
      </c>
      <c r="L38" s="27">
        <v>0</v>
      </c>
      <c r="P38" s="29">
        <v>0</v>
      </c>
      <c r="AB38" s="27">
        <v>200</v>
      </c>
      <c r="AC38" s="27">
        <v>0</v>
      </c>
      <c r="AD38" s="27">
        <v>0</v>
      </c>
      <c r="AE38" s="27">
        <v>0</v>
      </c>
      <c r="AF38" s="27">
        <v>8.064096659557368</v>
      </c>
      <c r="AG38" s="27">
        <v>0.43816429011672137</v>
      </c>
      <c r="AH38" s="27">
        <v>0</v>
      </c>
      <c r="AI38" s="31">
        <v>0</v>
      </c>
      <c r="AJ38" s="29">
        <v>0</v>
      </c>
      <c r="AK38" s="31">
        <v>0</v>
      </c>
      <c r="AL38" s="31">
        <v>0.80000001192092796</v>
      </c>
      <c r="AM38" s="31">
        <v>0</v>
      </c>
      <c r="AN38" s="31">
        <v>0</v>
      </c>
      <c r="AO38" s="31">
        <v>0</v>
      </c>
      <c r="AP38" s="31">
        <v>24.212340138687619</v>
      </c>
      <c r="AQ38" s="31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1.5802341689973227E-3</v>
      </c>
      <c r="AZ38" s="29">
        <v>4.9317514766189265E-2</v>
      </c>
      <c r="BA38" s="29">
        <v>0</v>
      </c>
      <c r="BB38" s="29">
        <v>0</v>
      </c>
      <c r="BC38" s="29">
        <v>0</v>
      </c>
      <c r="BD38" s="29">
        <v>1.9297709107264578</v>
      </c>
      <c r="BK38" s="3">
        <v>0</v>
      </c>
      <c r="BL38" s="3">
        <v>14.474920938419448</v>
      </c>
      <c r="BM38" s="3">
        <v>93.693058937356753</v>
      </c>
    </row>
    <row r="39" spans="1:65" ht="15.75" customHeight="1" x14ac:dyDescent="0.25">
      <c r="A39" s="3" t="s">
        <v>1008</v>
      </c>
      <c r="B39" s="3" t="s">
        <v>900</v>
      </c>
      <c r="C39" s="3" t="s">
        <v>987</v>
      </c>
      <c r="D39" s="27" t="s">
        <v>900</v>
      </c>
      <c r="E39" s="27" t="s">
        <v>989</v>
      </c>
      <c r="F39" s="31">
        <v>1981</v>
      </c>
      <c r="G39" s="31">
        <v>1981</v>
      </c>
      <c r="H39" s="31">
        <v>154</v>
      </c>
      <c r="I39" s="27">
        <v>0</v>
      </c>
      <c r="J39" s="27">
        <v>24.75</v>
      </c>
      <c r="L39" s="27">
        <v>0</v>
      </c>
      <c r="P39" s="29">
        <v>0</v>
      </c>
      <c r="AB39" s="27">
        <v>200</v>
      </c>
      <c r="AC39" s="27">
        <v>0</v>
      </c>
      <c r="AD39" s="27">
        <v>0</v>
      </c>
      <c r="AE39" s="27">
        <v>0</v>
      </c>
      <c r="AF39" s="27">
        <v>8.12409508180777</v>
      </c>
      <c r="AG39" s="27">
        <v>0.43565331918727768</v>
      </c>
      <c r="AH39" s="27">
        <v>0</v>
      </c>
      <c r="AI39" s="31">
        <v>0</v>
      </c>
      <c r="AJ39" s="29">
        <v>0</v>
      </c>
      <c r="AK39" s="31">
        <v>0</v>
      </c>
      <c r="AL39" s="31">
        <v>0.80000001192092796</v>
      </c>
      <c r="AM39" s="31">
        <v>0</v>
      </c>
      <c r="AN39" s="31">
        <v>0</v>
      </c>
      <c r="AO39" s="31">
        <v>0</v>
      </c>
      <c r="AP39" s="31">
        <v>24.647993457874897</v>
      </c>
      <c r="AQ39" s="31">
        <v>0</v>
      </c>
      <c r="AR39" s="29">
        <v>0</v>
      </c>
      <c r="AS39" s="29">
        <v>0</v>
      </c>
      <c r="AT39" s="29">
        <v>0</v>
      </c>
      <c r="AU39" s="29">
        <v>0</v>
      </c>
      <c r="AV39" s="29">
        <v>0</v>
      </c>
      <c r="AW39" s="29">
        <v>0</v>
      </c>
      <c r="AX39" s="29">
        <v>0</v>
      </c>
      <c r="AY39" s="29">
        <v>1.6026715709016913E-3</v>
      </c>
      <c r="AZ39" s="29">
        <v>5.0920186337090959E-2</v>
      </c>
      <c r="BA39" s="29">
        <v>0</v>
      </c>
      <c r="BB39" s="29">
        <v>0</v>
      </c>
      <c r="BC39" s="29">
        <v>0</v>
      </c>
      <c r="BD39" s="29">
        <v>1.9313735822973594</v>
      </c>
      <c r="BK39" s="3">
        <v>0</v>
      </c>
      <c r="BL39" s="3">
        <v>14.03926761923217</v>
      </c>
      <c r="BM39" s="3">
        <v>93.693058937356753</v>
      </c>
    </row>
    <row r="40" spans="1:65" ht="15.75" customHeight="1" x14ac:dyDescent="0.25">
      <c r="A40" s="3" t="s">
        <v>1008</v>
      </c>
      <c r="B40" s="3" t="s">
        <v>900</v>
      </c>
      <c r="C40" s="3" t="s">
        <v>987</v>
      </c>
      <c r="D40" s="27" t="s">
        <v>900</v>
      </c>
      <c r="E40" s="27" t="s">
        <v>989</v>
      </c>
      <c r="F40" s="31">
        <v>1981</v>
      </c>
      <c r="G40" s="31">
        <v>1981</v>
      </c>
      <c r="H40" s="31">
        <v>155</v>
      </c>
      <c r="I40" s="27">
        <v>0</v>
      </c>
      <c r="J40" s="27">
        <v>26.949998855590799</v>
      </c>
      <c r="L40" s="27">
        <v>0</v>
      </c>
      <c r="P40" s="29">
        <v>0</v>
      </c>
      <c r="AB40" s="27">
        <v>200</v>
      </c>
      <c r="AC40" s="27">
        <v>0</v>
      </c>
      <c r="AD40" s="27">
        <v>0</v>
      </c>
      <c r="AE40" s="27">
        <v>0</v>
      </c>
      <c r="AF40" s="27">
        <v>8.9887677599422986</v>
      </c>
      <c r="AG40" s="27">
        <v>0.47588010484841564</v>
      </c>
      <c r="AH40" s="27">
        <v>0</v>
      </c>
      <c r="AI40" s="31">
        <v>0</v>
      </c>
      <c r="AJ40" s="29">
        <v>0</v>
      </c>
      <c r="AK40" s="31">
        <v>0</v>
      </c>
      <c r="AL40" s="31">
        <v>0.80000001192092796</v>
      </c>
      <c r="AM40" s="31">
        <v>0</v>
      </c>
      <c r="AN40" s="31">
        <v>0</v>
      </c>
      <c r="AO40" s="31">
        <v>0</v>
      </c>
      <c r="AP40" s="31">
        <v>25.123873562723311</v>
      </c>
      <c r="AQ40" s="31">
        <v>0</v>
      </c>
      <c r="AR40" s="29">
        <v>0</v>
      </c>
      <c r="AS40" s="29">
        <v>0</v>
      </c>
      <c r="AT40" s="29">
        <v>0</v>
      </c>
      <c r="AU40" s="29">
        <v>0</v>
      </c>
      <c r="AV40" s="29">
        <v>0</v>
      </c>
      <c r="AW40" s="29">
        <v>0</v>
      </c>
      <c r="AX40" s="29">
        <v>0</v>
      </c>
      <c r="AY40" s="29">
        <v>1.8730262213040108E-3</v>
      </c>
      <c r="AZ40" s="29">
        <v>5.2793212558394968E-2</v>
      </c>
      <c r="BA40" s="29">
        <v>0</v>
      </c>
      <c r="BB40" s="29">
        <v>0</v>
      </c>
      <c r="BC40" s="29">
        <v>0</v>
      </c>
      <c r="BD40" s="29">
        <v>1.9332466085186635</v>
      </c>
      <c r="BK40" s="3">
        <v>0</v>
      </c>
      <c r="BL40" s="3">
        <v>13.563387514383754</v>
      </c>
      <c r="BM40" s="3">
        <v>93.693058937356753</v>
      </c>
    </row>
    <row r="41" spans="1:65" ht="15.75" customHeight="1" x14ac:dyDescent="0.25">
      <c r="A41" s="3" t="s">
        <v>1008</v>
      </c>
      <c r="B41" s="3" t="s">
        <v>900</v>
      </c>
      <c r="C41" s="3" t="s">
        <v>987</v>
      </c>
      <c r="D41" s="27" t="s">
        <v>900</v>
      </c>
      <c r="E41" s="27" t="s">
        <v>989</v>
      </c>
      <c r="F41" s="31">
        <v>1981</v>
      </c>
      <c r="G41" s="31">
        <v>1981</v>
      </c>
      <c r="H41" s="31">
        <v>156</v>
      </c>
      <c r="I41" s="27">
        <v>0</v>
      </c>
      <c r="J41" s="27">
        <v>28.500000953674302</v>
      </c>
      <c r="L41" s="27">
        <v>0</v>
      </c>
      <c r="P41" s="29">
        <v>0</v>
      </c>
      <c r="AB41" s="27">
        <v>200</v>
      </c>
      <c r="AC41" s="27">
        <v>0</v>
      </c>
      <c r="AD41" s="27">
        <v>0</v>
      </c>
      <c r="AE41" s="27">
        <v>0</v>
      </c>
      <c r="AF41" s="27">
        <v>9.9257317575402517</v>
      </c>
      <c r="AG41" s="27">
        <v>0.51895599690817507</v>
      </c>
      <c r="AH41" s="27">
        <v>0</v>
      </c>
      <c r="AI41" s="31">
        <v>0</v>
      </c>
      <c r="AJ41" s="29">
        <v>0</v>
      </c>
      <c r="AK41" s="31">
        <v>0</v>
      </c>
      <c r="AL41" s="31">
        <v>0.80000001192092796</v>
      </c>
      <c r="AM41" s="31">
        <v>0</v>
      </c>
      <c r="AN41" s="31">
        <v>0</v>
      </c>
      <c r="AO41" s="31">
        <v>0</v>
      </c>
      <c r="AP41" s="31">
        <v>25.642829559631487</v>
      </c>
      <c r="AQ41" s="31">
        <v>0</v>
      </c>
      <c r="AR41" s="29">
        <v>0</v>
      </c>
      <c r="AS41" s="29">
        <v>0</v>
      </c>
      <c r="AT41" s="29">
        <v>0</v>
      </c>
      <c r="AU41" s="29">
        <v>0</v>
      </c>
      <c r="AV41" s="29">
        <v>0</v>
      </c>
      <c r="AW41" s="29">
        <v>0</v>
      </c>
      <c r="AX41" s="29">
        <v>0</v>
      </c>
      <c r="AY41" s="29">
        <v>1.978860993665954E-3</v>
      </c>
      <c r="AZ41" s="29">
        <v>5.4772073552060922E-2</v>
      </c>
      <c r="BA41" s="29">
        <v>0</v>
      </c>
      <c r="BB41" s="29">
        <v>0</v>
      </c>
      <c r="BC41" s="29">
        <v>0</v>
      </c>
      <c r="BD41" s="29">
        <v>1.9352254695123294</v>
      </c>
      <c r="BK41" s="3">
        <v>0</v>
      </c>
      <c r="BL41" s="3">
        <v>13.184371260068628</v>
      </c>
      <c r="BM41" s="3">
        <v>93.55311919476371</v>
      </c>
    </row>
    <row r="42" spans="1:65" ht="15.75" customHeight="1" x14ac:dyDescent="0.25">
      <c r="A42" s="3" t="s">
        <v>1008</v>
      </c>
      <c r="B42" s="3" t="s">
        <v>900</v>
      </c>
      <c r="C42" s="3" t="s">
        <v>987</v>
      </c>
      <c r="D42" s="27" t="s">
        <v>900</v>
      </c>
      <c r="E42" s="27" t="s">
        <v>989</v>
      </c>
      <c r="F42" s="31">
        <v>1981</v>
      </c>
      <c r="G42" s="31">
        <v>1981</v>
      </c>
      <c r="H42" s="31">
        <v>157</v>
      </c>
      <c r="I42" s="27">
        <v>0</v>
      </c>
      <c r="J42" s="27">
        <v>28.699998855590799</v>
      </c>
      <c r="L42" s="27">
        <v>0</v>
      </c>
      <c r="P42" s="29">
        <v>0</v>
      </c>
      <c r="AB42" s="27">
        <v>200</v>
      </c>
      <c r="AC42" s="27">
        <v>0</v>
      </c>
      <c r="AD42" s="27">
        <v>0</v>
      </c>
      <c r="AE42" s="27">
        <v>0</v>
      </c>
      <c r="AF42" s="27">
        <v>10.009015125674029</v>
      </c>
      <c r="AG42" s="27">
        <v>0.51696651695140017</v>
      </c>
      <c r="AH42" s="27">
        <v>0</v>
      </c>
      <c r="AI42" s="31">
        <v>0</v>
      </c>
      <c r="AJ42" s="29">
        <v>0</v>
      </c>
      <c r="AK42" s="31">
        <v>0</v>
      </c>
      <c r="AL42" s="31">
        <v>0.80000001192092796</v>
      </c>
      <c r="AM42" s="31">
        <v>0</v>
      </c>
      <c r="AN42" s="31">
        <v>0</v>
      </c>
      <c r="AO42" s="31">
        <v>0</v>
      </c>
      <c r="AP42" s="31">
        <v>26.159796076582886</v>
      </c>
      <c r="AQ42" s="31">
        <v>0</v>
      </c>
      <c r="AR42" s="29">
        <v>0</v>
      </c>
      <c r="AS42" s="29">
        <v>0</v>
      </c>
      <c r="AT42" s="29">
        <v>0</v>
      </c>
      <c r="AU42" s="29">
        <v>0</v>
      </c>
      <c r="AV42" s="29">
        <v>0</v>
      </c>
      <c r="AW42" s="29">
        <v>0</v>
      </c>
      <c r="AX42" s="29">
        <v>0</v>
      </c>
      <c r="AY42" s="29">
        <v>1.8080669300279378E-3</v>
      </c>
      <c r="AZ42" s="29">
        <v>5.6580140482088863E-2</v>
      </c>
      <c r="BA42" s="29">
        <v>0</v>
      </c>
      <c r="BB42" s="29">
        <v>0</v>
      </c>
      <c r="BC42" s="29">
        <v>0</v>
      </c>
      <c r="BD42" s="29">
        <v>1.9370335364423572</v>
      </c>
      <c r="BK42" s="3">
        <v>0</v>
      </c>
      <c r="BL42" s="3">
        <v>12.919059882048041</v>
      </c>
      <c r="BM42" s="3">
        <v>93.301464055832895</v>
      </c>
    </row>
    <row r="43" spans="1:65" ht="15.75" customHeight="1" x14ac:dyDescent="0.25">
      <c r="A43" s="3" t="s">
        <v>1008</v>
      </c>
      <c r="B43" s="3" t="s">
        <v>900</v>
      </c>
      <c r="C43" s="3" t="s">
        <v>987</v>
      </c>
      <c r="D43" s="27" t="s">
        <v>900</v>
      </c>
      <c r="E43" s="27" t="s">
        <v>989</v>
      </c>
      <c r="F43" s="31">
        <v>1981</v>
      </c>
      <c r="G43" s="31">
        <v>1981</v>
      </c>
      <c r="H43" s="31">
        <v>158</v>
      </c>
      <c r="I43" s="27">
        <v>0</v>
      </c>
      <c r="J43" s="27">
        <v>27.349999427795403</v>
      </c>
      <c r="L43" s="27">
        <v>0</v>
      </c>
      <c r="P43" s="29">
        <v>0</v>
      </c>
      <c r="AB43" s="27">
        <v>200</v>
      </c>
      <c r="AC43" s="27">
        <v>0</v>
      </c>
      <c r="AD43" s="27">
        <v>0</v>
      </c>
      <c r="AE43" s="27">
        <v>0</v>
      </c>
      <c r="AF43" s="27">
        <v>8.3532531140554287</v>
      </c>
      <c r="AG43" s="27">
        <v>0.42633984995684054</v>
      </c>
      <c r="AH43" s="27">
        <v>0</v>
      </c>
      <c r="AI43" s="31">
        <v>0</v>
      </c>
      <c r="AJ43" s="29">
        <v>0</v>
      </c>
      <c r="AK43" s="31">
        <v>0</v>
      </c>
      <c r="AL43" s="31">
        <v>0.80000001192092796</v>
      </c>
      <c r="AM43" s="31">
        <v>0</v>
      </c>
      <c r="AN43" s="31">
        <v>0</v>
      </c>
      <c r="AO43" s="31">
        <v>0</v>
      </c>
      <c r="AP43" s="31">
        <v>26.586135926539725</v>
      </c>
      <c r="AQ43" s="31">
        <v>0</v>
      </c>
      <c r="AR43" s="29">
        <v>0</v>
      </c>
      <c r="AS43" s="29">
        <v>0</v>
      </c>
      <c r="AT43" s="29">
        <v>0</v>
      </c>
      <c r="AU43" s="29">
        <v>0</v>
      </c>
      <c r="AV43" s="29">
        <v>0</v>
      </c>
      <c r="AW43" s="29">
        <v>0</v>
      </c>
      <c r="AX43" s="29">
        <v>0</v>
      </c>
      <c r="AY43" s="29">
        <v>1.472456074078589E-3</v>
      </c>
      <c r="AZ43" s="29">
        <v>5.805259655616745E-2</v>
      </c>
      <c r="BA43" s="29">
        <v>0</v>
      </c>
      <c r="BB43" s="29">
        <v>0</v>
      </c>
      <c r="BC43" s="29">
        <v>0</v>
      </c>
      <c r="BD43" s="29">
        <v>1.9385059925164358</v>
      </c>
      <c r="BK43" s="3">
        <v>0</v>
      </c>
      <c r="BL43" s="3">
        <v>12.733341917433629</v>
      </c>
      <c r="BM43" s="3">
        <v>93.06084217049046</v>
      </c>
    </row>
    <row r="44" spans="1:65" ht="15.75" customHeight="1" x14ac:dyDescent="0.25">
      <c r="A44" s="3" t="s">
        <v>1008</v>
      </c>
      <c r="B44" s="3" t="s">
        <v>900</v>
      </c>
      <c r="C44" s="3" t="s">
        <v>987</v>
      </c>
      <c r="D44" s="27" t="s">
        <v>900</v>
      </c>
      <c r="E44" s="27" t="s">
        <v>989</v>
      </c>
      <c r="F44" s="31">
        <v>1981</v>
      </c>
      <c r="G44" s="31">
        <v>1981</v>
      </c>
      <c r="H44" s="31">
        <v>159</v>
      </c>
      <c r="I44" s="27">
        <v>0</v>
      </c>
      <c r="J44" s="27">
        <v>27</v>
      </c>
      <c r="L44" s="27">
        <v>0</v>
      </c>
      <c r="P44" s="29">
        <v>0</v>
      </c>
      <c r="AB44" s="27">
        <v>200</v>
      </c>
      <c r="AC44" s="27">
        <v>0</v>
      </c>
      <c r="AD44" s="27">
        <v>0</v>
      </c>
      <c r="AE44" s="27">
        <v>0</v>
      </c>
      <c r="AF44" s="27">
        <v>8.0418880744316876</v>
      </c>
      <c r="AG44" s="27">
        <v>0.40570261419812342</v>
      </c>
      <c r="AH44" s="27">
        <v>0</v>
      </c>
      <c r="AI44" s="31">
        <v>0</v>
      </c>
      <c r="AJ44" s="29">
        <v>0</v>
      </c>
      <c r="AK44" s="31">
        <v>0</v>
      </c>
      <c r="AL44" s="31">
        <v>0.80000001192092796</v>
      </c>
      <c r="AM44" s="31">
        <v>0</v>
      </c>
      <c r="AN44" s="31">
        <v>0</v>
      </c>
      <c r="AO44" s="31">
        <v>0</v>
      </c>
      <c r="AP44" s="31">
        <v>26.991838540737849</v>
      </c>
      <c r="AQ44" s="31">
        <v>0</v>
      </c>
      <c r="AR44" s="29">
        <v>0</v>
      </c>
      <c r="AS44" s="29">
        <v>0</v>
      </c>
      <c r="AT44" s="29">
        <v>0</v>
      </c>
      <c r="AU44" s="29">
        <v>0</v>
      </c>
      <c r="AV44" s="29">
        <v>0</v>
      </c>
      <c r="AW44" s="29">
        <v>0</v>
      </c>
      <c r="AX44" s="29">
        <v>0</v>
      </c>
      <c r="AY44" s="29">
        <v>1.2438817925945027E-3</v>
      </c>
      <c r="AZ44" s="29">
        <v>5.929647834876195E-2</v>
      </c>
      <c r="BA44" s="29">
        <v>0</v>
      </c>
      <c r="BB44" s="29">
        <v>0</v>
      </c>
      <c r="BC44" s="29">
        <v>0</v>
      </c>
      <c r="BD44" s="29">
        <v>1.9397498743090305</v>
      </c>
      <c r="BK44" s="3">
        <v>0</v>
      </c>
      <c r="BL44" s="3">
        <v>12.60333934220354</v>
      </c>
      <c r="BM44" s="3">
        <v>92.78514213152242</v>
      </c>
    </row>
    <row r="45" spans="1:65" ht="15.75" customHeight="1" x14ac:dyDescent="0.25">
      <c r="A45" s="3" t="s">
        <v>1008</v>
      </c>
      <c r="B45" s="3" t="s">
        <v>900</v>
      </c>
      <c r="C45" s="3" t="s">
        <v>987</v>
      </c>
      <c r="D45" s="27" t="s">
        <v>900</v>
      </c>
      <c r="E45" s="27" t="s">
        <v>989</v>
      </c>
      <c r="F45" s="31">
        <v>1981</v>
      </c>
      <c r="G45" s="31">
        <v>1981</v>
      </c>
      <c r="H45" s="31">
        <v>160</v>
      </c>
      <c r="I45" s="27">
        <v>0</v>
      </c>
      <c r="J45" s="27">
        <v>27.550000190734899</v>
      </c>
      <c r="L45" s="27">
        <v>0</v>
      </c>
      <c r="P45" s="29">
        <v>0</v>
      </c>
      <c r="AB45" s="27">
        <v>200</v>
      </c>
      <c r="AC45" s="27">
        <v>0</v>
      </c>
      <c r="AD45" s="27">
        <v>0</v>
      </c>
      <c r="AE45" s="27">
        <v>0</v>
      </c>
      <c r="AF45" s="27">
        <v>9.2972715065716542</v>
      </c>
      <c r="AG45" s="27">
        <v>0.46373470596770877</v>
      </c>
      <c r="AH45" s="27">
        <v>0</v>
      </c>
      <c r="AI45" s="31">
        <v>0</v>
      </c>
      <c r="AJ45" s="29">
        <v>0</v>
      </c>
      <c r="AK45" s="31">
        <v>0</v>
      </c>
      <c r="AL45" s="31">
        <v>0.80000001192092796</v>
      </c>
      <c r="AM45" s="31">
        <v>0</v>
      </c>
      <c r="AN45" s="31">
        <v>0</v>
      </c>
      <c r="AO45" s="31">
        <v>0</v>
      </c>
      <c r="AP45" s="31">
        <v>27.455573246705558</v>
      </c>
      <c r="AQ45" s="31">
        <v>0</v>
      </c>
      <c r="AR45" s="29">
        <v>0</v>
      </c>
      <c r="AS45" s="29">
        <v>0</v>
      </c>
      <c r="AT45" s="29">
        <v>0</v>
      </c>
      <c r="AU45" s="29">
        <v>0</v>
      </c>
      <c r="AV45" s="29">
        <v>0</v>
      </c>
      <c r="AW45" s="29">
        <v>0</v>
      </c>
      <c r="AX45" s="29">
        <v>0</v>
      </c>
      <c r="AY45" s="29">
        <v>1.02244782630698E-3</v>
      </c>
      <c r="AZ45" s="29">
        <v>6.0318926175068927E-2</v>
      </c>
      <c r="BA45" s="29">
        <v>0</v>
      </c>
      <c r="BB45" s="29">
        <v>0</v>
      </c>
      <c r="BC45" s="29">
        <v>0</v>
      </c>
      <c r="BD45" s="29">
        <v>1.9407723221353375</v>
      </c>
      <c r="BK45" s="3">
        <v>0</v>
      </c>
      <c r="BL45" s="3">
        <v>12.512337539542479</v>
      </c>
      <c r="BM45" s="3">
        <v>92.412409228215779</v>
      </c>
    </row>
    <row r="46" spans="1:65" ht="15.75" customHeight="1" x14ac:dyDescent="0.25">
      <c r="A46" s="3" t="s">
        <v>1008</v>
      </c>
      <c r="B46" s="3" t="s">
        <v>900</v>
      </c>
      <c r="C46" s="3" t="s">
        <v>987</v>
      </c>
      <c r="D46" s="27" t="s">
        <v>900</v>
      </c>
      <c r="E46" s="27" t="s">
        <v>989</v>
      </c>
      <c r="F46" s="31">
        <v>1981</v>
      </c>
      <c r="G46" s="31">
        <v>1981</v>
      </c>
      <c r="H46" s="31">
        <v>161</v>
      </c>
      <c r="I46" s="27">
        <v>0</v>
      </c>
      <c r="J46" s="27">
        <v>28.899999618530302</v>
      </c>
      <c r="L46" s="27">
        <v>0</v>
      </c>
      <c r="P46" s="29">
        <v>0</v>
      </c>
      <c r="AB46" s="27">
        <v>200</v>
      </c>
      <c r="AC46" s="27">
        <v>0</v>
      </c>
      <c r="AD46" s="27">
        <v>0</v>
      </c>
      <c r="AE46" s="27">
        <v>0</v>
      </c>
      <c r="AF46" s="27">
        <v>9.8387938398760753</v>
      </c>
      <c r="AG46" s="27">
        <v>0.48532197439844621</v>
      </c>
      <c r="AH46" s="27">
        <v>0</v>
      </c>
      <c r="AI46" s="31">
        <v>0</v>
      </c>
      <c r="AJ46" s="29">
        <v>0</v>
      </c>
      <c r="AK46" s="31">
        <v>0</v>
      </c>
      <c r="AL46" s="31">
        <v>0.80000001192092796</v>
      </c>
      <c r="AM46" s="31">
        <v>0</v>
      </c>
      <c r="AN46" s="31">
        <v>0</v>
      </c>
      <c r="AO46" s="31">
        <v>0</v>
      </c>
      <c r="AP46" s="31">
        <v>27.940895221104004</v>
      </c>
      <c r="AQ46" s="31">
        <v>0</v>
      </c>
      <c r="AR46" s="29">
        <v>0</v>
      </c>
      <c r="AS46" s="29">
        <v>0</v>
      </c>
      <c r="AT46" s="29">
        <v>0</v>
      </c>
      <c r="AU46" s="29">
        <v>0</v>
      </c>
      <c r="AV46" s="29">
        <v>0</v>
      </c>
      <c r="AW46" s="29">
        <v>0</v>
      </c>
      <c r="AX46" s="29">
        <v>0</v>
      </c>
      <c r="AY46" s="29">
        <v>7.876706265961147E-4</v>
      </c>
      <c r="AZ46" s="29">
        <v>6.1106596801665039E-2</v>
      </c>
      <c r="BA46" s="29">
        <v>0</v>
      </c>
      <c r="BB46" s="29">
        <v>0</v>
      </c>
      <c r="BC46" s="29">
        <v>0</v>
      </c>
      <c r="BD46" s="29">
        <v>1.9415599927619338</v>
      </c>
      <c r="BK46" s="3">
        <v>0</v>
      </c>
      <c r="BL46" s="3">
        <v>12.448636277679736</v>
      </c>
      <c r="BM46" s="3">
        <v>91.99078851568008</v>
      </c>
    </row>
    <row r="47" spans="1:65" ht="15.75" customHeight="1" x14ac:dyDescent="0.25">
      <c r="A47" s="3" t="s">
        <v>1008</v>
      </c>
      <c r="B47" s="3" t="s">
        <v>900</v>
      </c>
      <c r="C47" s="3" t="s">
        <v>987</v>
      </c>
      <c r="D47" s="27" t="s">
        <v>900</v>
      </c>
      <c r="E47" s="27" t="s">
        <v>989</v>
      </c>
      <c r="F47" s="31">
        <v>1981</v>
      </c>
      <c r="G47" s="31">
        <v>1981</v>
      </c>
      <c r="H47" s="31">
        <v>162</v>
      </c>
      <c r="I47" s="27">
        <v>0</v>
      </c>
      <c r="J47" s="27">
        <v>30.750000953674302</v>
      </c>
      <c r="L47" s="27">
        <v>0</v>
      </c>
      <c r="P47" s="29">
        <v>0</v>
      </c>
      <c r="T47" s="119"/>
      <c r="AB47" s="27">
        <v>200</v>
      </c>
      <c r="AC47" s="27">
        <v>0</v>
      </c>
      <c r="AD47" s="27">
        <v>0</v>
      </c>
      <c r="AE47" s="27">
        <v>0</v>
      </c>
      <c r="AF47" s="27">
        <v>7.8036066283639132</v>
      </c>
      <c r="AG47" s="27">
        <v>0.38076972213635268</v>
      </c>
      <c r="AH47" s="27">
        <v>0</v>
      </c>
      <c r="AI47" s="31">
        <v>0</v>
      </c>
      <c r="AJ47" s="29">
        <v>0</v>
      </c>
      <c r="AK47" s="31">
        <v>0</v>
      </c>
      <c r="AL47" s="31">
        <v>0.80000001192092796</v>
      </c>
      <c r="AM47" s="31">
        <v>0</v>
      </c>
      <c r="AN47" s="31">
        <v>0</v>
      </c>
      <c r="AO47" s="31">
        <v>0</v>
      </c>
      <c r="AP47" s="31">
        <v>28.321664943240357</v>
      </c>
      <c r="AQ47" s="31">
        <v>0</v>
      </c>
      <c r="AR47" s="29">
        <v>0</v>
      </c>
      <c r="AS47" s="29">
        <v>0</v>
      </c>
      <c r="AT47" s="29">
        <v>0</v>
      </c>
      <c r="AU47" s="29">
        <v>0</v>
      </c>
      <c r="AV47" s="29">
        <v>0</v>
      </c>
      <c r="AW47" s="29">
        <v>0</v>
      </c>
      <c r="AX47" s="29">
        <v>0</v>
      </c>
      <c r="AY47" s="29">
        <v>5.909726861753064E-4</v>
      </c>
      <c r="AZ47" s="29">
        <v>6.1697569487840345E-2</v>
      </c>
      <c r="BA47" s="29">
        <v>0</v>
      </c>
      <c r="BB47" s="29">
        <v>0</v>
      </c>
      <c r="BC47" s="29">
        <v>0</v>
      </c>
      <c r="BD47" s="29">
        <v>1.9421509654481088</v>
      </c>
      <c r="BK47" s="3">
        <v>0</v>
      </c>
      <c r="BL47" s="3">
        <v>12.404045394375816</v>
      </c>
      <c r="BM47" s="3">
        <v>91.654609676847642</v>
      </c>
    </row>
    <row r="48" spans="1:65" ht="15.75" customHeight="1" x14ac:dyDescent="0.25">
      <c r="A48" s="3" t="s">
        <v>1008</v>
      </c>
      <c r="B48" s="3" t="s">
        <v>900</v>
      </c>
      <c r="C48" s="3" t="s">
        <v>987</v>
      </c>
      <c r="D48" s="27" t="s">
        <v>900</v>
      </c>
      <c r="E48" s="27" t="s">
        <v>989</v>
      </c>
      <c r="F48" s="31">
        <v>1981</v>
      </c>
      <c r="G48" s="31">
        <v>1981</v>
      </c>
      <c r="H48" s="31">
        <v>163</v>
      </c>
      <c r="I48" s="27">
        <v>0</v>
      </c>
      <c r="J48" s="27">
        <v>31.049999237060497</v>
      </c>
      <c r="L48" s="27">
        <v>0</v>
      </c>
      <c r="P48" s="29">
        <v>0</v>
      </c>
      <c r="AB48" s="27">
        <v>200</v>
      </c>
      <c r="AC48" s="27">
        <v>1.1000000238418599</v>
      </c>
      <c r="AD48" s="27">
        <v>0</v>
      </c>
      <c r="AE48" s="27">
        <v>0</v>
      </c>
      <c r="AF48" s="27">
        <v>10.260282835302865</v>
      </c>
      <c r="AG48" s="27">
        <v>0.49534271584304274</v>
      </c>
      <c r="AH48" s="27">
        <v>0</v>
      </c>
      <c r="AI48" s="31">
        <v>0</v>
      </c>
      <c r="AJ48" s="29">
        <v>0</v>
      </c>
      <c r="AK48" s="31">
        <v>0</v>
      </c>
      <c r="AL48" s="31">
        <v>1.9000000357627878</v>
      </c>
      <c r="AM48" s="31">
        <v>0</v>
      </c>
      <c r="AN48" s="31">
        <v>0</v>
      </c>
      <c r="AO48" s="31">
        <v>0</v>
      </c>
      <c r="AP48" s="31">
        <v>28.817007659083401</v>
      </c>
      <c r="AQ48" s="31">
        <v>0</v>
      </c>
      <c r="AR48" s="29">
        <v>0</v>
      </c>
      <c r="AS48" s="29">
        <v>0</v>
      </c>
      <c r="AT48" s="29">
        <v>0</v>
      </c>
      <c r="AU48" s="29">
        <v>0</v>
      </c>
      <c r="AV48" s="29">
        <v>0</v>
      </c>
      <c r="AW48" s="29">
        <v>0</v>
      </c>
      <c r="AX48" s="29">
        <v>0</v>
      </c>
      <c r="AY48" s="29">
        <v>1.754529356071763E-4</v>
      </c>
      <c r="AZ48" s="29">
        <v>6.187302242344752E-2</v>
      </c>
      <c r="BA48" s="29">
        <v>0</v>
      </c>
      <c r="BB48" s="29">
        <v>0</v>
      </c>
      <c r="BC48" s="29">
        <v>0</v>
      </c>
      <c r="BD48" s="29">
        <v>1.9423264183837161</v>
      </c>
      <c r="BK48" s="3">
        <v>0</v>
      </c>
      <c r="BL48" s="3">
        <v>13.472831799904931</v>
      </c>
      <c r="BM48" s="3">
        <v>91.190480579317338</v>
      </c>
    </row>
    <row r="49" spans="1:65" ht="15.75" customHeight="1" x14ac:dyDescent="0.25">
      <c r="A49" s="3" t="s">
        <v>1008</v>
      </c>
      <c r="B49" s="3" t="s">
        <v>900</v>
      </c>
      <c r="C49" s="3" t="s">
        <v>987</v>
      </c>
      <c r="D49" s="27" t="s">
        <v>900</v>
      </c>
      <c r="E49" s="27" t="s">
        <v>989</v>
      </c>
      <c r="F49" s="31">
        <v>1981</v>
      </c>
      <c r="G49" s="31">
        <v>1981</v>
      </c>
      <c r="H49" s="31">
        <v>164</v>
      </c>
      <c r="I49" s="27">
        <v>0</v>
      </c>
      <c r="J49" s="27">
        <v>32.899999618530302</v>
      </c>
      <c r="L49" s="27">
        <v>0</v>
      </c>
      <c r="P49" s="29">
        <v>0</v>
      </c>
      <c r="AB49" s="27">
        <v>200</v>
      </c>
      <c r="AC49" s="27">
        <v>1.1000000238418599</v>
      </c>
      <c r="AD49" s="27">
        <v>0</v>
      </c>
      <c r="AE49" s="27">
        <v>0</v>
      </c>
      <c r="AF49" s="27">
        <v>9.0411510606309538</v>
      </c>
      <c r="AG49" s="27">
        <v>0.43196231875570767</v>
      </c>
      <c r="AH49" s="27">
        <v>0</v>
      </c>
      <c r="AI49" s="31">
        <v>0</v>
      </c>
      <c r="AJ49" s="29">
        <v>0</v>
      </c>
      <c r="AK49" s="31">
        <v>0</v>
      </c>
      <c r="AL49" s="31">
        <v>3.0000000596046474</v>
      </c>
      <c r="AM49" s="31">
        <v>0</v>
      </c>
      <c r="AN49" s="31">
        <v>0</v>
      </c>
      <c r="AO49" s="31">
        <v>0</v>
      </c>
      <c r="AP49" s="31">
        <v>29.24896997783911</v>
      </c>
      <c r="AQ49" s="31">
        <v>0</v>
      </c>
      <c r="AR49" s="29">
        <v>0</v>
      </c>
      <c r="AS49" s="29">
        <v>0</v>
      </c>
      <c r="AT49" s="29">
        <v>0</v>
      </c>
      <c r="AU49" s="29">
        <v>0</v>
      </c>
      <c r="AV49" s="29">
        <v>0</v>
      </c>
      <c r="AW49" s="29">
        <v>0</v>
      </c>
      <c r="AX49" s="29">
        <v>0</v>
      </c>
      <c r="AY49" s="29">
        <v>1.1523344144553902E-4</v>
      </c>
      <c r="AZ49" s="29">
        <v>6.1988255864893059E-2</v>
      </c>
      <c r="BA49" s="29">
        <v>0</v>
      </c>
      <c r="BB49" s="29">
        <v>0</v>
      </c>
      <c r="BC49" s="29">
        <v>0</v>
      </c>
      <c r="BD49" s="29">
        <v>1.9424416518251619</v>
      </c>
      <c r="BK49" s="3">
        <v>0</v>
      </c>
      <c r="BL49" s="3">
        <v>14.220982283775312</v>
      </c>
      <c r="BM49" s="3">
        <v>91.110367800533112</v>
      </c>
    </row>
    <row r="50" spans="1:65" ht="15.75" customHeight="1" x14ac:dyDescent="0.25">
      <c r="A50" s="3" t="s">
        <v>1008</v>
      </c>
      <c r="B50" s="3" t="s">
        <v>900</v>
      </c>
      <c r="C50" s="3" t="s">
        <v>987</v>
      </c>
      <c r="D50" s="27" t="s">
        <v>900</v>
      </c>
      <c r="E50" s="27" t="s">
        <v>989</v>
      </c>
      <c r="F50" s="31">
        <v>1981</v>
      </c>
      <c r="G50" s="31">
        <v>1981</v>
      </c>
      <c r="H50" s="31">
        <v>165</v>
      </c>
      <c r="I50" s="27">
        <v>0</v>
      </c>
      <c r="J50" s="27">
        <v>31.550000190734849</v>
      </c>
      <c r="L50" s="27">
        <v>0</v>
      </c>
      <c r="P50" s="29">
        <v>0</v>
      </c>
      <c r="AB50" s="27">
        <v>200</v>
      </c>
      <c r="AC50" s="27">
        <v>0</v>
      </c>
      <c r="AD50" s="27">
        <v>0</v>
      </c>
      <c r="AE50" s="27">
        <v>0</v>
      </c>
      <c r="AF50" s="27">
        <v>6.8772045263224246</v>
      </c>
      <c r="AG50" s="27">
        <v>0.32523862596191533</v>
      </c>
      <c r="AH50" s="27">
        <v>0</v>
      </c>
      <c r="AI50" s="31">
        <v>0</v>
      </c>
      <c r="AJ50" s="29">
        <v>0</v>
      </c>
      <c r="AK50" s="31">
        <v>0</v>
      </c>
      <c r="AL50" s="31">
        <v>3.0000000596046474</v>
      </c>
      <c r="AM50" s="31">
        <v>0</v>
      </c>
      <c r="AN50" s="31">
        <v>0</v>
      </c>
      <c r="AO50" s="31">
        <v>0</v>
      </c>
      <c r="AP50" s="31">
        <v>29.574208603801026</v>
      </c>
      <c r="AQ50" s="31">
        <v>0</v>
      </c>
      <c r="AR50" s="29">
        <v>0</v>
      </c>
      <c r="AS50" s="29">
        <v>0</v>
      </c>
      <c r="AT50" s="29">
        <v>0</v>
      </c>
      <c r="AU50" s="29">
        <v>0</v>
      </c>
      <c r="AV50" s="29">
        <v>0</v>
      </c>
      <c r="AW50" s="29">
        <v>0</v>
      </c>
      <c r="AX50" s="29">
        <v>0</v>
      </c>
      <c r="AY50" s="29">
        <v>1.0512333442245359E-4</v>
      </c>
      <c r="AZ50" s="29">
        <v>6.2093379199315513E-2</v>
      </c>
      <c r="BA50" s="29">
        <v>0</v>
      </c>
      <c r="BB50" s="29">
        <v>0</v>
      </c>
      <c r="BC50" s="29">
        <v>0</v>
      </c>
      <c r="BD50" s="29">
        <v>1.9425467751595842</v>
      </c>
      <c r="BK50" s="3">
        <v>0</v>
      </c>
      <c r="BL50" s="3">
        <v>13.895743657813396</v>
      </c>
      <c r="BM50" s="3">
        <v>91.110367800533112</v>
      </c>
    </row>
    <row r="51" spans="1:65" ht="15.75" customHeight="1" x14ac:dyDescent="0.25">
      <c r="A51" s="3" t="s">
        <v>1008</v>
      </c>
      <c r="B51" s="3" t="s">
        <v>900</v>
      </c>
      <c r="C51" s="3" t="s">
        <v>987</v>
      </c>
      <c r="D51" s="27" t="s">
        <v>900</v>
      </c>
      <c r="E51" s="27" t="s">
        <v>989</v>
      </c>
      <c r="F51" s="31">
        <v>1981</v>
      </c>
      <c r="G51" s="31">
        <v>1981</v>
      </c>
      <c r="H51" s="31">
        <v>166</v>
      </c>
      <c r="I51" s="27">
        <v>0</v>
      </c>
      <c r="J51" s="27">
        <v>32.049999237060547</v>
      </c>
      <c r="L51" s="27">
        <v>0</v>
      </c>
      <c r="P51" s="29">
        <v>0</v>
      </c>
      <c r="AB51" s="27">
        <v>200</v>
      </c>
      <c r="AC51" s="27">
        <v>0</v>
      </c>
      <c r="AD51" s="27">
        <v>0</v>
      </c>
      <c r="AE51" s="27">
        <v>0</v>
      </c>
      <c r="AF51" s="27">
        <v>11.838294825327505</v>
      </c>
      <c r="AG51" s="27">
        <v>0.55428869635883093</v>
      </c>
      <c r="AH51" s="27">
        <v>0</v>
      </c>
      <c r="AI51" s="31">
        <v>0</v>
      </c>
      <c r="AJ51" s="29">
        <v>0</v>
      </c>
      <c r="AK51" s="31">
        <v>0</v>
      </c>
      <c r="AL51" s="31">
        <v>3.0000000596046474</v>
      </c>
      <c r="AM51" s="31">
        <v>0</v>
      </c>
      <c r="AN51" s="31">
        <v>0</v>
      </c>
      <c r="AO51" s="31">
        <v>0</v>
      </c>
      <c r="AP51" s="31">
        <v>30.128497300159857</v>
      </c>
      <c r="AQ51" s="31">
        <v>0</v>
      </c>
      <c r="AR51" s="29">
        <v>0</v>
      </c>
      <c r="AS51" s="29">
        <v>0</v>
      </c>
      <c r="AT51" s="29">
        <v>0</v>
      </c>
      <c r="AU51" s="29">
        <v>0</v>
      </c>
      <c r="AV51" s="29">
        <v>0</v>
      </c>
      <c r="AW51" s="29">
        <v>0</v>
      </c>
      <c r="AX51" s="29">
        <v>0</v>
      </c>
      <c r="AY51" s="29">
        <v>3.4296682006748952E-5</v>
      </c>
      <c r="AZ51" s="29">
        <v>6.2127675881322258E-2</v>
      </c>
      <c r="BA51" s="29">
        <v>0</v>
      </c>
      <c r="BB51" s="29">
        <v>0</v>
      </c>
      <c r="BC51" s="29">
        <v>0</v>
      </c>
      <c r="BD51" s="29">
        <v>1.942581071841591</v>
      </c>
      <c r="BK51" s="3">
        <v>0</v>
      </c>
      <c r="BL51" s="3">
        <v>13.417020560469378</v>
      </c>
      <c r="BM51" s="3">
        <v>91.034802201518303</v>
      </c>
    </row>
    <row r="52" spans="1:65" ht="15.75" customHeight="1" x14ac:dyDescent="0.25">
      <c r="A52" s="3" t="s">
        <v>1008</v>
      </c>
      <c r="B52" s="3" t="s">
        <v>900</v>
      </c>
      <c r="C52" s="3" t="s">
        <v>987</v>
      </c>
      <c r="D52" s="27" t="s">
        <v>900</v>
      </c>
      <c r="E52" s="27" t="s">
        <v>989</v>
      </c>
      <c r="F52" s="31">
        <v>1981</v>
      </c>
      <c r="G52" s="31">
        <v>1981</v>
      </c>
      <c r="H52" s="31">
        <v>167</v>
      </c>
      <c r="I52" s="27">
        <v>0</v>
      </c>
      <c r="J52" s="27">
        <v>30.599999427795403</v>
      </c>
      <c r="L52" s="27">
        <v>0</v>
      </c>
      <c r="P52" s="29">
        <v>0</v>
      </c>
      <c r="AB52" s="27">
        <v>200</v>
      </c>
      <c r="AC52" s="27">
        <v>0</v>
      </c>
      <c r="AD52" s="27">
        <v>0</v>
      </c>
      <c r="AE52" s="27">
        <v>0</v>
      </c>
      <c r="AF52" s="27">
        <v>8.8525064426350166</v>
      </c>
      <c r="AG52" s="27">
        <v>0.41044502111918973</v>
      </c>
      <c r="AH52" s="27">
        <v>0</v>
      </c>
      <c r="AI52" s="31">
        <v>0</v>
      </c>
      <c r="AJ52" s="29">
        <v>0</v>
      </c>
      <c r="AK52" s="31">
        <v>0</v>
      </c>
      <c r="AL52" s="31">
        <v>3.0000000596046474</v>
      </c>
      <c r="AM52" s="31">
        <v>0</v>
      </c>
      <c r="AN52" s="31">
        <v>0</v>
      </c>
      <c r="AO52" s="31">
        <v>0</v>
      </c>
      <c r="AP52" s="31">
        <v>30.538942321279048</v>
      </c>
      <c r="AQ52" s="31">
        <v>0</v>
      </c>
      <c r="AR52" s="29">
        <v>0</v>
      </c>
      <c r="AS52" s="29">
        <v>0</v>
      </c>
      <c r="AT52" s="29">
        <v>0</v>
      </c>
      <c r="AU52" s="29">
        <v>0</v>
      </c>
      <c r="AV52" s="29">
        <v>0</v>
      </c>
      <c r="AW52" s="29">
        <v>0</v>
      </c>
      <c r="AX52" s="29">
        <v>0</v>
      </c>
      <c r="AY52" s="29">
        <v>0</v>
      </c>
      <c r="AZ52" s="29">
        <v>6.2127675881322258E-2</v>
      </c>
      <c r="BA52" s="29">
        <v>0</v>
      </c>
      <c r="BB52" s="29">
        <v>0</v>
      </c>
      <c r="BC52" s="29">
        <v>0</v>
      </c>
      <c r="BD52" s="29">
        <v>1.942581071841591</v>
      </c>
      <c r="BK52" s="3">
        <v>0</v>
      </c>
      <c r="BL52" s="3">
        <v>13.081914392328565</v>
      </c>
      <c r="BM52" s="3">
        <v>90.959463348539927</v>
      </c>
    </row>
    <row r="53" spans="1:65" ht="15.75" customHeight="1" x14ac:dyDescent="0.25">
      <c r="A53" s="3" t="s">
        <v>1008</v>
      </c>
      <c r="B53" s="3" t="s">
        <v>900</v>
      </c>
      <c r="C53" s="3" t="s">
        <v>987</v>
      </c>
      <c r="D53" s="27" t="s">
        <v>900</v>
      </c>
      <c r="E53" s="27" t="s">
        <v>989</v>
      </c>
      <c r="F53" s="31">
        <v>1981</v>
      </c>
      <c r="G53" s="31">
        <v>1981</v>
      </c>
      <c r="H53" s="31">
        <v>168</v>
      </c>
      <c r="I53" s="27">
        <v>0</v>
      </c>
      <c r="J53" s="27">
        <v>30.25</v>
      </c>
      <c r="L53" s="27">
        <v>0</v>
      </c>
      <c r="P53" s="29">
        <v>0</v>
      </c>
      <c r="AB53" s="27">
        <v>200</v>
      </c>
      <c r="AC53" s="27">
        <v>2.5</v>
      </c>
      <c r="AD53" s="27">
        <v>0</v>
      </c>
      <c r="AE53" s="27">
        <v>0</v>
      </c>
      <c r="AF53" s="27">
        <v>4.5858211389369004</v>
      </c>
      <c r="AG53" s="27">
        <v>0.21058606137446964</v>
      </c>
      <c r="AH53" s="27">
        <v>0</v>
      </c>
      <c r="AI53" s="31">
        <v>0</v>
      </c>
      <c r="AJ53" s="29">
        <v>0</v>
      </c>
      <c r="AK53" s="31">
        <v>0</v>
      </c>
      <c r="AL53" s="31">
        <v>5.5000000596046474</v>
      </c>
      <c r="AM53" s="31">
        <v>0</v>
      </c>
      <c r="AN53" s="31">
        <v>0</v>
      </c>
      <c r="AO53" s="31">
        <v>0</v>
      </c>
      <c r="AP53" s="31">
        <v>30.749528382653519</v>
      </c>
      <c r="AQ53" s="31">
        <v>0</v>
      </c>
      <c r="AR53" s="29">
        <v>0</v>
      </c>
      <c r="AS53" s="29">
        <v>0</v>
      </c>
      <c r="AT53" s="29">
        <v>0</v>
      </c>
      <c r="AU53" s="29">
        <v>0</v>
      </c>
      <c r="AV53" s="29">
        <v>0</v>
      </c>
      <c r="AW53" s="29">
        <v>0</v>
      </c>
      <c r="AX53" s="29">
        <v>0</v>
      </c>
      <c r="AY53" s="29">
        <v>0</v>
      </c>
      <c r="AZ53" s="29">
        <v>6.2127675881322258E-2</v>
      </c>
      <c r="BA53" s="29">
        <v>0</v>
      </c>
      <c r="BB53" s="29">
        <v>0</v>
      </c>
      <c r="BC53" s="29">
        <v>0</v>
      </c>
      <c r="BD53" s="29">
        <v>1.942581071841591</v>
      </c>
      <c r="BK53" s="3">
        <v>0</v>
      </c>
      <c r="BL53" s="3">
        <v>15.371328330954096</v>
      </c>
      <c r="BM53" s="3">
        <v>90.959463348539927</v>
      </c>
    </row>
    <row r="54" spans="1:65" ht="15.75" customHeight="1" x14ac:dyDescent="0.25">
      <c r="A54" s="3" t="s">
        <v>1008</v>
      </c>
      <c r="B54" s="3" t="s">
        <v>900</v>
      </c>
      <c r="C54" s="3" t="s">
        <v>987</v>
      </c>
      <c r="D54" s="27" t="s">
        <v>900</v>
      </c>
      <c r="E54" s="27" t="s">
        <v>989</v>
      </c>
      <c r="F54" s="31">
        <v>1981</v>
      </c>
      <c r="G54" s="31">
        <v>1981</v>
      </c>
      <c r="H54" s="31">
        <v>169</v>
      </c>
      <c r="I54" s="27">
        <v>0</v>
      </c>
      <c r="J54" s="27">
        <v>31.650000572204597</v>
      </c>
      <c r="L54" s="27">
        <v>0</v>
      </c>
      <c r="P54" s="29">
        <v>0</v>
      </c>
      <c r="AB54" s="27">
        <v>200</v>
      </c>
      <c r="AC54" s="27">
        <v>0</v>
      </c>
      <c r="AD54" s="27">
        <v>0</v>
      </c>
      <c r="AE54" s="27">
        <v>0</v>
      </c>
      <c r="AF54" s="27">
        <v>11.417987089550621</v>
      </c>
      <c r="AG54" s="27">
        <v>0.51940321800776779</v>
      </c>
      <c r="AH54" s="27">
        <v>0</v>
      </c>
      <c r="AI54" s="31">
        <v>0</v>
      </c>
      <c r="AJ54" s="29">
        <v>0</v>
      </c>
      <c r="AK54" s="31">
        <v>0</v>
      </c>
      <c r="AL54" s="31">
        <v>5.5000000596046474</v>
      </c>
      <c r="AM54" s="31">
        <v>0</v>
      </c>
      <c r="AN54" s="31">
        <v>0</v>
      </c>
      <c r="AO54" s="31">
        <v>0</v>
      </c>
      <c r="AP54" s="31">
        <v>31.268931600661286</v>
      </c>
      <c r="AQ54" s="31">
        <v>0</v>
      </c>
      <c r="AR54" s="29">
        <v>0</v>
      </c>
      <c r="AS54" s="29">
        <v>0</v>
      </c>
      <c r="AT54" s="29">
        <v>0</v>
      </c>
      <c r="AU54" s="29">
        <v>0</v>
      </c>
      <c r="AV54" s="29">
        <v>0</v>
      </c>
      <c r="AW54" s="29">
        <v>0</v>
      </c>
      <c r="AX54" s="29">
        <v>0</v>
      </c>
      <c r="AY54" s="29">
        <v>0</v>
      </c>
      <c r="AZ54" s="29">
        <v>6.2127675881322258E-2</v>
      </c>
      <c r="BA54" s="29">
        <v>0</v>
      </c>
      <c r="BB54" s="29">
        <v>0</v>
      </c>
      <c r="BC54" s="29">
        <v>0</v>
      </c>
      <c r="BD54" s="29">
        <v>1.942581071841591</v>
      </c>
      <c r="BK54" s="3">
        <v>0</v>
      </c>
      <c r="BL54" s="3">
        <v>14.851925112946329</v>
      </c>
      <c r="BM54" s="3">
        <v>90.959463348539927</v>
      </c>
    </row>
    <row r="55" spans="1:65" ht="15.75" customHeight="1" x14ac:dyDescent="0.25">
      <c r="A55" s="3" t="s">
        <v>1008</v>
      </c>
      <c r="B55" s="3" t="s">
        <v>900</v>
      </c>
      <c r="C55" s="3" t="s">
        <v>987</v>
      </c>
      <c r="D55" s="27" t="s">
        <v>900</v>
      </c>
      <c r="E55" s="27" t="s">
        <v>989</v>
      </c>
      <c r="F55" s="31">
        <v>1981</v>
      </c>
      <c r="G55" s="31">
        <v>1981</v>
      </c>
      <c r="H55" s="31">
        <v>170</v>
      </c>
      <c r="I55" s="27">
        <v>0</v>
      </c>
      <c r="J55" s="27">
        <v>31.599999427795403</v>
      </c>
      <c r="L55" s="27">
        <v>0</v>
      </c>
      <c r="P55" s="29">
        <v>0</v>
      </c>
      <c r="AB55" s="27">
        <v>200</v>
      </c>
      <c r="AC55" s="27">
        <v>1.1000000238418599</v>
      </c>
      <c r="AD55" s="27">
        <v>0</v>
      </c>
      <c r="AE55" s="27">
        <v>0</v>
      </c>
      <c r="AF55" s="27">
        <v>10.449450500733242</v>
      </c>
      <c r="AG55" s="27">
        <v>0.47096323821742941</v>
      </c>
      <c r="AH55" s="27">
        <v>0</v>
      </c>
      <c r="AI55" s="31">
        <v>0</v>
      </c>
      <c r="AJ55" s="29">
        <v>0</v>
      </c>
      <c r="AK55" s="31">
        <v>0</v>
      </c>
      <c r="AL55" s="31">
        <v>6.6000000834465071</v>
      </c>
      <c r="AM55" s="31">
        <v>0</v>
      </c>
      <c r="AN55" s="31">
        <v>0</v>
      </c>
      <c r="AO55" s="31">
        <v>0</v>
      </c>
      <c r="AP55" s="31">
        <v>31.739894838878715</v>
      </c>
      <c r="AQ55" s="31">
        <v>0</v>
      </c>
      <c r="AR55" s="29">
        <v>0</v>
      </c>
      <c r="AS55" s="29">
        <v>0</v>
      </c>
      <c r="AT55" s="29">
        <v>0</v>
      </c>
      <c r="AU55" s="29">
        <v>0</v>
      </c>
      <c r="AV55" s="29">
        <v>0</v>
      </c>
      <c r="AW55" s="29">
        <v>0</v>
      </c>
      <c r="AX55" s="29">
        <v>0</v>
      </c>
      <c r="AY55" s="29">
        <v>0</v>
      </c>
      <c r="AZ55" s="29">
        <v>6.2127675881322258E-2</v>
      </c>
      <c r="BA55" s="29">
        <v>0</v>
      </c>
      <c r="BB55" s="29">
        <v>0</v>
      </c>
      <c r="BC55" s="29">
        <v>0</v>
      </c>
      <c r="BD55" s="29">
        <v>1.942581071841591</v>
      </c>
      <c r="BK55" s="3">
        <v>0</v>
      </c>
      <c r="BL55" s="3">
        <v>15.48096189857076</v>
      </c>
      <c r="BM55" s="3">
        <v>90.959463348539927</v>
      </c>
    </row>
    <row r="56" spans="1:65" ht="15.75" customHeight="1" x14ac:dyDescent="0.25">
      <c r="A56" s="3" t="s">
        <v>1008</v>
      </c>
      <c r="B56" s="3" t="s">
        <v>900</v>
      </c>
      <c r="C56" s="3" t="s">
        <v>987</v>
      </c>
      <c r="D56" s="27" t="s">
        <v>900</v>
      </c>
      <c r="E56" s="27" t="s">
        <v>989</v>
      </c>
      <c r="F56" s="31">
        <v>1981</v>
      </c>
      <c r="G56" s="31">
        <v>1981</v>
      </c>
      <c r="H56" s="31">
        <v>171</v>
      </c>
      <c r="I56" s="27">
        <v>0</v>
      </c>
      <c r="J56" s="27">
        <v>29.050000190734899</v>
      </c>
      <c r="L56" s="27">
        <v>0</v>
      </c>
      <c r="P56" s="29">
        <v>0</v>
      </c>
      <c r="AB56" s="27">
        <v>200</v>
      </c>
      <c r="AC56" s="27">
        <v>0.5</v>
      </c>
      <c r="AD56" s="27">
        <v>0</v>
      </c>
      <c r="AE56" s="27">
        <v>0</v>
      </c>
      <c r="AF56" s="27">
        <v>7.0703861804522088</v>
      </c>
      <c r="AG56" s="27">
        <v>0.31578266647674214</v>
      </c>
      <c r="AH56" s="27">
        <v>0</v>
      </c>
      <c r="AI56" s="31">
        <v>0</v>
      </c>
      <c r="AJ56" s="29">
        <v>0</v>
      </c>
      <c r="AK56" s="31">
        <v>0</v>
      </c>
      <c r="AL56" s="31">
        <v>7.1000000834465071</v>
      </c>
      <c r="AM56" s="31">
        <v>0</v>
      </c>
      <c r="AN56" s="31">
        <v>0</v>
      </c>
      <c r="AO56" s="31">
        <v>0</v>
      </c>
      <c r="AP56" s="31">
        <v>32.055677505355455</v>
      </c>
      <c r="AQ56" s="31">
        <v>0</v>
      </c>
      <c r="AR56" s="29">
        <v>0</v>
      </c>
      <c r="AS56" s="29">
        <v>0</v>
      </c>
      <c r="AT56" s="29">
        <v>0</v>
      </c>
      <c r="AU56" s="29">
        <v>0</v>
      </c>
      <c r="AV56" s="29">
        <v>0</v>
      </c>
      <c r="AW56" s="29">
        <v>0</v>
      </c>
      <c r="AX56" s="29">
        <v>0</v>
      </c>
      <c r="AY56" s="29">
        <v>0</v>
      </c>
      <c r="AZ56" s="29">
        <v>6.2127675881322258E-2</v>
      </c>
      <c r="BA56" s="29">
        <v>0</v>
      </c>
      <c r="BB56" s="29">
        <v>0</v>
      </c>
      <c r="BC56" s="29">
        <v>0</v>
      </c>
      <c r="BD56" s="29">
        <v>1.942581071841591</v>
      </c>
      <c r="BK56" s="3">
        <v>0</v>
      </c>
      <c r="BL56" s="3">
        <v>15.665179232094017</v>
      </c>
      <c r="BM56" s="3">
        <v>90.959463348539927</v>
      </c>
    </row>
    <row r="57" spans="1:65" ht="15.75" customHeight="1" x14ac:dyDescent="0.25">
      <c r="A57" s="3" t="s">
        <v>1008</v>
      </c>
      <c r="B57" s="3" t="s">
        <v>900</v>
      </c>
      <c r="C57" s="3" t="s">
        <v>987</v>
      </c>
      <c r="D57" s="27" t="s">
        <v>900</v>
      </c>
      <c r="E57" s="27" t="s">
        <v>989</v>
      </c>
      <c r="F57" s="31">
        <v>1981</v>
      </c>
      <c r="G57" s="31">
        <v>1981</v>
      </c>
      <c r="H57" s="31">
        <v>172</v>
      </c>
      <c r="I57" s="27">
        <v>0</v>
      </c>
      <c r="J57" s="27">
        <v>30.850000381469698</v>
      </c>
      <c r="L57" s="27">
        <v>0</v>
      </c>
      <c r="P57" s="29">
        <v>0</v>
      </c>
      <c r="AB57" s="27">
        <v>200</v>
      </c>
      <c r="AC57" s="27">
        <v>0</v>
      </c>
      <c r="AD57" s="27">
        <v>0</v>
      </c>
      <c r="AE57" s="27">
        <v>0</v>
      </c>
      <c r="AF57" s="27">
        <v>8.4908091639299883</v>
      </c>
      <c r="AG57" s="27">
        <v>0.37585154970764811</v>
      </c>
      <c r="AH57" s="27">
        <v>0</v>
      </c>
      <c r="AI57" s="31">
        <v>0</v>
      </c>
      <c r="AJ57" s="29">
        <v>0</v>
      </c>
      <c r="AK57" s="31">
        <v>0</v>
      </c>
      <c r="AL57" s="31">
        <v>7.1000000834465071</v>
      </c>
      <c r="AM57" s="31">
        <v>0</v>
      </c>
      <c r="AN57" s="31">
        <v>0</v>
      </c>
      <c r="AO57" s="31">
        <v>0</v>
      </c>
      <c r="AP57" s="31">
        <v>32.431529055063102</v>
      </c>
      <c r="AQ57" s="31">
        <v>0</v>
      </c>
      <c r="AR57" s="29">
        <v>0</v>
      </c>
      <c r="AS57" s="29">
        <v>0</v>
      </c>
      <c r="AT57" s="29">
        <v>0</v>
      </c>
      <c r="AU57" s="29">
        <v>0</v>
      </c>
      <c r="AV57" s="29">
        <v>0</v>
      </c>
      <c r="AW57" s="29">
        <v>0</v>
      </c>
      <c r="AX57" s="29">
        <v>0</v>
      </c>
      <c r="AY57" s="29">
        <v>0</v>
      </c>
      <c r="AZ57" s="29">
        <v>6.2127675881322258E-2</v>
      </c>
      <c r="BA57" s="29">
        <v>0</v>
      </c>
      <c r="BB57" s="29">
        <v>0</v>
      </c>
      <c r="BC57" s="29">
        <v>0</v>
      </c>
      <c r="BD57" s="29">
        <v>1.942581071841591</v>
      </c>
      <c r="BK57" s="3">
        <v>0</v>
      </c>
      <c r="BL57" s="3">
        <v>15.28932768238637</v>
      </c>
      <c r="BM57" s="3">
        <v>90.959463348539927</v>
      </c>
    </row>
    <row r="58" spans="1:65" ht="15.75" customHeight="1" x14ac:dyDescent="0.25">
      <c r="A58" s="3" t="s">
        <v>1008</v>
      </c>
      <c r="B58" s="3" t="s">
        <v>900</v>
      </c>
      <c r="C58" s="3" t="s">
        <v>987</v>
      </c>
      <c r="D58" s="27" t="s">
        <v>900</v>
      </c>
      <c r="E58" s="27" t="s">
        <v>989</v>
      </c>
      <c r="F58" s="31">
        <v>1981</v>
      </c>
      <c r="G58" s="31">
        <v>1981</v>
      </c>
      <c r="H58" s="31">
        <v>173</v>
      </c>
      <c r="I58" s="27">
        <v>0</v>
      </c>
      <c r="J58" s="27">
        <v>30.700000762939503</v>
      </c>
      <c r="L58" s="27">
        <v>0</v>
      </c>
      <c r="P58" s="29">
        <v>0</v>
      </c>
      <c r="AB58" s="27">
        <v>200</v>
      </c>
      <c r="AC58" s="27">
        <v>0</v>
      </c>
      <c r="AD58" s="27">
        <v>0</v>
      </c>
      <c r="AE58" s="27">
        <v>0</v>
      </c>
      <c r="AF58" s="27">
        <v>9.8731396911769593</v>
      </c>
      <c r="AG58" s="27">
        <v>0.43322419358943232</v>
      </c>
      <c r="AH58" s="27">
        <v>0</v>
      </c>
      <c r="AI58" s="31">
        <v>0</v>
      </c>
      <c r="AJ58" s="29">
        <v>0</v>
      </c>
      <c r="AK58" s="31">
        <v>0</v>
      </c>
      <c r="AL58" s="31">
        <v>7.1000000834465071</v>
      </c>
      <c r="AM58" s="31">
        <v>0</v>
      </c>
      <c r="AN58" s="31">
        <v>0</v>
      </c>
      <c r="AO58" s="31">
        <v>0</v>
      </c>
      <c r="AP58" s="31">
        <v>32.864753248652534</v>
      </c>
      <c r="AQ58" s="31">
        <v>0</v>
      </c>
      <c r="AR58" s="29">
        <v>0</v>
      </c>
      <c r="AS58" s="29">
        <v>0</v>
      </c>
      <c r="AT58" s="29">
        <v>0</v>
      </c>
      <c r="AU58" s="29">
        <v>0</v>
      </c>
      <c r="AV58" s="29">
        <v>0</v>
      </c>
      <c r="AW58" s="29">
        <v>0</v>
      </c>
      <c r="AX58" s="29">
        <v>0</v>
      </c>
      <c r="AY58" s="29">
        <v>0</v>
      </c>
      <c r="AZ58" s="29">
        <v>6.2127675881322258E-2</v>
      </c>
      <c r="BA58" s="29">
        <v>0</v>
      </c>
      <c r="BB58" s="29">
        <v>0</v>
      </c>
      <c r="BC58" s="29">
        <v>0</v>
      </c>
      <c r="BD58" s="29">
        <v>1.942581071841591</v>
      </c>
      <c r="BK58" s="3">
        <v>0</v>
      </c>
      <c r="BL58" s="3">
        <v>14.856103488796938</v>
      </c>
      <c r="BM58" s="3">
        <v>90.959463348539927</v>
      </c>
    </row>
    <row r="59" spans="1:65" ht="15.75" customHeight="1" x14ac:dyDescent="0.25">
      <c r="A59" s="3" t="s">
        <v>1008</v>
      </c>
      <c r="B59" s="3" t="s">
        <v>900</v>
      </c>
      <c r="C59" s="3" t="s">
        <v>987</v>
      </c>
      <c r="D59" s="27" t="s">
        <v>900</v>
      </c>
      <c r="E59" s="27" t="s">
        <v>989</v>
      </c>
      <c r="F59" s="31">
        <v>1981</v>
      </c>
      <c r="G59" s="31">
        <v>1981</v>
      </c>
      <c r="H59" s="31">
        <v>174</v>
      </c>
      <c r="I59" s="27">
        <v>0</v>
      </c>
      <c r="J59" s="27">
        <v>25.949999809265151</v>
      </c>
      <c r="L59" s="27">
        <v>0</v>
      </c>
      <c r="P59" s="29">
        <v>0</v>
      </c>
      <c r="AB59" s="27">
        <v>200</v>
      </c>
      <c r="AC59" s="27">
        <v>0</v>
      </c>
      <c r="AD59" s="27">
        <v>0</v>
      </c>
      <c r="AE59" s="27">
        <v>0</v>
      </c>
      <c r="AF59" s="27">
        <v>8.2614807445544312</v>
      </c>
      <c r="AG59" s="27">
        <v>0.35939428385158706</v>
      </c>
      <c r="AH59" s="27">
        <v>0</v>
      </c>
      <c r="AI59" s="31">
        <v>0</v>
      </c>
      <c r="AJ59" s="29">
        <v>0</v>
      </c>
      <c r="AK59" s="31">
        <v>0</v>
      </c>
      <c r="AL59" s="31">
        <v>7.1000000834465071</v>
      </c>
      <c r="AM59" s="31">
        <v>0</v>
      </c>
      <c r="AN59" s="31">
        <v>0</v>
      </c>
      <c r="AO59" s="31">
        <v>0</v>
      </c>
      <c r="AP59" s="31">
        <v>33.224147532504119</v>
      </c>
      <c r="AQ59" s="31">
        <v>0</v>
      </c>
      <c r="AR59" s="29">
        <v>0</v>
      </c>
      <c r="AS59" s="29">
        <v>0</v>
      </c>
      <c r="AT59" s="29">
        <v>0</v>
      </c>
      <c r="AU59" s="29">
        <v>0</v>
      </c>
      <c r="AV59" s="29">
        <v>0</v>
      </c>
      <c r="AW59" s="29">
        <v>0</v>
      </c>
      <c r="AX59" s="29">
        <v>0</v>
      </c>
      <c r="AY59" s="29">
        <v>0</v>
      </c>
      <c r="AZ59" s="29">
        <v>6.2127675881322258E-2</v>
      </c>
      <c r="BA59" s="29">
        <v>0</v>
      </c>
      <c r="BB59" s="29">
        <v>0</v>
      </c>
      <c r="BC59" s="29">
        <v>0</v>
      </c>
      <c r="BD59" s="29">
        <v>1.942581071841591</v>
      </c>
      <c r="BK59" s="3">
        <v>0</v>
      </c>
      <c r="BL59" s="3">
        <v>14.496709204945351</v>
      </c>
      <c r="BM59" s="3">
        <v>90.959463348539927</v>
      </c>
    </row>
    <row r="60" spans="1:65" ht="15.75" customHeight="1" x14ac:dyDescent="0.25">
      <c r="A60" s="3" t="s">
        <v>1008</v>
      </c>
      <c r="B60" s="3" t="s">
        <v>900</v>
      </c>
      <c r="C60" s="3" t="s">
        <v>987</v>
      </c>
      <c r="D60" s="27" t="s">
        <v>900</v>
      </c>
      <c r="E60" s="27" t="s">
        <v>989</v>
      </c>
      <c r="F60" s="31">
        <v>1981</v>
      </c>
      <c r="G60" s="31">
        <v>1981</v>
      </c>
      <c r="H60" s="31">
        <v>175</v>
      </c>
      <c r="I60" s="27">
        <v>0</v>
      </c>
      <c r="J60" s="27">
        <v>22.149999618530252</v>
      </c>
      <c r="L60" s="27">
        <v>0</v>
      </c>
      <c r="P60" s="29">
        <v>0</v>
      </c>
      <c r="AB60" s="27">
        <v>200</v>
      </c>
      <c r="AC60" s="27">
        <v>0</v>
      </c>
      <c r="AD60" s="27">
        <v>0</v>
      </c>
      <c r="AE60" s="27">
        <v>0</v>
      </c>
      <c r="AF60" s="27">
        <v>7.7227058013601129</v>
      </c>
      <c r="AG60" s="27">
        <v>0.33312105174048812</v>
      </c>
      <c r="AH60" s="27">
        <v>0</v>
      </c>
      <c r="AI60" s="31">
        <v>0</v>
      </c>
      <c r="AJ60" s="29">
        <v>0</v>
      </c>
      <c r="AK60" s="31">
        <v>0</v>
      </c>
      <c r="AL60" s="31">
        <v>7.1000000834465071</v>
      </c>
      <c r="AM60" s="31">
        <v>0</v>
      </c>
      <c r="AN60" s="31">
        <v>0</v>
      </c>
      <c r="AO60" s="31">
        <v>0</v>
      </c>
      <c r="AP60" s="31">
        <v>33.557268584244611</v>
      </c>
      <c r="AQ60" s="31">
        <v>0</v>
      </c>
      <c r="AR60" s="29">
        <v>0</v>
      </c>
      <c r="AS60" s="29">
        <v>0</v>
      </c>
      <c r="AT60" s="29">
        <v>0</v>
      </c>
      <c r="AU60" s="29">
        <v>0</v>
      </c>
      <c r="AV60" s="29">
        <v>0</v>
      </c>
      <c r="AW60" s="29">
        <v>0</v>
      </c>
      <c r="AX60" s="29">
        <v>0</v>
      </c>
      <c r="AY60" s="29">
        <v>0</v>
      </c>
      <c r="AZ60" s="29">
        <v>6.2127675881322258E-2</v>
      </c>
      <c r="BA60" s="29">
        <v>0</v>
      </c>
      <c r="BB60" s="29">
        <v>0</v>
      </c>
      <c r="BC60" s="29">
        <v>0</v>
      </c>
      <c r="BD60" s="29">
        <v>1.942581071841591</v>
      </c>
      <c r="BK60" s="3">
        <v>0</v>
      </c>
      <c r="BL60" s="3">
        <v>14.163588153204863</v>
      </c>
      <c r="BM60" s="3">
        <v>90.959463348539927</v>
      </c>
    </row>
    <row r="61" spans="1:65" ht="15.75" customHeight="1" x14ac:dyDescent="0.25">
      <c r="A61" s="3" t="s">
        <v>1008</v>
      </c>
      <c r="B61" s="3" t="s">
        <v>900</v>
      </c>
      <c r="C61" s="3" t="s">
        <v>987</v>
      </c>
      <c r="D61" s="27" t="s">
        <v>900</v>
      </c>
      <c r="E61" s="27" t="s">
        <v>989</v>
      </c>
      <c r="F61" s="31">
        <v>1981</v>
      </c>
      <c r="G61" s="31">
        <v>1981</v>
      </c>
      <c r="H61" s="31">
        <v>176</v>
      </c>
      <c r="I61" s="27">
        <v>0</v>
      </c>
      <c r="J61" s="27">
        <v>22.750000476837201</v>
      </c>
      <c r="L61" s="27">
        <v>0</v>
      </c>
      <c r="P61" s="29">
        <v>0</v>
      </c>
      <c r="AB61" s="27">
        <v>200</v>
      </c>
      <c r="AC61" s="27">
        <v>0</v>
      </c>
      <c r="AD61" s="27">
        <v>0</v>
      </c>
      <c r="AE61" s="27">
        <v>0</v>
      </c>
      <c r="AF61" s="27">
        <v>7.6264673513559691</v>
      </c>
      <c r="AG61" s="27">
        <v>0.32623959828676263</v>
      </c>
      <c r="AH61" s="27">
        <v>0</v>
      </c>
      <c r="AI61" s="31">
        <v>0</v>
      </c>
      <c r="AJ61" s="29">
        <v>0</v>
      </c>
      <c r="AK61" s="31">
        <v>0</v>
      </c>
      <c r="AL61" s="31">
        <v>7.1000000834465071</v>
      </c>
      <c r="AM61" s="31">
        <v>0</v>
      </c>
      <c r="AN61" s="31">
        <v>0</v>
      </c>
      <c r="AO61" s="31">
        <v>0</v>
      </c>
      <c r="AP61" s="31">
        <v>33.883508182531372</v>
      </c>
      <c r="AQ61" s="31">
        <v>0</v>
      </c>
      <c r="AR61" s="29">
        <v>0</v>
      </c>
      <c r="AS61" s="29">
        <v>0</v>
      </c>
      <c r="AT61" s="29">
        <v>0</v>
      </c>
      <c r="AU61" s="29">
        <v>0</v>
      </c>
      <c r="AV61" s="29">
        <v>0</v>
      </c>
      <c r="AW61" s="29">
        <v>0</v>
      </c>
      <c r="AX61" s="29">
        <v>0</v>
      </c>
      <c r="AY61" s="29">
        <v>0</v>
      </c>
      <c r="AZ61" s="29">
        <v>6.2127675881322258E-2</v>
      </c>
      <c r="BA61" s="29">
        <v>0</v>
      </c>
      <c r="BB61" s="29">
        <v>0</v>
      </c>
      <c r="BC61" s="29">
        <v>0</v>
      </c>
      <c r="BD61" s="29">
        <v>1.942581071841591</v>
      </c>
      <c r="BK61" s="3">
        <v>0</v>
      </c>
      <c r="BL61" s="3">
        <v>13.837348554918099</v>
      </c>
      <c r="BM61" s="3">
        <v>90.959463348539927</v>
      </c>
    </row>
    <row r="62" spans="1:65" ht="15.75" customHeight="1" x14ac:dyDescent="0.25">
      <c r="A62" s="3" t="s">
        <v>1008</v>
      </c>
      <c r="B62" s="3" t="s">
        <v>900</v>
      </c>
      <c r="C62" s="3" t="s">
        <v>987</v>
      </c>
      <c r="D62" s="27" t="s">
        <v>900</v>
      </c>
      <c r="E62" s="27" t="s">
        <v>989</v>
      </c>
      <c r="F62" s="31">
        <v>1981</v>
      </c>
      <c r="G62" s="31">
        <v>1981</v>
      </c>
      <c r="H62" s="31">
        <v>177</v>
      </c>
      <c r="I62" s="27">
        <v>0</v>
      </c>
      <c r="J62" s="27">
        <v>24.650000572204604</v>
      </c>
      <c r="L62" s="27">
        <v>0</v>
      </c>
      <c r="P62" s="29">
        <v>0</v>
      </c>
      <c r="AB62" s="27">
        <v>200</v>
      </c>
      <c r="AC62" s="27">
        <v>0</v>
      </c>
      <c r="AD62" s="27">
        <v>0</v>
      </c>
      <c r="AE62" s="27">
        <v>0</v>
      </c>
      <c r="AF62" s="27">
        <v>7.5296932370791279</v>
      </c>
      <c r="AG62" s="27">
        <v>0.31947034541368646</v>
      </c>
      <c r="AH62" s="27">
        <v>0</v>
      </c>
      <c r="AI62" s="31">
        <v>0</v>
      </c>
      <c r="AJ62" s="29">
        <v>0</v>
      </c>
      <c r="AK62" s="31">
        <v>0</v>
      </c>
      <c r="AL62" s="31">
        <v>7.1000000834465071</v>
      </c>
      <c r="AM62" s="31">
        <v>0</v>
      </c>
      <c r="AN62" s="31">
        <v>0</v>
      </c>
      <c r="AO62" s="31">
        <v>0</v>
      </c>
      <c r="AP62" s="31">
        <v>34.202978527945056</v>
      </c>
      <c r="AQ62" s="31">
        <v>0</v>
      </c>
      <c r="AR62" s="29">
        <v>0</v>
      </c>
      <c r="AS62" s="29">
        <v>0</v>
      </c>
      <c r="AT62" s="29">
        <v>0</v>
      </c>
      <c r="AU62" s="29">
        <v>0</v>
      </c>
      <c r="AV62" s="29">
        <v>0</v>
      </c>
      <c r="AW62" s="29">
        <v>0</v>
      </c>
      <c r="AX62" s="29">
        <v>0</v>
      </c>
      <c r="AY62" s="29">
        <v>0</v>
      </c>
      <c r="AZ62" s="29">
        <v>6.2127675881322258E-2</v>
      </c>
      <c r="BA62" s="29">
        <v>0</v>
      </c>
      <c r="BB62" s="29">
        <v>0</v>
      </c>
      <c r="BC62" s="29">
        <v>0</v>
      </c>
      <c r="BD62" s="29">
        <v>1.942581071841591</v>
      </c>
      <c r="BK62" s="3">
        <v>0</v>
      </c>
      <c r="BL62" s="3">
        <v>13.517878209504413</v>
      </c>
      <c r="BM62" s="3">
        <v>90.959463348539927</v>
      </c>
    </row>
    <row r="63" spans="1:65" ht="15.75" customHeight="1" x14ac:dyDescent="0.25">
      <c r="A63" s="3" t="s">
        <v>1008</v>
      </c>
      <c r="B63" s="3" t="s">
        <v>900</v>
      </c>
      <c r="C63" s="3" t="s">
        <v>987</v>
      </c>
      <c r="D63" s="27" t="s">
        <v>900</v>
      </c>
      <c r="E63" s="27" t="s">
        <v>989</v>
      </c>
      <c r="F63" s="31">
        <v>1981</v>
      </c>
      <c r="G63" s="31">
        <v>1981</v>
      </c>
      <c r="H63" s="31">
        <v>178</v>
      </c>
      <c r="I63" s="27">
        <v>0</v>
      </c>
      <c r="J63" s="27">
        <v>23.349999427795399</v>
      </c>
      <c r="L63" s="27">
        <v>0</v>
      </c>
      <c r="P63" s="29">
        <v>0</v>
      </c>
      <c r="AB63" s="27">
        <v>200</v>
      </c>
      <c r="AC63" s="27">
        <v>0</v>
      </c>
      <c r="AD63" s="27">
        <v>0</v>
      </c>
      <c r="AE63" s="27">
        <v>0</v>
      </c>
      <c r="AF63" s="27">
        <v>7.696669914917023</v>
      </c>
      <c r="AG63" s="27">
        <v>0.32393178553870455</v>
      </c>
      <c r="AH63" s="27">
        <v>0</v>
      </c>
      <c r="AI63" s="31">
        <v>0</v>
      </c>
      <c r="AJ63" s="29">
        <v>0</v>
      </c>
      <c r="AK63" s="31">
        <v>0</v>
      </c>
      <c r="AL63" s="31">
        <v>7.1000000834465071</v>
      </c>
      <c r="AM63" s="31">
        <v>0</v>
      </c>
      <c r="AN63" s="31">
        <v>0</v>
      </c>
      <c r="AO63" s="31">
        <v>0</v>
      </c>
      <c r="AP63" s="31">
        <v>34.526910313483761</v>
      </c>
      <c r="AQ63" s="31">
        <v>0</v>
      </c>
      <c r="AR63" s="29">
        <v>0</v>
      </c>
      <c r="AS63" s="29">
        <v>0</v>
      </c>
      <c r="AT63" s="29">
        <v>0</v>
      </c>
      <c r="AU63" s="29">
        <v>0</v>
      </c>
      <c r="AV63" s="29">
        <v>0</v>
      </c>
      <c r="AW63" s="29">
        <v>0</v>
      </c>
      <c r="AX63" s="29">
        <v>0</v>
      </c>
      <c r="AY63" s="29">
        <v>0</v>
      </c>
      <c r="AZ63" s="29">
        <v>6.2127675881322258E-2</v>
      </c>
      <c r="BA63" s="29">
        <v>0</v>
      </c>
      <c r="BB63" s="29">
        <v>0</v>
      </c>
      <c r="BC63" s="29">
        <v>0</v>
      </c>
      <c r="BD63" s="29">
        <v>1.942581071841591</v>
      </c>
      <c r="BK63" s="3">
        <v>0</v>
      </c>
      <c r="BL63" s="3">
        <v>13.193946423965709</v>
      </c>
      <c r="BM63" s="3">
        <v>90.959463348539927</v>
      </c>
    </row>
    <row r="64" spans="1:65" ht="15.75" customHeight="1" x14ac:dyDescent="0.25">
      <c r="A64" s="3" t="s">
        <v>1008</v>
      </c>
      <c r="B64" s="3" t="s">
        <v>900</v>
      </c>
      <c r="C64" s="3" t="s">
        <v>987</v>
      </c>
      <c r="D64" s="27" t="s">
        <v>900</v>
      </c>
      <c r="E64" s="27" t="s">
        <v>989</v>
      </c>
      <c r="F64" s="31">
        <v>1981</v>
      </c>
      <c r="G64" s="31">
        <v>1981</v>
      </c>
      <c r="H64" s="31">
        <v>179</v>
      </c>
      <c r="I64" s="27">
        <v>0</v>
      </c>
      <c r="J64" s="27">
        <v>23.100000381469748</v>
      </c>
      <c r="L64" s="27">
        <v>0</v>
      </c>
      <c r="P64" s="29">
        <v>0</v>
      </c>
      <c r="AB64" s="27">
        <v>200</v>
      </c>
      <c r="AC64" s="27">
        <v>0</v>
      </c>
      <c r="AD64" s="27">
        <v>0</v>
      </c>
      <c r="AE64" s="27">
        <v>0</v>
      </c>
      <c r="AF64" s="27">
        <v>7.8786978898660713</v>
      </c>
      <c r="AG64" s="27">
        <v>0.3289714344684963</v>
      </c>
      <c r="AH64" s="27">
        <v>0</v>
      </c>
      <c r="AI64" s="31">
        <v>0</v>
      </c>
      <c r="AJ64" s="29">
        <v>0</v>
      </c>
      <c r="AK64" s="31">
        <v>0</v>
      </c>
      <c r="AL64" s="31">
        <v>7.1000000834465071</v>
      </c>
      <c r="AM64" s="31">
        <v>0</v>
      </c>
      <c r="AN64" s="31">
        <v>0</v>
      </c>
      <c r="AO64" s="31">
        <v>0</v>
      </c>
      <c r="AP64" s="31">
        <v>34.85588174795226</v>
      </c>
      <c r="AQ64" s="31">
        <v>0</v>
      </c>
      <c r="AR64" s="29">
        <v>0</v>
      </c>
      <c r="AS64" s="29">
        <v>0</v>
      </c>
      <c r="AT64" s="29">
        <v>0</v>
      </c>
      <c r="AU64" s="29">
        <v>0</v>
      </c>
      <c r="AV64" s="29">
        <v>0</v>
      </c>
      <c r="AW64" s="29">
        <v>0</v>
      </c>
      <c r="AX64" s="29">
        <v>0</v>
      </c>
      <c r="AY64" s="29">
        <v>0</v>
      </c>
      <c r="AZ64" s="29">
        <v>6.2127675881322258E-2</v>
      </c>
      <c r="BA64" s="29">
        <v>0</v>
      </c>
      <c r="BB64" s="29">
        <v>0</v>
      </c>
      <c r="BC64" s="29">
        <v>0</v>
      </c>
      <c r="BD64" s="29">
        <v>1.942581071841591</v>
      </c>
      <c r="BK64" s="3">
        <v>0</v>
      </c>
      <c r="BL64" s="3">
        <v>12.925762496775997</v>
      </c>
      <c r="BM64" s="3">
        <v>90.898675841261138</v>
      </c>
    </row>
    <row r="65" spans="1:65" ht="15.75" customHeight="1" x14ac:dyDescent="0.25">
      <c r="A65" s="3" t="s">
        <v>1008</v>
      </c>
      <c r="B65" s="3" t="s">
        <v>900</v>
      </c>
      <c r="C65" s="3" t="s">
        <v>987</v>
      </c>
      <c r="D65" s="27" t="s">
        <v>900</v>
      </c>
      <c r="E65" s="27" t="s">
        <v>989</v>
      </c>
      <c r="F65" s="31">
        <v>1981</v>
      </c>
      <c r="G65" s="31">
        <v>1981</v>
      </c>
      <c r="H65" s="31">
        <v>180</v>
      </c>
      <c r="I65" s="27">
        <v>0</v>
      </c>
      <c r="J65" s="27">
        <v>23.049999713897698</v>
      </c>
      <c r="L65" s="27">
        <v>0</v>
      </c>
      <c r="P65" s="29">
        <v>0</v>
      </c>
      <c r="AB65" s="27">
        <v>200</v>
      </c>
      <c r="AC65" s="27">
        <v>0</v>
      </c>
      <c r="AD65" s="27">
        <v>0</v>
      </c>
      <c r="AE65" s="27">
        <v>0</v>
      </c>
      <c r="AF65" s="27">
        <v>7.929842938854831</v>
      </c>
      <c r="AG65" s="27">
        <v>0.32853014718103513</v>
      </c>
      <c r="AH65" s="27">
        <v>0</v>
      </c>
      <c r="AI65" s="31">
        <v>0</v>
      </c>
      <c r="AJ65" s="29">
        <v>0</v>
      </c>
      <c r="AK65" s="31">
        <v>0</v>
      </c>
      <c r="AL65" s="31">
        <v>7.1000000834465071</v>
      </c>
      <c r="AM65" s="31">
        <v>0</v>
      </c>
      <c r="AN65" s="31">
        <v>0</v>
      </c>
      <c r="AO65" s="31">
        <v>0</v>
      </c>
      <c r="AP65" s="31">
        <v>35.184411895133294</v>
      </c>
      <c r="AQ65" s="31">
        <v>0</v>
      </c>
      <c r="AR65" s="29">
        <v>0</v>
      </c>
      <c r="AS65" s="29">
        <v>0</v>
      </c>
      <c r="AT65" s="29">
        <v>0</v>
      </c>
      <c r="AU65" s="29">
        <v>0</v>
      </c>
      <c r="AV65" s="29">
        <v>0</v>
      </c>
      <c r="AW65" s="29">
        <v>0</v>
      </c>
      <c r="AX65" s="29">
        <v>0</v>
      </c>
      <c r="AY65" s="29">
        <v>0</v>
      </c>
      <c r="AZ65" s="29">
        <v>6.2127675881322258E-2</v>
      </c>
      <c r="BA65" s="29">
        <v>0</v>
      </c>
      <c r="BB65" s="29">
        <v>0</v>
      </c>
      <c r="BC65" s="29">
        <v>0</v>
      </c>
      <c r="BD65" s="29">
        <v>1.942581071841591</v>
      </c>
      <c r="BK65" s="3">
        <v>0</v>
      </c>
      <c r="BL65" s="3">
        <v>12.738033747743199</v>
      </c>
      <c r="BM65" s="3">
        <v>90.757874443112897</v>
      </c>
    </row>
    <row r="66" spans="1:65" ht="15.75" customHeight="1" x14ac:dyDescent="0.25">
      <c r="A66" s="3" t="s">
        <v>1008</v>
      </c>
      <c r="B66" s="3" t="s">
        <v>900</v>
      </c>
      <c r="C66" s="3" t="s">
        <v>987</v>
      </c>
      <c r="D66" s="27" t="s">
        <v>900</v>
      </c>
      <c r="E66" s="27" t="s">
        <v>989</v>
      </c>
      <c r="F66" s="31">
        <v>1981</v>
      </c>
      <c r="G66" s="31">
        <v>1981</v>
      </c>
      <c r="H66" s="31">
        <v>181</v>
      </c>
      <c r="I66" s="27">
        <v>0</v>
      </c>
      <c r="J66" s="27">
        <v>23.650000095367449</v>
      </c>
      <c r="L66" s="27">
        <v>0</v>
      </c>
      <c r="P66" s="29">
        <v>0</v>
      </c>
      <c r="AB66" s="27">
        <v>200</v>
      </c>
      <c r="AC66" s="27">
        <v>0</v>
      </c>
      <c r="AD66" s="27">
        <v>0</v>
      </c>
      <c r="AE66" s="27">
        <v>0</v>
      </c>
      <c r="AF66" s="27">
        <v>8.0670195986635953</v>
      </c>
      <c r="AG66" s="27">
        <v>0.33165218520775802</v>
      </c>
      <c r="AH66" s="27">
        <v>0</v>
      </c>
      <c r="AI66" s="31">
        <v>0</v>
      </c>
      <c r="AJ66" s="29">
        <v>0</v>
      </c>
      <c r="AK66" s="31">
        <v>0</v>
      </c>
      <c r="AL66" s="31">
        <v>7.1000000834465071</v>
      </c>
      <c r="AM66" s="31">
        <v>0</v>
      </c>
      <c r="AN66" s="31">
        <v>0</v>
      </c>
      <c r="AO66" s="31">
        <v>0</v>
      </c>
      <c r="AP66" s="31">
        <v>35.516064080341053</v>
      </c>
      <c r="AQ66" s="31">
        <v>0</v>
      </c>
      <c r="AR66" s="29">
        <v>0</v>
      </c>
      <c r="AS66" s="29">
        <v>0</v>
      </c>
      <c r="AT66" s="29">
        <v>0</v>
      </c>
      <c r="AU66" s="29">
        <v>0</v>
      </c>
      <c r="AV66" s="29">
        <v>0</v>
      </c>
      <c r="AW66" s="29">
        <v>0</v>
      </c>
      <c r="AX66" s="29">
        <v>0</v>
      </c>
      <c r="AY66" s="29">
        <v>0</v>
      </c>
      <c r="AZ66" s="29">
        <v>6.2127675881322258E-2</v>
      </c>
      <c r="BA66" s="29">
        <v>0</v>
      </c>
      <c r="BB66" s="29">
        <v>0</v>
      </c>
      <c r="BC66" s="29">
        <v>0</v>
      </c>
      <c r="BD66" s="29">
        <v>1.942581071841591</v>
      </c>
      <c r="BK66" s="3">
        <v>0</v>
      </c>
      <c r="BL66" s="3">
        <v>12.606623623420239</v>
      </c>
      <c r="BM66" s="3">
        <v>90.557632382228093</v>
      </c>
    </row>
    <row r="67" spans="1:65" ht="15.75" customHeight="1" x14ac:dyDescent="0.25">
      <c r="A67" s="3" t="s">
        <v>1008</v>
      </c>
      <c r="B67" s="3" t="s">
        <v>900</v>
      </c>
      <c r="C67" s="3" t="s">
        <v>987</v>
      </c>
      <c r="D67" s="27" t="s">
        <v>900</v>
      </c>
      <c r="E67" s="27" t="s">
        <v>989</v>
      </c>
      <c r="F67" s="31">
        <v>1981</v>
      </c>
      <c r="G67" s="31">
        <v>1981</v>
      </c>
      <c r="H67" s="31">
        <v>182</v>
      </c>
      <c r="I67" s="27">
        <v>0</v>
      </c>
      <c r="J67" s="27">
        <v>24.250000476837201</v>
      </c>
      <c r="L67" s="27">
        <v>0</v>
      </c>
      <c r="P67" s="29">
        <v>0</v>
      </c>
      <c r="AB67" s="27">
        <v>200</v>
      </c>
      <c r="AC67" s="27">
        <v>0</v>
      </c>
      <c r="AD67" s="27">
        <v>0</v>
      </c>
      <c r="AE67" s="27">
        <v>0</v>
      </c>
      <c r="AF67" s="27">
        <v>8.3448085272056964</v>
      </c>
      <c r="AG67" s="27">
        <v>0.34048333501612621</v>
      </c>
      <c r="AH67" s="27">
        <v>0</v>
      </c>
      <c r="AI67" s="31">
        <v>0</v>
      </c>
      <c r="AJ67" s="29">
        <v>0</v>
      </c>
      <c r="AK67" s="31">
        <v>0</v>
      </c>
      <c r="AL67" s="31">
        <v>7.1000000834465071</v>
      </c>
      <c r="AM67" s="31">
        <v>0</v>
      </c>
      <c r="AN67" s="31">
        <v>0</v>
      </c>
      <c r="AO67" s="31">
        <v>0</v>
      </c>
      <c r="AP67" s="31">
        <v>35.856547415357177</v>
      </c>
      <c r="AQ67" s="31">
        <v>0</v>
      </c>
      <c r="AR67" s="29">
        <v>0</v>
      </c>
      <c r="AS67" s="29">
        <v>0</v>
      </c>
      <c r="AT67" s="29">
        <v>0</v>
      </c>
      <c r="AU67" s="29">
        <v>0</v>
      </c>
      <c r="AV67" s="29">
        <v>0</v>
      </c>
      <c r="AW67" s="29">
        <v>0</v>
      </c>
      <c r="AX67" s="29">
        <v>0</v>
      </c>
      <c r="AY67" s="29">
        <v>0</v>
      </c>
      <c r="AZ67" s="29">
        <v>6.2127675881322258E-2</v>
      </c>
      <c r="BA67" s="29">
        <v>0</v>
      </c>
      <c r="BB67" s="29">
        <v>0</v>
      </c>
      <c r="BC67" s="29">
        <v>0</v>
      </c>
      <c r="BD67" s="29">
        <v>1.942581071841591</v>
      </c>
      <c r="BK67" s="3">
        <v>0</v>
      </c>
      <c r="BL67" s="3">
        <v>12.514636536394168</v>
      </c>
      <c r="BM67" s="3">
        <v>90.309136134238031</v>
      </c>
    </row>
    <row r="68" spans="1:65" ht="15.75" customHeight="1" x14ac:dyDescent="0.25">
      <c r="A68" s="3" t="s">
        <v>1008</v>
      </c>
      <c r="B68" s="3" t="s">
        <v>900</v>
      </c>
      <c r="C68" s="3" t="s">
        <v>987</v>
      </c>
      <c r="D68" s="27" t="s">
        <v>900</v>
      </c>
      <c r="E68" s="27" t="s">
        <v>989</v>
      </c>
      <c r="F68" s="31">
        <v>1981</v>
      </c>
      <c r="G68" s="31">
        <v>1981</v>
      </c>
      <c r="H68" s="31">
        <v>183</v>
      </c>
      <c r="I68" s="27">
        <v>0</v>
      </c>
      <c r="J68" s="27">
        <v>23.699999809265151</v>
      </c>
      <c r="L68" s="27">
        <v>0</v>
      </c>
      <c r="P68" s="29">
        <v>0</v>
      </c>
      <c r="AB68" s="27">
        <v>200</v>
      </c>
      <c r="AC68" s="27">
        <v>0</v>
      </c>
      <c r="AD68" s="27">
        <v>0</v>
      </c>
      <c r="AE68" s="27">
        <v>0</v>
      </c>
      <c r="AF68" s="27">
        <v>7.9615615726025277</v>
      </c>
      <c r="AG68" s="27">
        <v>0.32243084998827598</v>
      </c>
      <c r="AH68" s="27">
        <v>0</v>
      </c>
      <c r="AI68" s="31">
        <v>0</v>
      </c>
      <c r="AJ68" s="29">
        <v>0</v>
      </c>
      <c r="AK68" s="31">
        <v>0</v>
      </c>
      <c r="AL68" s="31">
        <v>7.1000000834465071</v>
      </c>
      <c r="AM68" s="31">
        <v>0</v>
      </c>
      <c r="AN68" s="31">
        <v>0</v>
      </c>
      <c r="AO68" s="31">
        <v>0</v>
      </c>
      <c r="AP68" s="31">
        <v>36.178978265345449</v>
      </c>
      <c r="AQ68" s="31">
        <v>0</v>
      </c>
      <c r="AR68" s="29">
        <v>0</v>
      </c>
      <c r="AS68" s="29">
        <v>0</v>
      </c>
      <c r="AT68" s="29">
        <v>0</v>
      </c>
      <c r="AU68" s="29">
        <v>0</v>
      </c>
      <c r="AV68" s="29">
        <v>0</v>
      </c>
      <c r="AW68" s="29">
        <v>0</v>
      </c>
      <c r="AX68" s="29">
        <v>0</v>
      </c>
      <c r="AY68" s="29">
        <v>0</v>
      </c>
      <c r="AZ68" s="29">
        <v>6.2127675881322258E-2</v>
      </c>
      <c r="BA68" s="29">
        <v>0</v>
      </c>
      <c r="BB68" s="29">
        <v>0</v>
      </c>
      <c r="BC68" s="29">
        <v>0</v>
      </c>
      <c r="BD68" s="29">
        <v>1.942581071841591</v>
      </c>
      <c r="BK68" s="3">
        <v>0</v>
      </c>
      <c r="BL68" s="3">
        <v>12.450245575475918</v>
      </c>
      <c r="BM68" s="3">
        <v>90.051096245168011</v>
      </c>
    </row>
    <row r="69" spans="1:65" ht="15.75" customHeight="1" x14ac:dyDescent="0.25">
      <c r="A69" s="3" t="s">
        <v>1008</v>
      </c>
      <c r="B69" s="3" t="s">
        <v>900</v>
      </c>
      <c r="C69" s="3" t="s">
        <v>987</v>
      </c>
      <c r="D69" s="27" t="s">
        <v>900</v>
      </c>
      <c r="E69" s="27" t="s">
        <v>989</v>
      </c>
      <c r="F69" s="31">
        <v>1981</v>
      </c>
      <c r="G69" s="31">
        <v>1981</v>
      </c>
      <c r="H69" s="31">
        <v>184</v>
      </c>
      <c r="I69" s="27">
        <v>0</v>
      </c>
      <c r="J69" s="27">
        <v>25.899999618530252</v>
      </c>
      <c r="L69" s="27">
        <v>0</v>
      </c>
      <c r="P69" s="29">
        <v>0</v>
      </c>
      <c r="AB69" s="27">
        <v>200</v>
      </c>
      <c r="AC69" s="27">
        <v>0</v>
      </c>
      <c r="AD69" s="27">
        <v>0</v>
      </c>
      <c r="AE69" s="27">
        <v>0</v>
      </c>
      <c r="AF69" s="27">
        <v>8.9251527335818199</v>
      </c>
      <c r="AG69" s="27">
        <v>0.35880666454610333</v>
      </c>
      <c r="AH69" s="27">
        <v>0</v>
      </c>
      <c r="AI69" s="31">
        <v>0</v>
      </c>
      <c r="AJ69" s="29">
        <v>0</v>
      </c>
      <c r="AK69" s="31">
        <v>0</v>
      </c>
      <c r="AL69" s="31">
        <v>7.1000000834465071</v>
      </c>
      <c r="AM69" s="31">
        <v>0</v>
      </c>
      <c r="AN69" s="31">
        <v>0</v>
      </c>
      <c r="AO69" s="31">
        <v>0</v>
      </c>
      <c r="AP69" s="31">
        <v>36.537784929891551</v>
      </c>
      <c r="AQ69" s="31">
        <v>0</v>
      </c>
      <c r="AR69" s="29">
        <v>0</v>
      </c>
      <c r="AS69" s="29">
        <v>0</v>
      </c>
      <c r="AT69" s="29">
        <v>0</v>
      </c>
      <c r="AU69" s="29">
        <v>0</v>
      </c>
      <c r="AV69" s="29">
        <v>0</v>
      </c>
      <c r="AW69" s="29">
        <v>0</v>
      </c>
      <c r="AX69" s="29">
        <v>0</v>
      </c>
      <c r="AY69" s="29">
        <v>0</v>
      </c>
      <c r="AZ69" s="29">
        <v>6.2127675881322258E-2</v>
      </c>
      <c r="BA69" s="29">
        <v>0</v>
      </c>
      <c r="BB69" s="29">
        <v>0</v>
      </c>
      <c r="BC69" s="29">
        <v>0</v>
      </c>
      <c r="BD69" s="29">
        <v>1.942581071841591</v>
      </c>
      <c r="BK69" s="3">
        <v>0</v>
      </c>
      <c r="BL69" s="3">
        <v>12.405171902833143</v>
      </c>
      <c r="BM69" s="3">
        <v>89.737363253264689</v>
      </c>
    </row>
    <row r="70" spans="1:65" ht="15.75" customHeight="1" x14ac:dyDescent="0.25">
      <c r="A70" s="3" t="s">
        <v>1008</v>
      </c>
      <c r="B70" s="3" t="s">
        <v>900</v>
      </c>
      <c r="C70" s="3" t="s">
        <v>987</v>
      </c>
      <c r="D70" s="27" t="s">
        <v>900</v>
      </c>
      <c r="E70" s="27" t="s">
        <v>989</v>
      </c>
      <c r="F70" s="31">
        <v>1981</v>
      </c>
      <c r="G70" s="31">
        <v>1981</v>
      </c>
      <c r="H70" s="31">
        <v>185</v>
      </c>
      <c r="I70" s="27">
        <v>0</v>
      </c>
      <c r="J70" s="27">
        <v>27.54999923706055</v>
      </c>
      <c r="L70" s="27">
        <v>0</v>
      </c>
      <c r="P70" s="29">
        <v>0</v>
      </c>
      <c r="AB70" s="27">
        <v>200</v>
      </c>
      <c r="AC70" s="27">
        <v>0</v>
      </c>
      <c r="AD70" s="27">
        <v>0</v>
      </c>
      <c r="AE70" s="27">
        <v>0</v>
      </c>
      <c r="AF70" s="27">
        <v>10.245126838860541</v>
      </c>
      <c r="AG70" s="27">
        <v>0.40889799839986313</v>
      </c>
      <c r="AH70" s="27">
        <v>0</v>
      </c>
      <c r="AI70" s="31">
        <v>0</v>
      </c>
      <c r="AJ70" s="29">
        <v>0</v>
      </c>
      <c r="AK70" s="31">
        <v>0</v>
      </c>
      <c r="AL70" s="31">
        <v>7.1000000834465071</v>
      </c>
      <c r="AM70" s="31">
        <v>0</v>
      </c>
      <c r="AN70" s="31">
        <v>0</v>
      </c>
      <c r="AO70" s="31">
        <v>0</v>
      </c>
      <c r="AP70" s="31">
        <v>36.946682928291416</v>
      </c>
      <c r="AQ70" s="31">
        <v>0</v>
      </c>
      <c r="AR70" s="29">
        <v>0</v>
      </c>
      <c r="AS70" s="29">
        <v>0</v>
      </c>
      <c r="AT70" s="29">
        <v>0</v>
      </c>
      <c r="AU70" s="29">
        <v>0</v>
      </c>
      <c r="AV70" s="29">
        <v>0</v>
      </c>
      <c r="AW70" s="29">
        <v>0</v>
      </c>
      <c r="AX70" s="29">
        <v>0</v>
      </c>
      <c r="AY70" s="29">
        <v>0</v>
      </c>
      <c r="AZ70" s="29">
        <v>6.2127675881322258E-2</v>
      </c>
      <c r="BA70" s="29">
        <v>0</v>
      </c>
      <c r="BB70" s="29">
        <v>0</v>
      </c>
      <c r="BC70" s="29">
        <v>0</v>
      </c>
      <c r="BD70" s="29">
        <v>1.942581071841591</v>
      </c>
      <c r="BK70" s="3">
        <v>0</v>
      </c>
      <c r="BL70" s="3">
        <v>12.373620331983201</v>
      </c>
      <c r="BM70" s="3">
        <v>89.360016825714766</v>
      </c>
    </row>
    <row r="71" spans="1:65" ht="15.75" customHeight="1" x14ac:dyDescent="0.25">
      <c r="A71" s="3" t="s">
        <v>1008</v>
      </c>
      <c r="B71" s="3" t="s">
        <v>900</v>
      </c>
      <c r="C71" s="3" t="s">
        <v>987</v>
      </c>
      <c r="D71" s="27" t="s">
        <v>900</v>
      </c>
      <c r="E71" s="27" t="s">
        <v>989</v>
      </c>
      <c r="F71" s="31">
        <v>1981</v>
      </c>
      <c r="G71" s="31">
        <v>1981</v>
      </c>
      <c r="H71" s="31">
        <v>186</v>
      </c>
      <c r="I71" s="27">
        <v>0</v>
      </c>
      <c r="J71" s="27">
        <v>29.349999427795403</v>
      </c>
      <c r="L71" s="27">
        <v>0</v>
      </c>
      <c r="P71" s="29">
        <v>0</v>
      </c>
      <c r="AB71" s="27">
        <v>200</v>
      </c>
      <c r="AC71" s="27">
        <v>0</v>
      </c>
      <c r="AD71" s="27">
        <v>0</v>
      </c>
      <c r="AE71" s="27">
        <v>0</v>
      </c>
      <c r="AF71" s="27">
        <v>11.133353313443815</v>
      </c>
      <c r="AG71" s="27">
        <v>0.44118567349207599</v>
      </c>
      <c r="AH71" s="27">
        <v>0</v>
      </c>
      <c r="AI71" s="31">
        <v>0</v>
      </c>
      <c r="AJ71" s="29">
        <v>0</v>
      </c>
      <c r="AK71" s="31">
        <v>0</v>
      </c>
      <c r="AL71" s="31">
        <v>7.1000000834465071</v>
      </c>
      <c r="AM71" s="31">
        <v>0</v>
      </c>
      <c r="AN71" s="31">
        <v>0</v>
      </c>
      <c r="AO71" s="31">
        <v>0</v>
      </c>
      <c r="AP71" s="31">
        <v>37.387868601783495</v>
      </c>
      <c r="AQ71" s="31">
        <v>0</v>
      </c>
      <c r="AR71" s="29">
        <v>0</v>
      </c>
      <c r="AS71" s="29">
        <v>0</v>
      </c>
      <c r="AT71" s="29">
        <v>0</v>
      </c>
      <c r="AU71" s="29">
        <v>0</v>
      </c>
      <c r="AV71" s="29">
        <v>0</v>
      </c>
      <c r="AW71" s="29">
        <v>0</v>
      </c>
      <c r="AX71" s="29">
        <v>0</v>
      </c>
      <c r="AY71" s="29">
        <v>0</v>
      </c>
      <c r="AZ71" s="29">
        <v>6.2127675881322258E-2</v>
      </c>
      <c r="BA71" s="29">
        <v>0</v>
      </c>
      <c r="BB71" s="29">
        <v>0</v>
      </c>
      <c r="BC71" s="29">
        <v>0</v>
      </c>
      <c r="BD71" s="29">
        <v>1.942581071841591</v>
      </c>
      <c r="BK71" s="3">
        <v>0</v>
      </c>
      <c r="BL71" s="3">
        <v>12.351534232388241</v>
      </c>
      <c r="BM71" s="3">
        <v>88.940917251817652</v>
      </c>
    </row>
    <row r="72" spans="1:65" ht="15.75" customHeight="1" x14ac:dyDescent="0.25">
      <c r="A72" s="3" t="s">
        <v>1008</v>
      </c>
      <c r="B72" s="3" t="s">
        <v>900</v>
      </c>
      <c r="C72" s="3" t="s">
        <v>987</v>
      </c>
      <c r="D72" s="27" t="s">
        <v>900</v>
      </c>
      <c r="E72" s="27" t="s">
        <v>989</v>
      </c>
      <c r="F72" s="31">
        <v>1981</v>
      </c>
      <c r="G72" s="31">
        <v>1981</v>
      </c>
      <c r="H72" s="31">
        <v>187</v>
      </c>
      <c r="I72" s="27">
        <v>0</v>
      </c>
      <c r="J72" s="27">
        <v>30.799999237060497</v>
      </c>
      <c r="L72" s="27">
        <v>0</v>
      </c>
      <c r="P72" s="29">
        <v>0</v>
      </c>
      <c r="AB72" s="27">
        <v>200</v>
      </c>
      <c r="AC72" s="27">
        <v>0</v>
      </c>
      <c r="AD72" s="27">
        <v>0</v>
      </c>
      <c r="AE72" s="27">
        <v>0</v>
      </c>
      <c r="AF72" s="27">
        <v>11.548791908810735</v>
      </c>
      <c r="AG72" s="27">
        <v>0.45443673158790915</v>
      </c>
      <c r="AH72" s="27">
        <v>0</v>
      </c>
      <c r="AI72" s="31">
        <v>0</v>
      </c>
      <c r="AJ72" s="29">
        <v>0</v>
      </c>
      <c r="AK72" s="31">
        <v>0</v>
      </c>
      <c r="AL72" s="31">
        <v>7.1000000834465071</v>
      </c>
      <c r="AM72" s="31">
        <v>0</v>
      </c>
      <c r="AN72" s="31">
        <v>0</v>
      </c>
      <c r="AO72" s="31">
        <v>0</v>
      </c>
      <c r="AP72" s="31">
        <v>37.842305333371407</v>
      </c>
      <c r="AQ72" s="31">
        <v>0</v>
      </c>
      <c r="AR72" s="29">
        <v>0</v>
      </c>
      <c r="AS72" s="29">
        <v>0</v>
      </c>
      <c r="AT72" s="29">
        <v>0</v>
      </c>
      <c r="AU72" s="29">
        <v>0</v>
      </c>
      <c r="AV72" s="29">
        <v>0</v>
      </c>
      <c r="AW72" s="29">
        <v>0</v>
      </c>
      <c r="AX72" s="29">
        <v>0</v>
      </c>
      <c r="AY72" s="29">
        <v>0</v>
      </c>
      <c r="AZ72" s="29">
        <v>6.2127675881322258E-2</v>
      </c>
      <c r="BA72" s="29">
        <v>0</v>
      </c>
      <c r="BB72" s="29">
        <v>0</v>
      </c>
      <c r="BC72" s="29">
        <v>0</v>
      </c>
      <c r="BD72" s="29">
        <v>1.942581071841591</v>
      </c>
      <c r="BK72" s="3">
        <v>0</v>
      </c>
      <c r="BL72" s="3">
        <v>12.336073962671769</v>
      </c>
      <c r="BM72" s="3">
        <v>88.501940789946218</v>
      </c>
    </row>
    <row r="73" spans="1:65" ht="15.75" customHeight="1" x14ac:dyDescent="0.25">
      <c r="A73" s="3" t="s">
        <v>1008</v>
      </c>
      <c r="B73" s="3" t="s">
        <v>900</v>
      </c>
      <c r="C73" s="3" t="s">
        <v>987</v>
      </c>
      <c r="D73" s="27" t="s">
        <v>900</v>
      </c>
      <c r="E73" s="27" t="s">
        <v>989</v>
      </c>
      <c r="F73" s="31">
        <v>1981</v>
      </c>
      <c r="G73" s="31">
        <v>1981</v>
      </c>
      <c r="H73" s="31">
        <v>188</v>
      </c>
      <c r="I73" s="27">
        <v>0</v>
      </c>
      <c r="J73" s="27">
        <v>30.799999237060497</v>
      </c>
      <c r="L73" s="27">
        <v>0</v>
      </c>
      <c r="P73" s="29">
        <v>0</v>
      </c>
      <c r="AB73" s="27">
        <v>200</v>
      </c>
      <c r="AC73" s="27">
        <v>0</v>
      </c>
      <c r="AD73" s="27">
        <v>0</v>
      </c>
      <c r="AE73" s="27">
        <v>0</v>
      </c>
      <c r="AF73" s="27">
        <v>11.32798630512883</v>
      </c>
      <c r="AG73" s="27">
        <v>0.44266331468968739</v>
      </c>
      <c r="AH73" s="27">
        <v>0</v>
      </c>
      <c r="AI73" s="31">
        <v>0</v>
      </c>
      <c r="AJ73" s="29">
        <v>0</v>
      </c>
      <c r="AK73" s="31">
        <v>0</v>
      </c>
      <c r="AL73" s="31">
        <v>7.1000000834465071</v>
      </c>
      <c r="AM73" s="31">
        <v>0</v>
      </c>
      <c r="AN73" s="31">
        <v>0</v>
      </c>
      <c r="AO73" s="31">
        <v>0</v>
      </c>
      <c r="AP73" s="31">
        <v>38.284968648061096</v>
      </c>
      <c r="AQ73" s="31">
        <v>0</v>
      </c>
      <c r="AR73" s="29">
        <v>0</v>
      </c>
      <c r="AS73" s="29">
        <v>0</v>
      </c>
      <c r="AT73" s="29">
        <v>0</v>
      </c>
      <c r="AU73" s="29">
        <v>0</v>
      </c>
      <c r="AV73" s="29">
        <v>0</v>
      </c>
      <c r="AW73" s="29">
        <v>0</v>
      </c>
      <c r="AX73" s="29">
        <v>0</v>
      </c>
      <c r="AY73" s="29">
        <v>0</v>
      </c>
      <c r="AZ73" s="29">
        <v>6.2127675881322258E-2</v>
      </c>
      <c r="BA73" s="29">
        <v>0</v>
      </c>
      <c r="BB73" s="29">
        <v>0</v>
      </c>
      <c r="BC73" s="29">
        <v>0</v>
      </c>
      <c r="BD73" s="29">
        <v>1.942581071841591</v>
      </c>
      <c r="BK73" s="3">
        <v>0</v>
      </c>
      <c r="BL73" s="3">
        <v>12.325251773870239</v>
      </c>
      <c r="BM73" s="3">
        <v>88.070099664058063</v>
      </c>
    </row>
    <row r="74" spans="1:65" ht="15.75" customHeight="1" x14ac:dyDescent="0.25">
      <c r="A74" s="3" t="s">
        <v>1008</v>
      </c>
      <c r="B74" s="3" t="s">
        <v>900</v>
      </c>
      <c r="C74" s="3" t="s">
        <v>987</v>
      </c>
      <c r="D74" s="27" t="s">
        <v>900</v>
      </c>
      <c r="E74" s="27" t="s">
        <v>989</v>
      </c>
      <c r="F74" s="31">
        <v>1981</v>
      </c>
      <c r="G74" s="31">
        <v>1981</v>
      </c>
      <c r="H74" s="31">
        <v>189</v>
      </c>
      <c r="I74" s="27">
        <v>0</v>
      </c>
      <c r="J74" s="27">
        <v>31.850000381469698</v>
      </c>
      <c r="L74" s="27">
        <v>0</v>
      </c>
      <c r="P74" s="29">
        <v>0</v>
      </c>
      <c r="AB74" s="27">
        <v>200</v>
      </c>
      <c r="AC74" s="27">
        <v>0</v>
      </c>
      <c r="AD74" s="27">
        <v>0</v>
      </c>
      <c r="AE74" s="27">
        <v>0</v>
      </c>
      <c r="AF74" s="27">
        <v>10.757074075157789</v>
      </c>
      <c r="AG74" s="27">
        <v>0.41748438812743738</v>
      </c>
      <c r="AH74" s="27">
        <v>0</v>
      </c>
      <c r="AI74" s="31">
        <v>0</v>
      </c>
      <c r="AJ74" s="29">
        <v>0</v>
      </c>
      <c r="AK74" s="31">
        <v>0</v>
      </c>
      <c r="AL74" s="31">
        <v>7.1000000834465071</v>
      </c>
      <c r="AM74" s="31">
        <v>0</v>
      </c>
      <c r="AN74" s="31">
        <v>0</v>
      </c>
      <c r="AO74" s="31">
        <v>0</v>
      </c>
      <c r="AP74" s="31">
        <v>38.70245303618853</v>
      </c>
      <c r="AQ74" s="31">
        <v>0</v>
      </c>
      <c r="AR74" s="29">
        <v>0</v>
      </c>
      <c r="AS74" s="29">
        <v>0</v>
      </c>
      <c r="AT74" s="29">
        <v>0</v>
      </c>
      <c r="AU74" s="29">
        <v>0</v>
      </c>
      <c r="AV74" s="29">
        <v>0</v>
      </c>
      <c r="AW74" s="29">
        <v>0</v>
      </c>
      <c r="AX74" s="29">
        <v>0</v>
      </c>
      <c r="AY74" s="29">
        <v>0</v>
      </c>
      <c r="AZ74" s="29">
        <v>6.2127675881322258E-2</v>
      </c>
      <c r="BA74" s="29">
        <v>0</v>
      </c>
      <c r="BB74" s="29">
        <v>0</v>
      </c>
      <c r="BC74" s="29">
        <v>0</v>
      </c>
      <c r="BD74" s="29">
        <v>1.942581071841591</v>
      </c>
      <c r="BK74" s="3">
        <v>0</v>
      </c>
      <c r="BL74" s="3">
        <v>12.317676241709167</v>
      </c>
      <c r="BM74" s="3">
        <v>87.660190808091698</v>
      </c>
    </row>
    <row r="75" spans="1:65" ht="15.75" customHeight="1" x14ac:dyDescent="0.25">
      <c r="A75" s="3" t="s">
        <v>1008</v>
      </c>
      <c r="B75" s="3" t="s">
        <v>900</v>
      </c>
      <c r="C75" s="3" t="s">
        <v>987</v>
      </c>
      <c r="D75" s="27" t="s">
        <v>900</v>
      </c>
      <c r="E75" s="27" t="s">
        <v>989</v>
      </c>
      <c r="F75" s="31">
        <v>1981</v>
      </c>
      <c r="G75" s="31">
        <v>1981</v>
      </c>
      <c r="H75" s="31">
        <v>190</v>
      </c>
      <c r="I75" s="27">
        <v>0</v>
      </c>
      <c r="J75" s="27">
        <v>30.599999427795403</v>
      </c>
      <c r="L75" s="27">
        <v>0</v>
      </c>
      <c r="P75" s="29">
        <v>0</v>
      </c>
      <c r="AB75" s="27">
        <v>200</v>
      </c>
      <c r="AC75" s="27">
        <v>0</v>
      </c>
      <c r="AD75" s="27">
        <v>0</v>
      </c>
      <c r="AE75" s="27">
        <v>0</v>
      </c>
      <c r="AF75" s="27">
        <v>10.869725436084016</v>
      </c>
      <c r="AG75" s="27">
        <v>0.41901553111539119</v>
      </c>
      <c r="AH75" s="27">
        <v>0</v>
      </c>
      <c r="AI75" s="31">
        <v>0</v>
      </c>
      <c r="AJ75" s="29">
        <v>0</v>
      </c>
      <c r="AK75" s="31">
        <v>0</v>
      </c>
      <c r="AL75" s="31">
        <v>7.1000000834465071</v>
      </c>
      <c r="AM75" s="31">
        <v>0</v>
      </c>
      <c r="AN75" s="31">
        <v>0</v>
      </c>
      <c r="AO75" s="31">
        <v>0</v>
      </c>
      <c r="AP75" s="31">
        <v>39.121468567303921</v>
      </c>
      <c r="AQ75" s="31">
        <v>0</v>
      </c>
      <c r="AR75" s="29">
        <v>0</v>
      </c>
      <c r="AS75" s="29">
        <v>0</v>
      </c>
      <c r="AT75" s="29">
        <v>0</v>
      </c>
      <c r="AU75" s="29">
        <v>0</v>
      </c>
      <c r="AV75" s="29">
        <v>0</v>
      </c>
      <c r="AW75" s="29">
        <v>0</v>
      </c>
      <c r="AX75" s="29">
        <v>0</v>
      </c>
      <c r="AY75" s="29">
        <v>0</v>
      </c>
      <c r="AZ75" s="29">
        <v>6.2127675881322258E-2</v>
      </c>
      <c r="BA75" s="29">
        <v>0</v>
      </c>
      <c r="BB75" s="29">
        <v>0</v>
      </c>
      <c r="BC75" s="29">
        <v>0</v>
      </c>
      <c r="BD75" s="29">
        <v>1.942581071841591</v>
      </c>
      <c r="BK75" s="3">
        <v>0</v>
      </c>
      <c r="BL75" s="3">
        <v>12.312373369196417</v>
      </c>
      <c r="BM75" s="3">
        <v>87.24647814948905</v>
      </c>
    </row>
    <row r="76" spans="1:65" ht="15.75" customHeight="1" x14ac:dyDescent="0.25">
      <c r="A76" s="3" t="s">
        <v>1008</v>
      </c>
      <c r="B76" s="3" t="s">
        <v>900</v>
      </c>
      <c r="C76" s="3" t="s">
        <v>987</v>
      </c>
      <c r="D76" s="27" t="s">
        <v>900</v>
      </c>
      <c r="E76" s="27" t="s">
        <v>989</v>
      </c>
      <c r="F76" s="31">
        <v>1981</v>
      </c>
      <c r="G76" s="31">
        <v>1981</v>
      </c>
      <c r="H76" s="31">
        <v>191</v>
      </c>
      <c r="I76" s="27">
        <v>0</v>
      </c>
      <c r="J76" s="27">
        <v>30.399999618530252</v>
      </c>
      <c r="L76" s="27">
        <v>0</v>
      </c>
      <c r="P76" s="29">
        <v>0</v>
      </c>
      <c r="AB76" s="27">
        <v>200</v>
      </c>
      <c r="AC76" s="27">
        <v>0</v>
      </c>
      <c r="AD76" s="27">
        <v>0</v>
      </c>
      <c r="AE76" s="27">
        <v>0</v>
      </c>
      <c r="AF76" s="27">
        <v>10.930326883750789</v>
      </c>
      <c r="AG76" s="27">
        <v>0.41855187613296196</v>
      </c>
      <c r="AH76" s="27">
        <v>0</v>
      </c>
      <c r="AI76" s="31">
        <v>0</v>
      </c>
      <c r="AJ76" s="29">
        <v>0</v>
      </c>
      <c r="AK76" s="31">
        <v>0</v>
      </c>
      <c r="AL76" s="31">
        <v>7.1000000834465071</v>
      </c>
      <c r="AM76" s="31">
        <v>0</v>
      </c>
      <c r="AN76" s="31">
        <v>0</v>
      </c>
      <c r="AO76" s="31">
        <v>0</v>
      </c>
      <c r="AP76" s="31">
        <v>39.54002044343688</v>
      </c>
      <c r="AQ76" s="31">
        <v>0</v>
      </c>
      <c r="AR76" s="29">
        <v>0</v>
      </c>
      <c r="AS76" s="29">
        <v>0</v>
      </c>
      <c r="AT76" s="29">
        <v>0</v>
      </c>
      <c r="AU76" s="29">
        <v>0</v>
      </c>
      <c r="AV76" s="29">
        <v>0</v>
      </c>
      <c r="AW76" s="29">
        <v>0</v>
      </c>
      <c r="AX76" s="29">
        <v>0</v>
      </c>
      <c r="AY76" s="29">
        <v>0</v>
      </c>
      <c r="AZ76" s="29">
        <v>6.2127675881322258E-2</v>
      </c>
      <c r="BA76" s="29">
        <v>0</v>
      </c>
      <c r="BB76" s="29">
        <v>0</v>
      </c>
      <c r="BC76" s="29">
        <v>0</v>
      </c>
      <c r="BD76" s="29">
        <v>1.942581071841591</v>
      </c>
      <c r="BK76" s="3">
        <v>0</v>
      </c>
      <c r="BL76" s="3">
        <v>12.308661358437492</v>
      </c>
      <c r="BM76" s="3">
        <v>86.831638284115016</v>
      </c>
    </row>
    <row r="77" spans="1:65" ht="15.75" customHeight="1" x14ac:dyDescent="0.25">
      <c r="A77" s="3" t="s">
        <v>1008</v>
      </c>
      <c r="B77" s="3" t="s">
        <v>900</v>
      </c>
      <c r="C77" s="3" t="s">
        <v>987</v>
      </c>
      <c r="D77" s="27" t="s">
        <v>900</v>
      </c>
      <c r="E77" s="27" t="s">
        <v>989</v>
      </c>
      <c r="F77" s="31">
        <v>1981</v>
      </c>
      <c r="G77" s="31">
        <v>1981</v>
      </c>
      <c r="H77" s="31">
        <v>192</v>
      </c>
      <c r="I77" s="27">
        <v>0</v>
      </c>
      <c r="J77" s="27">
        <v>30.149999618530249</v>
      </c>
      <c r="L77" s="27">
        <v>0</v>
      </c>
      <c r="P77" s="29">
        <v>0</v>
      </c>
      <c r="AB77" s="27">
        <v>200</v>
      </c>
      <c r="AC77" s="27">
        <v>0</v>
      </c>
      <c r="AD77" s="27">
        <v>0</v>
      </c>
      <c r="AE77" s="27">
        <v>0</v>
      </c>
      <c r="AF77" s="27">
        <v>11.077407224738275</v>
      </c>
      <c r="AG77" s="27">
        <v>0.42140235718617652</v>
      </c>
      <c r="AH77" s="27">
        <v>0</v>
      </c>
      <c r="AI77" s="31">
        <v>0</v>
      </c>
      <c r="AJ77" s="29">
        <v>0</v>
      </c>
      <c r="AK77" s="31">
        <v>0</v>
      </c>
      <c r="AL77" s="31">
        <v>7.1000000834465071</v>
      </c>
      <c r="AM77" s="31">
        <v>0</v>
      </c>
      <c r="AN77" s="31">
        <v>0</v>
      </c>
      <c r="AO77" s="31">
        <v>0</v>
      </c>
      <c r="AP77" s="31">
        <v>39.961422800623055</v>
      </c>
      <c r="AQ77" s="31">
        <v>0</v>
      </c>
      <c r="AR77" s="29">
        <v>0</v>
      </c>
      <c r="AS77" s="29">
        <v>0</v>
      </c>
      <c r="AT77" s="29">
        <v>0</v>
      </c>
      <c r="AU77" s="29">
        <v>0</v>
      </c>
      <c r="AV77" s="29">
        <v>0</v>
      </c>
      <c r="AW77" s="29">
        <v>0</v>
      </c>
      <c r="AX77" s="29">
        <v>0</v>
      </c>
      <c r="AY77" s="29">
        <v>0</v>
      </c>
      <c r="AZ77" s="29">
        <v>6.2127675881322258E-2</v>
      </c>
      <c r="BA77" s="29">
        <v>0</v>
      </c>
      <c r="BB77" s="29">
        <v>0</v>
      </c>
      <c r="BC77" s="29">
        <v>0</v>
      </c>
      <c r="BD77" s="29">
        <v>1.942581071841591</v>
      </c>
      <c r="BK77" s="3">
        <v>0</v>
      </c>
      <c r="BL77" s="3">
        <v>12.306062950906245</v>
      </c>
      <c r="BM77" s="3">
        <v>86.412834334460086</v>
      </c>
    </row>
    <row r="78" spans="1:65" ht="15.75" customHeight="1" x14ac:dyDescent="0.25">
      <c r="A78" s="3" t="s">
        <v>1008</v>
      </c>
      <c r="B78" s="3" t="s">
        <v>900</v>
      </c>
      <c r="C78" s="3" t="s">
        <v>987</v>
      </c>
      <c r="D78" s="27" t="s">
        <v>900</v>
      </c>
      <c r="E78" s="27" t="s">
        <v>989</v>
      </c>
      <c r="F78" s="31">
        <v>1981</v>
      </c>
      <c r="G78" s="31">
        <v>1981</v>
      </c>
      <c r="H78" s="31">
        <v>193</v>
      </c>
      <c r="I78" s="27">
        <v>0</v>
      </c>
      <c r="J78" s="27">
        <v>31.54999923706055</v>
      </c>
      <c r="L78" s="27">
        <v>0</v>
      </c>
      <c r="P78" s="29">
        <v>0</v>
      </c>
      <c r="AB78" s="27">
        <v>200</v>
      </c>
      <c r="AC78" s="27">
        <v>0</v>
      </c>
      <c r="AD78" s="27">
        <v>0</v>
      </c>
      <c r="AE78" s="27">
        <v>0</v>
      </c>
      <c r="AF78" s="27">
        <v>11.457196264803764</v>
      </c>
      <c r="AG78" s="27">
        <v>0.43302901662622212</v>
      </c>
      <c r="AH78" s="27">
        <v>0</v>
      </c>
      <c r="AI78" s="31">
        <v>0</v>
      </c>
      <c r="AJ78" s="29">
        <v>0</v>
      </c>
      <c r="AK78" s="31">
        <v>0</v>
      </c>
      <c r="AL78" s="31">
        <v>7.1000000834465071</v>
      </c>
      <c r="AM78" s="31">
        <v>0</v>
      </c>
      <c r="AN78" s="31">
        <v>0</v>
      </c>
      <c r="AO78" s="31">
        <v>0</v>
      </c>
      <c r="AP78" s="31">
        <v>40.394451817249276</v>
      </c>
      <c r="AQ78" s="31">
        <v>0</v>
      </c>
      <c r="AR78" s="29">
        <v>0</v>
      </c>
      <c r="AS78" s="29">
        <v>0</v>
      </c>
      <c r="AT78" s="29">
        <v>0</v>
      </c>
      <c r="AU78" s="29">
        <v>0</v>
      </c>
      <c r="AV78" s="29">
        <v>0</v>
      </c>
      <c r="AW78" s="29">
        <v>0</v>
      </c>
      <c r="AX78" s="29">
        <v>0</v>
      </c>
      <c r="AY78" s="29">
        <v>0</v>
      </c>
      <c r="AZ78" s="29">
        <v>6.2127675881322258E-2</v>
      </c>
      <c r="BA78" s="29">
        <v>0</v>
      </c>
      <c r="BB78" s="29">
        <v>0</v>
      </c>
      <c r="BC78" s="29">
        <v>0</v>
      </c>
      <c r="BD78" s="29">
        <v>1.942581071841591</v>
      </c>
      <c r="BK78" s="3">
        <v>0</v>
      </c>
      <c r="BL78" s="3">
        <v>12.304244065634371</v>
      </c>
      <c r="BM78" s="3">
        <v>85.981624203105739</v>
      </c>
    </row>
    <row r="79" spans="1:65" ht="15.75" customHeight="1" x14ac:dyDescent="0.25">
      <c r="A79" s="3" t="s">
        <v>1008</v>
      </c>
      <c r="B79" s="3" t="s">
        <v>900</v>
      </c>
      <c r="C79" s="3" t="s">
        <v>987</v>
      </c>
      <c r="D79" s="27" t="s">
        <v>900</v>
      </c>
      <c r="E79" s="27" t="s">
        <v>989</v>
      </c>
      <c r="F79" s="31">
        <v>1981</v>
      </c>
      <c r="G79" s="31">
        <v>1981</v>
      </c>
      <c r="H79" s="31">
        <v>194</v>
      </c>
      <c r="I79" s="27">
        <v>0</v>
      </c>
      <c r="J79" s="27">
        <v>31.650000572204597</v>
      </c>
      <c r="L79" s="27">
        <v>0</v>
      </c>
      <c r="P79" s="29">
        <v>0</v>
      </c>
      <c r="AB79" s="27">
        <v>200</v>
      </c>
      <c r="AC79" s="27">
        <v>0</v>
      </c>
      <c r="AD79" s="27">
        <v>0</v>
      </c>
      <c r="AE79" s="27">
        <v>0</v>
      </c>
      <c r="AF79" s="27">
        <v>12.238503950586464</v>
      </c>
      <c r="AG79" s="27">
        <v>0.45960309443996811</v>
      </c>
      <c r="AH79" s="27">
        <v>0</v>
      </c>
      <c r="AI79" s="31">
        <v>0</v>
      </c>
      <c r="AJ79" s="29">
        <v>0</v>
      </c>
      <c r="AK79" s="31">
        <v>0</v>
      </c>
      <c r="AL79" s="31">
        <v>7.1000000834465071</v>
      </c>
      <c r="AM79" s="31">
        <v>0</v>
      </c>
      <c r="AN79" s="31">
        <v>0</v>
      </c>
      <c r="AO79" s="31">
        <v>0</v>
      </c>
      <c r="AP79" s="31">
        <v>40.854054911689246</v>
      </c>
      <c r="AQ79" s="31">
        <v>0</v>
      </c>
      <c r="AR79" s="29">
        <v>0</v>
      </c>
      <c r="AS79" s="29">
        <v>0</v>
      </c>
      <c r="AT79" s="29">
        <v>0</v>
      </c>
      <c r="AU79" s="29">
        <v>0</v>
      </c>
      <c r="AV79" s="29">
        <v>0</v>
      </c>
      <c r="AW79" s="29">
        <v>0</v>
      </c>
      <c r="AX79" s="29">
        <v>0</v>
      </c>
      <c r="AY79" s="29">
        <v>0</v>
      </c>
      <c r="AZ79" s="29">
        <v>6.2127675881322258E-2</v>
      </c>
      <c r="BA79" s="29">
        <v>0</v>
      </c>
      <c r="BB79" s="29">
        <v>0</v>
      </c>
      <c r="BC79" s="29">
        <v>0</v>
      </c>
      <c r="BD79" s="29">
        <v>1.942581071841591</v>
      </c>
      <c r="BK79" s="3">
        <v>0</v>
      </c>
      <c r="BL79" s="3">
        <v>12.30297084594406</v>
      </c>
      <c r="BM79" s="3">
        <v>85.523294328356087</v>
      </c>
    </row>
    <row r="80" spans="1:65" ht="15.75" customHeight="1" x14ac:dyDescent="0.25">
      <c r="A80" s="3" t="s">
        <v>1008</v>
      </c>
      <c r="B80" s="3" t="s">
        <v>900</v>
      </c>
      <c r="C80" s="3" t="s">
        <v>987</v>
      </c>
      <c r="D80" s="27" t="s">
        <v>900</v>
      </c>
      <c r="E80" s="27" t="s">
        <v>989</v>
      </c>
      <c r="F80" s="31">
        <v>1981</v>
      </c>
      <c r="G80" s="31">
        <v>1981</v>
      </c>
      <c r="H80" s="31">
        <v>195</v>
      </c>
      <c r="I80" s="27">
        <v>0</v>
      </c>
      <c r="J80" s="27">
        <v>30.500000953674302</v>
      </c>
      <c r="L80" s="27">
        <v>0</v>
      </c>
      <c r="P80" s="29">
        <v>0</v>
      </c>
      <c r="AB80" s="27">
        <v>200</v>
      </c>
      <c r="AC80" s="27">
        <v>0</v>
      </c>
      <c r="AD80" s="27">
        <v>0</v>
      </c>
      <c r="AE80" s="27">
        <v>0</v>
      </c>
      <c r="AF80" s="27">
        <v>11.774208640074196</v>
      </c>
      <c r="AG80" s="27">
        <v>0.43937723140322732</v>
      </c>
      <c r="AH80" s="27">
        <v>0</v>
      </c>
      <c r="AI80" s="31">
        <v>0</v>
      </c>
      <c r="AJ80" s="29">
        <v>0</v>
      </c>
      <c r="AK80" s="31">
        <v>0</v>
      </c>
      <c r="AL80" s="31">
        <v>7.1000000834465071</v>
      </c>
      <c r="AM80" s="31">
        <v>0</v>
      </c>
      <c r="AN80" s="31">
        <v>0</v>
      </c>
      <c r="AO80" s="31">
        <v>0</v>
      </c>
      <c r="AP80" s="31">
        <v>41.293432143092474</v>
      </c>
      <c r="AQ80" s="31">
        <v>0</v>
      </c>
      <c r="AR80" s="29">
        <v>0</v>
      </c>
      <c r="AS80" s="29">
        <v>0</v>
      </c>
      <c r="AT80" s="29">
        <v>0</v>
      </c>
      <c r="AU80" s="29">
        <v>0</v>
      </c>
      <c r="AV80" s="29">
        <v>0</v>
      </c>
      <c r="AW80" s="29">
        <v>0</v>
      </c>
      <c r="AX80" s="29">
        <v>0</v>
      </c>
      <c r="AY80" s="29">
        <v>0</v>
      </c>
      <c r="AZ80" s="29">
        <v>6.2127675881322258E-2</v>
      </c>
      <c r="BA80" s="29">
        <v>0</v>
      </c>
      <c r="BB80" s="29">
        <v>0</v>
      </c>
      <c r="BC80" s="29">
        <v>0</v>
      </c>
      <c r="BD80" s="29">
        <v>1.942581071841591</v>
      </c>
      <c r="BK80" s="3">
        <v>0</v>
      </c>
      <c r="BL80" s="3">
        <v>12.302079592160842</v>
      </c>
      <c r="BM80" s="3">
        <v>85.084808350736083</v>
      </c>
    </row>
    <row r="81" spans="1:65" ht="15.75" customHeight="1" x14ac:dyDescent="0.25">
      <c r="A81" s="3" t="s">
        <v>1008</v>
      </c>
      <c r="B81" s="3" t="s">
        <v>900</v>
      </c>
      <c r="C81" s="3" t="s">
        <v>987</v>
      </c>
      <c r="D81" s="27" t="s">
        <v>900</v>
      </c>
      <c r="E81" s="27" t="s">
        <v>989</v>
      </c>
      <c r="F81" s="31">
        <v>1981</v>
      </c>
      <c r="G81" s="31">
        <v>1981</v>
      </c>
      <c r="H81" s="31">
        <v>196</v>
      </c>
      <c r="I81" s="27">
        <v>0</v>
      </c>
      <c r="J81" s="27">
        <v>31.349999427795396</v>
      </c>
      <c r="L81" s="27">
        <v>0</v>
      </c>
      <c r="P81" s="29">
        <v>0</v>
      </c>
      <c r="AB81" s="27">
        <v>200</v>
      </c>
      <c r="AC81" s="27">
        <v>0</v>
      </c>
      <c r="AD81" s="27">
        <v>0</v>
      </c>
      <c r="AE81" s="27">
        <v>0</v>
      </c>
      <c r="AF81" s="27">
        <v>11.426496778631551</v>
      </c>
      <c r="AG81" s="27">
        <v>0.42374490883974802</v>
      </c>
      <c r="AH81" s="27">
        <v>0</v>
      </c>
      <c r="AI81" s="31">
        <v>0</v>
      </c>
      <c r="AJ81" s="29">
        <v>0</v>
      </c>
      <c r="AK81" s="31">
        <v>0</v>
      </c>
      <c r="AL81" s="31">
        <v>7.1000000834465071</v>
      </c>
      <c r="AM81" s="31">
        <v>0</v>
      </c>
      <c r="AN81" s="31">
        <v>0</v>
      </c>
      <c r="AO81" s="31">
        <v>0</v>
      </c>
      <c r="AP81" s="31">
        <v>41.717177051932225</v>
      </c>
      <c r="AQ81" s="31">
        <v>0</v>
      </c>
      <c r="AR81" s="29">
        <v>0</v>
      </c>
      <c r="AS81" s="29">
        <v>0</v>
      </c>
      <c r="AT81" s="29">
        <v>0</v>
      </c>
      <c r="AU81" s="29">
        <v>0</v>
      </c>
      <c r="AV81" s="29">
        <v>0</v>
      </c>
      <c r="AW81" s="29">
        <v>0</v>
      </c>
      <c r="AX81" s="29">
        <v>0</v>
      </c>
      <c r="AY81" s="29">
        <v>0</v>
      </c>
      <c r="AZ81" s="29">
        <v>6.2127675881322258E-2</v>
      </c>
      <c r="BA81" s="29">
        <v>0</v>
      </c>
      <c r="BB81" s="29">
        <v>0</v>
      </c>
      <c r="BC81" s="29">
        <v>0</v>
      </c>
      <c r="BD81" s="29">
        <v>1.942581071841591</v>
      </c>
      <c r="BK81" s="3">
        <v>0</v>
      </c>
      <c r="BL81" s="3">
        <v>12.30145571451259</v>
      </c>
      <c r="BM81" s="3">
        <v>84.661687319544583</v>
      </c>
    </row>
    <row r="82" spans="1:65" ht="15.75" customHeight="1" x14ac:dyDescent="0.25">
      <c r="A82" s="3" t="s">
        <v>1008</v>
      </c>
      <c r="B82" s="3" t="s">
        <v>900</v>
      </c>
      <c r="C82" s="3" t="s">
        <v>987</v>
      </c>
      <c r="D82" s="27" t="s">
        <v>900</v>
      </c>
      <c r="E82" s="27" t="s">
        <v>989</v>
      </c>
      <c r="F82" s="31">
        <v>1981</v>
      </c>
      <c r="G82" s="31">
        <v>1981</v>
      </c>
      <c r="H82" s="31">
        <v>197</v>
      </c>
      <c r="I82" s="27">
        <v>0</v>
      </c>
      <c r="J82" s="27">
        <v>33.500000953674302</v>
      </c>
      <c r="L82" s="27">
        <v>0</v>
      </c>
      <c r="P82" s="29">
        <v>0</v>
      </c>
      <c r="AB82" s="27">
        <v>200</v>
      </c>
      <c r="AC82" s="27">
        <v>0</v>
      </c>
      <c r="AD82" s="27">
        <v>0</v>
      </c>
      <c r="AE82" s="27">
        <v>0</v>
      </c>
      <c r="AF82" s="27">
        <v>11.83843601165036</v>
      </c>
      <c r="AG82" s="27">
        <v>0.43631968554852246</v>
      </c>
      <c r="AH82" s="27">
        <v>0</v>
      </c>
      <c r="AI82" s="31">
        <v>0</v>
      </c>
      <c r="AJ82" s="29">
        <v>0</v>
      </c>
      <c r="AK82" s="31">
        <v>0</v>
      </c>
      <c r="AL82" s="31">
        <v>7.1000000834465071</v>
      </c>
      <c r="AM82" s="31">
        <v>0</v>
      </c>
      <c r="AN82" s="31">
        <v>0</v>
      </c>
      <c r="AO82" s="31">
        <v>0</v>
      </c>
      <c r="AP82" s="31">
        <v>42.153496737480751</v>
      </c>
      <c r="AQ82" s="31">
        <v>0</v>
      </c>
      <c r="AR82" s="29">
        <v>0</v>
      </c>
      <c r="AS82" s="29">
        <v>0</v>
      </c>
      <c r="AT82" s="29">
        <v>0</v>
      </c>
      <c r="AU82" s="29">
        <v>0</v>
      </c>
      <c r="AV82" s="29">
        <v>0</v>
      </c>
      <c r="AW82" s="29">
        <v>0</v>
      </c>
      <c r="AX82" s="29">
        <v>0</v>
      </c>
      <c r="AY82" s="29">
        <v>0</v>
      </c>
      <c r="AZ82" s="29">
        <v>6.2127675881322258E-2</v>
      </c>
      <c r="BA82" s="29">
        <v>0</v>
      </c>
      <c r="BB82" s="29">
        <v>0</v>
      </c>
      <c r="BC82" s="29">
        <v>0</v>
      </c>
      <c r="BD82" s="29">
        <v>1.942581071841591</v>
      </c>
      <c r="BK82" s="3">
        <v>0</v>
      </c>
      <c r="BL82" s="3">
        <v>12.301019000158814</v>
      </c>
      <c r="BM82" s="3">
        <v>84.22580434834984</v>
      </c>
    </row>
    <row r="83" spans="1:65" ht="15.75" customHeight="1" x14ac:dyDescent="0.25">
      <c r="A83" s="3" t="s">
        <v>1008</v>
      </c>
      <c r="B83" s="3" t="s">
        <v>900</v>
      </c>
      <c r="C83" s="3" t="s">
        <v>987</v>
      </c>
      <c r="D83" s="27" t="s">
        <v>900</v>
      </c>
      <c r="E83" s="27" t="s">
        <v>989</v>
      </c>
      <c r="F83" s="31">
        <v>1981</v>
      </c>
      <c r="G83" s="31">
        <v>1981</v>
      </c>
      <c r="H83" s="31">
        <v>198</v>
      </c>
      <c r="I83" s="27">
        <v>0</v>
      </c>
      <c r="J83" s="27">
        <v>31.100000381469698</v>
      </c>
      <c r="L83" s="27">
        <v>0</v>
      </c>
      <c r="P83" s="29">
        <v>0</v>
      </c>
      <c r="AB83" s="27">
        <v>200</v>
      </c>
      <c r="AC83" s="27">
        <v>0</v>
      </c>
      <c r="AD83" s="27">
        <v>0</v>
      </c>
      <c r="AE83" s="27">
        <v>0</v>
      </c>
      <c r="AF83" s="27">
        <v>10.786308037820509</v>
      </c>
      <c r="AG83" s="27">
        <v>0.39512551618641006</v>
      </c>
      <c r="AH83" s="27">
        <v>0</v>
      </c>
      <c r="AI83" s="31">
        <v>0</v>
      </c>
      <c r="AJ83" s="29">
        <v>0</v>
      </c>
      <c r="AK83" s="31">
        <v>0</v>
      </c>
      <c r="AL83" s="31">
        <v>7.1000000834465071</v>
      </c>
      <c r="AM83" s="31">
        <v>0</v>
      </c>
      <c r="AN83" s="31">
        <v>0</v>
      </c>
      <c r="AO83" s="31">
        <v>0</v>
      </c>
      <c r="AP83" s="31">
        <v>42.548622253667162</v>
      </c>
      <c r="AQ83" s="31">
        <v>0</v>
      </c>
      <c r="AR83" s="29">
        <v>0</v>
      </c>
      <c r="AS83" s="29">
        <v>0</v>
      </c>
      <c r="AT83" s="29">
        <v>0</v>
      </c>
      <c r="AU83" s="29">
        <v>0</v>
      </c>
      <c r="AV83" s="29">
        <v>0</v>
      </c>
      <c r="AW83" s="29">
        <v>0</v>
      </c>
      <c r="AX83" s="29">
        <v>0</v>
      </c>
      <c r="AY83" s="29">
        <v>0</v>
      </c>
      <c r="AZ83" s="29">
        <v>6.2127675881322258E-2</v>
      </c>
      <c r="BA83" s="29">
        <v>0</v>
      </c>
      <c r="BB83" s="29">
        <v>0</v>
      </c>
      <c r="BC83" s="29">
        <v>0</v>
      </c>
      <c r="BD83" s="29">
        <v>1.942581071841591</v>
      </c>
      <c r="BK83" s="3">
        <v>0</v>
      </c>
      <c r="BL83" s="3">
        <v>12.30071330011117</v>
      </c>
      <c r="BM83" s="3">
        <v>83.830984532211076</v>
      </c>
    </row>
    <row r="84" spans="1:65" ht="15.75" customHeight="1" x14ac:dyDescent="0.25">
      <c r="A84" s="3" t="s">
        <v>1008</v>
      </c>
      <c r="B84" s="3" t="s">
        <v>900</v>
      </c>
      <c r="C84" s="3" t="s">
        <v>987</v>
      </c>
      <c r="D84" s="27" t="s">
        <v>900</v>
      </c>
      <c r="E84" s="27" t="s">
        <v>989</v>
      </c>
      <c r="F84" s="31">
        <v>1981</v>
      </c>
      <c r="G84" s="31">
        <v>1981</v>
      </c>
      <c r="H84" s="31">
        <v>199</v>
      </c>
      <c r="I84" s="27">
        <v>0</v>
      </c>
      <c r="J84" s="27">
        <v>32.349999427795396</v>
      </c>
      <c r="L84" s="27">
        <v>0</v>
      </c>
      <c r="P84" s="29">
        <v>0</v>
      </c>
      <c r="AB84" s="27">
        <v>200</v>
      </c>
      <c r="AC84" s="27">
        <v>0</v>
      </c>
      <c r="AD84" s="27">
        <v>0</v>
      </c>
      <c r="AE84" s="27">
        <v>0</v>
      </c>
      <c r="AF84" s="27">
        <v>9.9922786968383921</v>
      </c>
      <c r="AG84" s="27">
        <v>0.36384003517170516</v>
      </c>
      <c r="AH84" s="27">
        <v>0</v>
      </c>
      <c r="AI84" s="31">
        <v>0</v>
      </c>
      <c r="AJ84" s="29">
        <v>0</v>
      </c>
      <c r="AK84" s="31">
        <v>0</v>
      </c>
      <c r="AL84" s="31">
        <v>7.1000000834465071</v>
      </c>
      <c r="AM84" s="31">
        <v>0</v>
      </c>
      <c r="AN84" s="31">
        <v>0</v>
      </c>
      <c r="AO84" s="31">
        <v>0</v>
      </c>
      <c r="AP84" s="31">
        <v>42.912462288838867</v>
      </c>
      <c r="AQ84" s="31">
        <v>0</v>
      </c>
      <c r="AR84" s="29">
        <v>0</v>
      </c>
      <c r="AS84" s="29">
        <v>0</v>
      </c>
      <c r="AT84" s="29">
        <v>0</v>
      </c>
      <c r="AU84" s="29">
        <v>0</v>
      </c>
      <c r="AV84" s="29">
        <v>0</v>
      </c>
      <c r="AW84" s="29">
        <v>0</v>
      </c>
      <c r="AX84" s="29">
        <v>0</v>
      </c>
      <c r="AY84" s="29">
        <v>0</v>
      </c>
      <c r="AZ84" s="29">
        <v>6.2127675881322258E-2</v>
      </c>
      <c r="BA84" s="29">
        <v>0</v>
      </c>
      <c r="BB84" s="29">
        <v>0</v>
      </c>
      <c r="BC84" s="29">
        <v>0</v>
      </c>
      <c r="BD84" s="29">
        <v>1.942581071841591</v>
      </c>
      <c r="BK84" s="3">
        <v>0</v>
      </c>
      <c r="BL84" s="3">
        <v>12.30049931007782</v>
      </c>
      <c r="BM84" s="3">
        <v>83.467358487072715</v>
      </c>
    </row>
    <row r="85" spans="1:65" ht="15.75" customHeight="1" x14ac:dyDescent="0.25">
      <c r="A85" s="3" t="s">
        <v>1008</v>
      </c>
      <c r="B85" s="3" t="s">
        <v>900</v>
      </c>
      <c r="C85" s="3" t="s">
        <v>987</v>
      </c>
      <c r="D85" s="27" t="s">
        <v>900</v>
      </c>
      <c r="E85" s="27" t="s">
        <v>989</v>
      </c>
      <c r="F85" s="31">
        <v>1981</v>
      </c>
      <c r="G85" s="31">
        <v>1981</v>
      </c>
      <c r="H85" s="31">
        <v>200</v>
      </c>
      <c r="I85" s="27">
        <v>0</v>
      </c>
      <c r="J85" s="27">
        <v>33.699998855590799</v>
      </c>
      <c r="L85" s="27">
        <v>0</v>
      </c>
      <c r="P85" s="29">
        <v>0</v>
      </c>
      <c r="AB85" s="27">
        <v>200</v>
      </c>
      <c r="AC85" s="27">
        <v>0</v>
      </c>
      <c r="AD85" s="27">
        <v>0</v>
      </c>
      <c r="AE85" s="27">
        <v>0</v>
      </c>
      <c r="AF85" s="27">
        <v>10.125162481591175</v>
      </c>
      <c r="AG85" s="27">
        <v>0.3664905536530802</v>
      </c>
      <c r="AH85" s="27">
        <v>0</v>
      </c>
      <c r="AI85" s="31">
        <v>0</v>
      </c>
      <c r="AJ85" s="29">
        <v>0</v>
      </c>
      <c r="AK85" s="31">
        <v>0</v>
      </c>
      <c r="AL85" s="31">
        <v>7.1000000834465071</v>
      </c>
      <c r="AM85" s="31">
        <v>0</v>
      </c>
      <c r="AN85" s="31">
        <v>0</v>
      </c>
      <c r="AO85" s="31">
        <v>0</v>
      </c>
      <c r="AP85" s="31">
        <v>43.278952842491947</v>
      </c>
      <c r="AQ85" s="31">
        <v>0</v>
      </c>
      <c r="AR85" s="29">
        <v>0</v>
      </c>
      <c r="AS85" s="29">
        <v>0</v>
      </c>
      <c r="AT85" s="29">
        <v>0</v>
      </c>
      <c r="AU85" s="29">
        <v>0</v>
      </c>
      <c r="AV85" s="29">
        <v>0</v>
      </c>
      <c r="AW85" s="29">
        <v>0</v>
      </c>
      <c r="AX85" s="29">
        <v>0</v>
      </c>
      <c r="AY85" s="29">
        <v>0</v>
      </c>
      <c r="AZ85" s="29">
        <v>6.2127675881322258E-2</v>
      </c>
      <c r="BA85" s="29">
        <v>0</v>
      </c>
      <c r="BB85" s="29">
        <v>0</v>
      </c>
      <c r="BC85" s="29">
        <v>0</v>
      </c>
      <c r="BD85" s="29">
        <v>1.942581071841591</v>
      </c>
      <c r="BK85" s="3">
        <v>0</v>
      </c>
      <c r="BL85" s="3">
        <v>12.300349517054475</v>
      </c>
      <c r="BM85" s="3">
        <v>83.101017726442976</v>
      </c>
    </row>
    <row r="86" spans="1:65" ht="15.75" customHeight="1" x14ac:dyDescent="0.25">
      <c r="A86" s="3" t="s">
        <v>1008</v>
      </c>
      <c r="B86" s="3" t="s">
        <v>900</v>
      </c>
      <c r="C86" s="3" t="s">
        <v>987</v>
      </c>
      <c r="D86" s="27" t="s">
        <v>900</v>
      </c>
      <c r="E86" s="27" t="s">
        <v>989</v>
      </c>
      <c r="F86" s="31">
        <v>1981</v>
      </c>
      <c r="G86" s="31">
        <v>1981</v>
      </c>
      <c r="H86" s="31">
        <v>201</v>
      </c>
      <c r="I86" s="27">
        <v>0</v>
      </c>
      <c r="J86" s="27">
        <v>35.199999809265151</v>
      </c>
      <c r="L86" s="27">
        <v>0</v>
      </c>
      <c r="P86" s="29">
        <v>0</v>
      </c>
      <c r="AB86" s="27">
        <v>200</v>
      </c>
      <c r="AC86" s="27">
        <v>0</v>
      </c>
      <c r="AD86" s="27">
        <v>0</v>
      </c>
      <c r="AE86" s="27">
        <v>0</v>
      </c>
      <c r="AF86" s="27">
        <v>11.446197876217507</v>
      </c>
      <c r="AG86" s="27">
        <v>0.41187675866951218</v>
      </c>
      <c r="AH86" s="27">
        <v>0</v>
      </c>
      <c r="AI86" s="31">
        <v>0</v>
      </c>
      <c r="AJ86" s="29">
        <v>0</v>
      </c>
      <c r="AK86" s="31">
        <v>0</v>
      </c>
      <c r="AL86" s="31">
        <v>7.1000000834465071</v>
      </c>
      <c r="AM86" s="31">
        <v>0</v>
      </c>
      <c r="AN86" s="31">
        <v>0</v>
      </c>
      <c r="AO86" s="31">
        <v>0</v>
      </c>
      <c r="AP86" s="31">
        <v>43.690829601161461</v>
      </c>
      <c r="AQ86" s="31">
        <v>0</v>
      </c>
      <c r="AR86" s="29">
        <v>0</v>
      </c>
      <c r="AS86" s="29">
        <v>0</v>
      </c>
      <c r="AT86" s="29">
        <v>0</v>
      </c>
      <c r="AU86" s="29">
        <v>0</v>
      </c>
      <c r="AV86" s="29">
        <v>0</v>
      </c>
      <c r="AW86" s="29">
        <v>0</v>
      </c>
      <c r="AX86" s="29">
        <v>0</v>
      </c>
      <c r="AY86" s="29">
        <v>0</v>
      </c>
      <c r="AZ86" s="29">
        <v>6.2127675881322258E-2</v>
      </c>
      <c r="BA86" s="29">
        <v>0</v>
      </c>
      <c r="BB86" s="29">
        <v>0</v>
      </c>
      <c r="BC86" s="29">
        <v>0</v>
      </c>
      <c r="BD86" s="29">
        <v>1.942581071841591</v>
      </c>
      <c r="BK86" s="3">
        <v>0</v>
      </c>
      <c r="BL86" s="3">
        <v>12.300244661938132</v>
      </c>
      <c r="BM86" s="3">
        <v>82.689245822889802</v>
      </c>
    </row>
    <row r="87" spans="1:65" ht="15.75" customHeight="1" x14ac:dyDescent="0.25">
      <c r="A87" s="3" t="s">
        <v>1008</v>
      </c>
      <c r="B87" s="3" t="s">
        <v>900</v>
      </c>
      <c r="C87" s="3" t="s">
        <v>987</v>
      </c>
      <c r="D87" s="27" t="s">
        <v>900</v>
      </c>
      <c r="E87" s="27" t="s">
        <v>989</v>
      </c>
      <c r="F87" s="31">
        <v>1981</v>
      </c>
      <c r="G87" s="31">
        <v>1981</v>
      </c>
      <c r="H87" s="31">
        <v>202</v>
      </c>
      <c r="I87" s="27">
        <v>0</v>
      </c>
      <c r="J87" s="27">
        <v>32.749999046325698</v>
      </c>
      <c r="L87" s="27">
        <v>0</v>
      </c>
      <c r="P87" s="29">
        <v>0</v>
      </c>
      <c r="AB87" s="27">
        <v>200</v>
      </c>
      <c r="AC87" s="27">
        <v>0.30000001192092901</v>
      </c>
      <c r="AD87" s="27">
        <v>0</v>
      </c>
      <c r="AE87" s="27">
        <v>0</v>
      </c>
      <c r="AF87" s="27">
        <v>6.5184579863875802</v>
      </c>
      <c r="AG87" s="27">
        <v>0.23319856222908517</v>
      </c>
      <c r="AH87" s="27">
        <v>0</v>
      </c>
      <c r="AI87" s="31">
        <v>0</v>
      </c>
      <c r="AJ87" s="29">
        <v>0</v>
      </c>
      <c r="AK87" s="31">
        <v>0</v>
      </c>
      <c r="AL87" s="31">
        <v>7.4000000953674361</v>
      </c>
      <c r="AM87" s="31">
        <v>0</v>
      </c>
      <c r="AN87" s="31">
        <v>0</v>
      </c>
      <c r="AO87" s="31">
        <v>0</v>
      </c>
      <c r="AP87" s="31">
        <v>43.924028163390545</v>
      </c>
      <c r="AQ87" s="31">
        <v>0</v>
      </c>
      <c r="AR87" s="29">
        <v>0</v>
      </c>
      <c r="AS87" s="29">
        <v>0</v>
      </c>
      <c r="AT87" s="29">
        <v>0</v>
      </c>
      <c r="AU87" s="29">
        <v>0</v>
      </c>
      <c r="AV87" s="29">
        <v>0</v>
      </c>
      <c r="AW87" s="29">
        <v>0</v>
      </c>
      <c r="AX87" s="29">
        <v>0</v>
      </c>
      <c r="AY87" s="29">
        <v>0</v>
      </c>
      <c r="AZ87" s="29">
        <v>6.2127675881322258E-2</v>
      </c>
      <c r="BA87" s="29">
        <v>0</v>
      </c>
      <c r="BB87" s="29">
        <v>0</v>
      </c>
      <c r="BC87" s="29">
        <v>0</v>
      </c>
      <c r="BD87" s="29">
        <v>1.942581071841591</v>
      </c>
      <c r="BK87" s="3">
        <v>0</v>
      </c>
      <c r="BL87" s="3">
        <v>12.600171275277621</v>
      </c>
      <c r="BM87" s="3">
        <v>82.45612065924216</v>
      </c>
    </row>
    <row r="88" spans="1:65" ht="15.75" customHeight="1" x14ac:dyDescent="0.25">
      <c r="A88" s="3" t="s">
        <v>1008</v>
      </c>
      <c r="B88" s="3" t="s">
        <v>900</v>
      </c>
      <c r="C88" s="3" t="s">
        <v>987</v>
      </c>
      <c r="D88" s="27" t="s">
        <v>900</v>
      </c>
      <c r="E88" s="27" t="s">
        <v>989</v>
      </c>
      <c r="F88" s="31">
        <v>1981</v>
      </c>
      <c r="G88" s="31">
        <v>1981</v>
      </c>
      <c r="H88" s="31">
        <v>203</v>
      </c>
      <c r="I88" s="27">
        <v>0</v>
      </c>
      <c r="J88" s="27">
        <v>29.499999046325698</v>
      </c>
      <c r="L88" s="27">
        <v>0</v>
      </c>
      <c r="P88" s="29">
        <v>0</v>
      </c>
      <c r="AB88" s="27">
        <v>200</v>
      </c>
      <c r="AC88" s="27">
        <v>0</v>
      </c>
      <c r="AD88" s="27">
        <v>0</v>
      </c>
      <c r="AE88" s="27">
        <v>0</v>
      </c>
      <c r="AF88" s="27">
        <v>10.39003405094563</v>
      </c>
      <c r="AG88" s="27">
        <v>0.36957446308657921</v>
      </c>
      <c r="AH88" s="27">
        <v>0</v>
      </c>
      <c r="AI88" s="31">
        <v>0</v>
      </c>
      <c r="AJ88" s="29">
        <v>0</v>
      </c>
      <c r="AK88" s="31">
        <v>0</v>
      </c>
      <c r="AL88" s="31">
        <v>7.4000000953674361</v>
      </c>
      <c r="AM88" s="31">
        <v>0</v>
      </c>
      <c r="AN88" s="31">
        <v>0</v>
      </c>
      <c r="AO88" s="31">
        <v>0</v>
      </c>
      <c r="AP88" s="31">
        <v>44.293602626477124</v>
      </c>
      <c r="AQ88" s="31">
        <v>0</v>
      </c>
      <c r="AR88" s="29">
        <v>0</v>
      </c>
      <c r="AS88" s="29">
        <v>0</v>
      </c>
      <c r="AT88" s="29">
        <v>0</v>
      </c>
      <c r="AU88" s="29">
        <v>0</v>
      </c>
      <c r="AV88" s="29">
        <v>0</v>
      </c>
      <c r="AW88" s="29">
        <v>0</v>
      </c>
      <c r="AX88" s="29">
        <v>0</v>
      </c>
      <c r="AY88" s="29">
        <v>0</v>
      </c>
      <c r="AZ88" s="29">
        <v>6.2127675881322258E-2</v>
      </c>
      <c r="BA88" s="29">
        <v>0</v>
      </c>
      <c r="BB88" s="29">
        <v>0</v>
      </c>
      <c r="BC88" s="29">
        <v>0</v>
      </c>
      <c r="BD88" s="29">
        <v>1.942581071841591</v>
      </c>
      <c r="BK88" s="3">
        <v>0</v>
      </c>
      <c r="BL88" s="3">
        <v>12.510119892694334</v>
      </c>
      <c r="BM88" s="3">
        <v>82.176597578738864</v>
      </c>
    </row>
    <row r="89" spans="1:65" ht="15.75" customHeight="1" x14ac:dyDescent="0.25">
      <c r="A89" s="3" t="s">
        <v>1008</v>
      </c>
      <c r="B89" s="3" t="s">
        <v>900</v>
      </c>
      <c r="C89" s="3" t="s">
        <v>987</v>
      </c>
      <c r="D89" s="27" t="s">
        <v>900</v>
      </c>
      <c r="E89" s="27" t="s">
        <v>989</v>
      </c>
      <c r="F89" s="31">
        <v>1981</v>
      </c>
      <c r="G89" s="31">
        <v>1981</v>
      </c>
      <c r="H89" s="31">
        <v>204</v>
      </c>
      <c r="I89" s="27">
        <v>0</v>
      </c>
      <c r="J89" s="27">
        <v>28.849999427795403</v>
      </c>
      <c r="L89" s="27">
        <v>0</v>
      </c>
      <c r="P89" s="29">
        <v>0</v>
      </c>
      <c r="AB89" s="27">
        <v>200</v>
      </c>
      <c r="AC89" s="27">
        <v>0</v>
      </c>
      <c r="AD89" s="27">
        <v>0</v>
      </c>
      <c r="AE89" s="27">
        <v>0</v>
      </c>
      <c r="AF89" s="27">
        <v>10.246645652795944</v>
      </c>
      <c r="AG89" s="27">
        <v>0.36240906556309654</v>
      </c>
      <c r="AH89" s="27">
        <v>0</v>
      </c>
      <c r="AI89" s="31">
        <v>0</v>
      </c>
      <c r="AJ89" s="29">
        <v>0</v>
      </c>
      <c r="AK89" s="31">
        <v>0</v>
      </c>
      <c r="AL89" s="31">
        <v>7.4000000953674361</v>
      </c>
      <c r="AM89" s="31">
        <v>0</v>
      </c>
      <c r="AN89" s="31">
        <v>0</v>
      </c>
      <c r="AO89" s="31">
        <v>0</v>
      </c>
      <c r="AP89" s="31">
        <v>44.656011692040224</v>
      </c>
      <c r="AQ89" s="31">
        <v>0</v>
      </c>
      <c r="AR89" s="29">
        <v>0</v>
      </c>
      <c r="AS89" s="29">
        <v>0</v>
      </c>
      <c r="AT89" s="29">
        <v>0</v>
      </c>
      <c r="AU89" s="29">
        <v>0</v>
      </c>
      <c r="AV89" s="29">
        <v>0</v>
      </c>
      <c r="AW89" s="29">
        <v>0</v>
      </c>
      <c r="AX89" s="29">
        <v>0</v>
      </c>
      <c r="AY89" s="29">
        <v>0</v>
      </c>
      <c r="AZ89" s="29">
        <v>6.2127675881322258E-2</v>
      </c>
      <c r="BA89" s="29">
        <v>0</v>
      </c>
      <c r="BB89" s="29">
        <v>0</v>
      </c>
      <c r="BC89" s="29">
        <v>0</v>
      </c>
      <c r="BD89" s="29">
        <v>1.942581071841591</v>
      </c>
      <c r="BK89" s="3">
        <v>0</v>
      </c>
      <c r="BL89" s="3">
        <v>12.447083924886034</v>
      </c>
      <c r="BM89" s="3">
        <v>81.877224480984069</v>
      </c>
    </row>
    <row r="90" spans="1:65" ht="15.75" customHeight="1" x14ac:dyDescent="0.25">
      <c r="A90" s="3" t="s">
        <v>1008</v>
      </c>
      <c r="B90" s="3" t="s">
        <v>900</v>
      </c>
      <c r="C90" s="3" t="s">
        <v>987</v>
      </c>
      <c r="D90" s="27" t="s">
        <v>900</v>
      </c>
      <c r="E90" s="27" t="s">
        <v>989</v>
      </c>
      <c r="F90" s="31">
        <v>1981</v>
      </c>
      <c r="G90" s="31">
        <v>1981</v>
      </c>
      <c r="H90" s="31">
        <v>205</v>
      </c>
      <c r="I90" s="27">
        <v>0</v>
      </c>
      <c r="J90" s="27">
        <v>30.149999618530249</v>
      </c>
      <c r="L90" s="27">
        <v>0</v>
      </c>
      <c r="P90" s="29">
        <v>0</v>
      </c>
      <c r="AB90" s="27">
        <v>200</v>
      </c>
      <c r="AC90" s="27">
        <v>0</v>
      </c>
      <c r="AD90" s="27">
        <v>0</v>
      </c>
      <c r="AE90" s="27">
        <v>0</v>
      </c>
      <c r="AF90" s="27">
        <v>10.708160699230767</v>
      </c>
      <c r="AG90" s="27">
        <v>0.37661038752114839</v>
      </c>
      <c r="AH90" s="27">
        <v>0</v>
      </c>
      <c r="AI90" s="31">
        <v>0</v>
      </c>
      <c r="AJ90" s="29">
        <v>0</v>
      </c>
      <c r="AK90" s="31">
        <v>0</v>
      </c>
      <c r="AL90" s="31">
        <v>7.4000000953674361</v>
      </c>
      <c r="AM90" s="31">
        <v>0</v>
      </c>
      <c r="AN90" s="31">
        <v>0</v>
      </c>
      <c r="AO90" s="31">
        <v>0</v>
      </c>
      <c r="AP90" s="31">
        <v>45.032622079561371</v>
      </c>
      <c r="AQ90" s="31">
        <v>0</v>
      </c>
      <c r="AR90" s="29">
        <v>0</v>
      </c>
      <c r="AS90" s="29">
        <v>0</v>
      </c>
      <c r="AT90" s="29">
        <v>0</v>
      </c>
      <c r="AU90" s="29">
        <v>0</v>
      </c>
      <c r="AV90" s="29">
        <v>0</v>
      </c>
      <c r="AW90" s="29">
        <v>0</v>
      </c>
      <c r="AX90" s="29">
        <v>0</v>
      </c>
      <c r="AY90" s="29">
        <v>0</v>
      </c>
      <c r="AZ90" s="29">
        <v>6.2127675881322258E-2</v>
      </c>
      <c r="BA90" s="29">
        <v>0</v>
      </c>
      <c r="BB90" s="29">
        <v>0</v>
      </c>
      <c r="BC90" s="29">
        <v>0</v>
      </c>
      <c r="BD90" s="29">
        <v>1.942581071841591</v>
      </c>
      <c r="BK90" s="3">
        <v>0</v>
      </c>
      <c r="BL90" s="3">
        <v>12.402958747420223</v>
      </c>
      <c r="BM90" s="3">
        <v>81.54473927092873</v>
      </c>
    </row>
    <row r="91" spans="1:65" ht="15.75" customHeight="1" x14ac:dyDescent="0.25">
      <c r="A91" s="3" t="s">
        <v>1008</v>
      </c>
      <c r="B91" s="3" t="s">
        <v>900</v>
      </c>
      <c r="C91" s="3" t="s">
        <v>987</v>
      </c>
      <c r="D91" s="27" t="s">
        <v>900</v>
      </c>
      <c r="E91" s="27" t="s">
        <v>989</v>
      </c>
      <c r="F91" s="31">
        <v>1981</v>
      </c>
      <c r="G91" s="31">
        <v>1981</v>
      </c>
      <c r="H91" s="31">
        <v>206</v>
      </c>
      <c r="I91" s="27">
        <v>0</v>
      </c>
      <c r="J91" s="27">
        <v>30.450000762939503</v>
      </c>
      <c r="L91" s="27">
        <v>0</v>
      </c>
      <c r="P91" s="29">
        <v>0</v>
      </c>
      <c r="AB91" s="27">
        <v>200</v>
      </c>
      <c r="AC91" s="27">
        <v>0</v>
      </c>
      <c r="AD91" s="27">
        <v>0</v>
      </c>
      <c r="AE91" s="27">
        <v>0</v>
      </c>
      <c r="AF91" s="27">
        <v>11.140615562935116</v>
      </c>
      <c r="AG91" s="27">
        <v>0.38964920374900291</v>
      </c>
      <c r="AH91" s="27">
        <v>0</v>
      </c>
      <c r="AI91" s="31">
        <v>0</v>
      </c>
      <c r="AJ91" s="29">
        <v>0</v>
      </c>
      <c r="AK91" s="31">
        <v>0</v>
      </c>
      <c r="AL91" s="31">
        <v>7.4000000953674361</v>
      </c>
      <c r="AM91" s="31">
        <v>0</v>
      </c>
      <c r="AN91" s="31">
        <v>0</v>
      </c>
      <c r="AO91" s="31">
        <v>0</v>
      </c>
      <c r="AP91" s="31">
        <v>45.422271283310373</v>
      </c>
      <c r="AQ91" s="31">
        <v>0</v>
      </c>
      <c r="AR91" s="29">
        <v>0</v>
      </c>
      <c r="AS91" s="29">
        <v>0</v>
      </c>
      <c r="AT91" s="29">
        <v>0</v>
      </c>
      <c r="AU91" s="29">
        <v>0</v>
      </c>
      <c r="AV91" s="29">
        <v>0</v>
      </c>
      <c r="AW91" s="29">
        <v>0</v>
      </c>
      <c r="AX91" s="29">
        <v>0</v>
      </c>
      <c r="AY91" s="29">
        <v>0</v>
      </c>
      <c r="AZ91" s="29">
        <v>6.2127675881322258E-2</v>
      </c>
      <c r="BA91" s="29">
        <v>0</v>
      </c>
      <c r="BB91" s="29">
        <v>0</v>
      </c>
      <c r="BC91" s="29">
        <v>0</v>
      </c>
      <c r="BD91" s="29">
        <v>1.942581071841591</v>
      </c>
      <c r="BK91" s="3">
        <v>0</v>
      </c>
      <c r="BL91" s="3">
        <v>12.372071123194157</v>
      </c>
      <c r="BM91" s="3">
        <v>81.185977691405796</v>
      </c>
    </row>
    <row r="92" spans="1:65" ht="15.75" customHeight="1" x14ac:dyDescent="0.25">
      <c r="A92" s="3" t="s">
        <v>1008</v>
      </c>
      <c r="B92" s="3" t="s">
        <v>900</v>
      </c>
      <c r="C92" s="3" t="s">
        <v>987</v>
      </c>
      <c r="D92" s="27" t="s">
        <v>900</v>
      </c>
      <c r="E92" s="27" t="s">
        <v>989</v>
      </c>
      <c r="F92" s="31">
        <v>1981</v>
      </c>
      <c r="G92" s="31">
        <v>1981</v>
      </c>
      <c r="H92" s="31">
        <v>207</v>
      </c>
      <c r="I92" s="27">
        <v>0</v>
      </c>
      <c r="J92" s="27">
        <v>30.099999427795396</v>
      </c>
      <c r="L92" s="27">
        <v>0</v>
      </c>
      <c r="P92" s="29">
        <v>0</v>
      </c>
      <c r="AB92" s="27">
        <v>200</v>
      </c>
      <c r="AC92" s="27">
        <v>0</v>
      </c>
      <c r="AD92" s="27">
        <v>0</v>
      </c>
      <c r="AE92" s="27">
        <v>0</v>
      </c>
      <c r="AF92" s="27">
        <v>11.725312129460509</v>
      </c>
      <c r="AG92" s="27">
        <v>0.40785212007656035</v>
      </c>
      <c r="AH92" s="27">
        <v>0</v>
      </c>
      <c r="AI92" s="31">
        <v>0</v>
      </c>
      <c r="AJ92" s="29">
        <v>0</v>
      </c>
      <c r="AK92" s="31">
        <v>0</v>
      </c>
      <c r="AL92" s="31">
        <v>7.4000000953674361</v>
      </c>
      <c r="AM92" s="31">
        <v>0</v>
      </c>
      <c r="AN92" s="31">
        <v>0</v>
      </c>
      <c r="AO92" s="31">
        <v>0</v>
      </c>
      <c r="AP92" s="31">
        <v>45.830123403386935</v>
      </c>
      <c r="AQ92" s="31">
        <v>0</v>
      </c>
      <c r="AR92" s="29">
        <v>0</v>
      </c>
      <c r="AS92" s="29">
        <v>0</v>
      </c>
      <c r="AT92" s="29">
        <v>0</v>
      </c>
      <c r="AU92" s="29">
        <v>0</v>
      </c>
      <c r="AV92" s="29">
        <v>0</v>
      </c>
      <c r="AW92" s="29">
        <v>0</v>
      </c>
      <c r="AX92" s="29">
        <v>0</v>
      </c>
      <c r="AY92" s="29">
        <v>0</v>
      </c>
      <c r="AZ92" s="29">
        <v>6.2127675881322258E-2</v>
      </c>
      <c r="BA92" s="29">
        <v>0</v>
      </c>
      <c r="BB92" s="29">
        <v>0</v>
      </c>
      <c r="BC92" s="29">
        <v>0</v>
      </c>
      <c r="BD92" s="29">
        <v>1.942581071841591</v>
      </c>
      <c r="BK92" s="3">
        <v>0</v>
      </c>
      <c r="BL92" s="3">
        <v>12.350449786235909</v>
      </c>
      <c r="BM92" s="3">
        <v>80.799746908287489</v>
      </c>
    </row>
    <row r="93" spans="1:65" ht="15.75" customHeight="1" x14ac:dyDescent="0.25">
      <c r="A93" s="3" t="s">
        <v>1008</v>
      </c>
      <c r="B93" s="3" t="s">
        <v>900</v>
      </c>
      <c r="C93" s="3" t="s">
        <v>987</v>
      </c>
      <c r="D93" s="27" t="s">
        <v>900</v>
      </c>
      <c r="E93" s="27" t="s">
        <v>989</v>
      </c>
      <c r="F93" s="31">
        <v>1981</v>
      </c>
      <c r="G93" s="31">
        <v>1981</v>
      </c>
      <c r="H93" s="31">
        <v>208</v>
      </c>
      <c r="I93" s="27">
        <v>0</v>
      </c>
      <c r="J93" s="27">
        <v>31.050000190734899</v>
      </c>
      <c r="L93" s="27">
        <v>0</v>
      </c>
      <c r="P93" s="29">
        <v>0</v>
      </c>
      <c r="AB93" s="27">
        <v>200</v>
      </c>
      <c r="AC93" s="27">
        <v>0</v>
      </c>
      <c r="AD93" s="27">
        <v>0</v>
      </c>
      <c r="AE93" s="27">
        <v>0</v>
      </c>
      <c r="AF93" s="27">
        <v>11.625949145951576</v>
      </c>
      <c r="AG93" s="27">
        <v>0.40220399163765236</v>
      </c>
      <c r="AH93" s="27">
        <v>0</v>
      </c>
      <c r="AI93" s="31">
        <v>0</v>
      </c>
      <c r="AJ93" s="29">
        <v>0</v>
      </c>
      <c r="AK93" s="31">
        <v>0</v>
      </c>
      <c r="AL93" s="31">
        <v>7.4000000953674361</v>
      </c>
      <c r="AM93" s="31">
        <v>0</v>
      </c>
      <c r="AN93" s="31">
        <v>0</v>
      </c>
      <c r="AO93" s="31">
        <v>0</v>
      </c>
      <c r="AP93" s="31">
        <v>46.232327395024591</v>
      </c>
      <c r="AQ93" s="31">
        <v>0</v>
      </c>
      <c r="AR93" s="29">
        <v>0</v>
      </c>
      <c r="AS93" s="29">
        <v>0</v>
      </c>
      <c r="AT93" s="29">
        <v>0</v>
      </c>
      <c r="AU93" s="29">
        <v>0</v>
      </c>
      <c r="AV93" s="29">
        <v>0</v>
      </c>
      <c r="AW93" s="29">
        <v>0</v>
      </c>
      <c r="AX93" s="29">
        <v>0</v>
      </c>
      <c r="AY93" s="29">
        <v>0</v>
      </c>
      <c r="AZ93" s="29">
        <v>6.2127675881322258E-2</v>
      </c>
      <c r="BA93" s="29">
        <v>0</v>
      </c>
      <c r="BB93" s="29">
        <v>0</v>
      </c>
      <c r="BC93" s="29">
        <v>0</v>
      </c>
      <c r="BD93" s="29">
        <v>1.942581071841591</v>
      </c>
      <c r="BK93" s="3">
        <v>0</v>
      </c>
      <c r="BL93" s="3">
        <v>12.335314850365137</v>
      </c>
      <c r="BM93" s="3">
        <v>80.412677852520602</v>
      </c>
    </row>
    <row r="94" spans="1:65" ht="15.75" customHeight="1" x14ac:dyDescent="0.25">
      <c r="A94" s="3" t="s">
        <v>1008</v>
      </c>
      <c r="B94" s="3" t="s">
        <v>900</v>
      </c>
      <c r="C94" s="3" t="s">
        <v>987</v>
      </c>
      <c r="D94" s="27" t="s">
        <v>900</v>
      </c>
      <c r="E94" s="27" t="s">
        <v>989</v>
      </c>
      <c r="F94" s="31">
        <v>1981</v>
      </c>
      <c r="G94" s="31">
        <v>1981</v>
      </c>
      <c r="H94" s="31">
        <v>209</v>
      </c>
      <c r="I94" s="27">
        <v>0</v>
      </c>
      <c r="J94" s="27">
        <v>29.749999046325698</v>
      </c>
      <c r="L94" s="27">
        <v>0</v>
      </c>
      <c r="P94" s="29">
        <v>0</v>
      </c>
      <c r="AB94" s="27">
        <v>200</v>
      </c>
      <c r="AC94" s="27">
        <v>0</v>
      </c>
      <c r="AD94" s="27">
        <v>0</v>
      </c>
      <c r="AE94" s="27">
        <v>0</v>
      </c>
      <c r="AF94" s="27">
        <v>11.5791572165459</v>
      </c>
      <c r="AG94" s="27">
        <v>0.39843725120790952</v>
      </c>
      <c r="AH94" s="27">
        <v>0</v>
      </c>
      <c r="AI94" s="31">
        <v>0</v>
      </c>
      <c r="AJ94" s="29">
        <v>0</v>
      </c>
      <c r="AK94" s="31">
        <v>0</v>
      </c>
      <c r="AL94" s="31">
        <v>7.4000000953674361</v>
      </c>
      <c r="AM94" s="31">
        <v>0</v>
      </c>
      <c r="AN94" s="31">
        <v>0</v>
      </c>
      <c r="AO94" s="31">
        <v>0</v>
      </c>
      <c r="AP94" s="31">
        <v>46.6307646462325</v>
      </c>
      <c r="AQ94" s="31">
        <v>0</v>
      </c>
      <c r="AR94" s="29">
        <v>0</v>
      </c>
      <c r="AS94" s="29">
        <v>0</v>
      </c>
      <c r="AT94" s="29">
        <v>0</v>
      </c>
      <c r="AU94" s="29">
        <v>0</v>
      </c>
      <c r="AV94" s="29">
        <v>0</v>
      </c>
      <c r="AW94" s="29">
        <v>0</v>
      </c>
      <c r="AX94" s="29">
        <v>0</v>
      </c>
      <c r="AY94" s="29">
        <v>0</v>
      </c>
      <c r="AZ94" s="29">
        <v>6.2127675881322258E-2</v>
      </c>
      <c r="BA94" s="29">
        <v>0</v>
      </c>
      <c r="BB94" s="29">
        <v>0</v>
      </c>
      <c r="BC94" s="29">
        <v>0</v>
      </c>
      <c r="BD94" s="29">
        <v>1.942581071841591</v>
      </c>
      <c r="BK94" s="3">
        <v>0</v>
      </c>
      <c r="BL94" s="3">
        <v>12.324720395255596</v>
      </c>
      <c r="BM94" s="3">
        <v>80.024835056422233</v>
      </c>
    </row>
    <row r="95" spans="1:65" ht="15.75" customHeight="1" x14ac:dyDescent="0.25">
      <c r="A95" s="3" t="s">
        <v>1008</v>
      </c>
      <c r="B95" s="3" t="s">
        <v>900</v>
      </c>
      <c r="C95" s="3" t="s">
        <v>987</v>
      </c>
      <c r="D95" s="27" t="s">
        <v>900</v>
      </c>
      <c r="E95" s="27" t="s">
        <v>989</v>
      </c>
      <c r="F95" s="31">
        <v>1981</v>
      </c>
      <c r="G95" s="31">
        <v>1981</v>
      </c>
      <c r="H95" s="31">
        <v>210</v>
      </c>
      <c r="I95" s="27">
        <v>0</v>
      </c>
      <c r="J95" s="27">
        <v>30.75</v>
      </c>
      <c r="L95" s="27">
        <v>0</v>
      </c>
      <c r="P95" s="29">
        <v>0</v>
      </c>
      <c r="AB95" s="27">
        <v>200</v>
      </c>
      <c r="AC95" s="27">
        <v>0</v>
      </c>
      <c r="AD95" s="27">
        <v>0</v>
      </c>
      <c r="AE95" s="27">
        <v>0</v>
      </c>
      <c r="AF95" s="27">
        <v>12.109480726532219</v>
      </c>
      <c r="AG95" s="27">
        <v>0.41447503172268757</v>
      </c>
      <c r="AH95" s="27">
        <v>0</v>
      </c>
      <c r="AI95" s="31">
        <v>0</v>
      </c>
      <c r="AJ95" s="29">
        <v>0</v>
      </c>
      <c r="AK95" s="31">
        <v>0</v>
      </c>
      <c r="AL95" s="31">
        <v>7.4000000953674361</v>
      </c>
      <c r="AM95" s="31">
        <v>0</v>
      </c>
      <c r="AN95" s="31">
        <v>0</v>
      </c>
      <c r="AO95" s="31">
        <v>0</v>
      </c>
      <c r="AP95" s="31">
        <v>47.045239677955188</v>
      </c>
      <c r="AQ95" s="31">
        <v>0</v>
      </c>
      <c r="AR95" s="29">
        <v>0</v>
      </c>
      <c r="AS95" s="29">
        <v>0</v>
      </c>
      <c r="AT95" s="29">
        <v>0</v>
      </c>
      <c r="AU95" s="29">
        <v>0</v>
      </c>
      <c r="AV95" s="29">
        <v>0</v>
      </c>
      <c r="AW95" s="29">
        <v>0</v>
      </c>
      <c r="AX95" s="29">
        <v>0</v>
      </c>
      <c r="AY95" s="29">
        <v>0</v>
      </c>
      <c r="AZ95" s="29">
        <v>6.2127675881322258E-2</v>
      </c>
      <c r="BA95" s="29">
        <v>0</v>
      </c>
      <c r="BB95" s="29">
        <v>0</v>
      </c>
      <c r="BC95" s="29">
        <v>0</v>
      </c>
      <c r="BD95" s="29">
        <v>1.942581071841591</v>
      </c>
      <c r="BK95" s="3">
        <v>0</v>
      </c>
      <c r="BL95" s="3">
        <v>12.317304276678918</v>
      </c>
      <c r="BM95" s="3">
        <v>79.617776143276231</v>
      </c>
    </row>
    <row r="96" spans="1:65" ht="15.75" customHeight="1" x14ac:dyDescent="0.25">
      <c r="A96" s="3" t="s">
        <v>1008</v>
      </c>
      <c r="B96" s="3" t="s">
        <v>900</v>
      </c>
      <c r="C96" s="3" t="s">
        <v>987</v>
      </c>
      <c r="D96" s="27" t="s">
        <v>900</v>
      </c>
      <c r="E96" s="27" t="s">
        <v>989</v>
      </c>
      <c r="F96" s="31">
        <v>1981</v>
      </c>
      <c r="G96" s="31">
        <v>1981</v>
      </c>
      <c r="H96" s="31">
        <v>211</v>
      </c>
      <c r="I96" s="27">
        <v>0</v>
      </c>
      <c r="J96" s="27">
        <v>32.300000190734899</v>
      </c>
      <c r="L96" s="27">
        <v>0</v>
      </c>
      <c r="P96" s="29">
        <v>0</v>
      </c>
      <c r="AB96" s="27">
        <v>200</v>
      </c>
      <c r="AC96" s="27">
        <v>0</v>
      </c>
      <c r="AD96" s="27">
        <v>0</v>
      </c>
      <c r="AE96" s="27">
        <v>0</v>
      </c>
      <c r="AF96" s="27">
        <v>10.76762064065923</v>
      </c>
      <c r="AG96" s="27">
        <v>0.36661209285647633</v>
      </c>
      <c r="AH96" s="27">
        <v>0</v>
      </c>
      <c r="AI96" s="31">
        <v>0</v>
      </c>
      <c r="AJ96" s="29">
        <v>0</v>
      </c>
      <c r="AK96" s="31">
        <v>0</v>
      </c>
      <c r="AL96" s="31">
        <v>7.4000000953674361</v>
      </c>
      <c r="AM96" s="31">
        <v>0</v>
      </c>
      <c r="AN96" s="31">
        <v>0</v>
      </c>
      <c r="AO96" s="31">
        <v>0</v>
      </c>
      <c r="AP96" s="31">
        <v>47.411851770811666</v>
      </c>
      <c r="AQ96" s="31">
        <v>0</v>
      </c>
      <c r="AR96" s="29">
        <v>0</v>
      </c>
      <c r="AS96" s="29">
        <v>0</v>
      </c>
      <c r="AT96" s="29">
        <v>0</v>
      </c>
      <c r="AU96" s="29">
        <v>0</v>
      </c>
      <c r="AV96" s="29">
        <v>0</v>
      </c>
      <c r="AW96" s="29">
        <v>0</v>
      </c>
      <c r="AX96" s="29">
        <v>0</v>
      </c>
      <c r="AY96" s="29">
        <v>0</v>
      </c>
      <c r="AZ96" s="29">
        <v>6.2127675881322258E-2</v>
      </c>
      <c r="BA96" s="29">
        <v>0</v>
      </c>
      <c r="BB96" s="29">
        <v>0</v>
      </c>
      <c r="BC96" s="29">
        <v>0</v>
      </c>
      <c r="BD96" s="29">
        <v>1.942581071841591</v>
      </c>
      <c r="BK96" s="3">
        <v>0</v>
      </c>
      <c r="BL96" s="3">
        <v>12.312112993675242</v>
      </c>
      <c r="BM96" s="3">
        <v>79.256355333423429</v>
      </c>
    </row>
    <row r="97" spans="1:65" ht="15.75" customHeight="1" x14ac:dyDescent="0.25">
      <c r="A97" s="3" t="s">
        <v>1008</v>
      </c>
      <c r="B97" s="3" t="s">
        <v>900</v>
      </c>
      <c r="C97" s="3" t="s">
        <v>987</v>
      </c>
      <c r="D97" s="27" t="s">
        <v>900</v>
      </c>
      <c r="E97" s="27" t="s">
        <v>989</v>
      </c>
      <c r="F97" s="31">
        <v>1981</v>
      </c>
      <c r="G97" s="31">
        <v>1981</v>
      </c>
      <c r="H97" s="31">
        <v>212</v>
      </c>
      <c r="I97" s="27">
        <v>0</v>
      </c>
      <c r="J97" s="27">
        <v>30.599999427795396</v>
      </c>
      <c r="L97" s="27">
        <v>0</v>
      </c>
      <c r="P97" s="29">
        <v>0</v>
      </c>
      <c r="AB97" s="27">
        <v>200</v>
      </c>
      <c r="AC97" s="27">
        <v>0</v>
      </c>
      <c r="AD97" s="27">
        <v>0</v>
      </c>
      <c r="AE97" s="27">
        <v>0</v>
      </c>
      <c r="AF97" s="27">
        <v>10.020561490610465</v>
      </c>
      <c r="AG97" s="27">
        <v>0.33940410898540729</v>
      </c>
      <c r="AH97" s="27">
        <v>0</v>
      </c>
      <c r="AI97" s="31">
        <v>0</v>
      </c>
      <c r="AJ97" s="29">
        <v>0</v>
      </c>
      <c r="AK97" s="31">
        <v>0</v>
      </c>
      <c r="AL97" s="31">
        <v>7.4000000953674361</v>
      </c>
      <c r="AM97" s="31">
        <v>0</v>
      </c>
      <c r="AN97" s="31">
        <v>0</v>
      </c>
      <c r="AO97" s="31">
        <v>0</v>
      </c>
      <c r="AP97" s="31">
        <v>47.751255879797071</v>
      </c>
      <c r="AQ97" s="31">
        <v>0</v>
      </c>
      <c r="AR97" s="29">
        <v>0</v>
      </c>
      <c r="AS97" s="29">
        <v>0</v>
      </c>
      <c r="AT97" s="29">
        <v>0</v>
      </c>
      <c r="AU97" s="29">
        <v>0</v>
      </c>
      <c r="AV97" s="29">
        <v>0</v>
      </c>
      <c r="AW97" s="29">
        <v>0</v>
      </c>
      <c r="AX97" s="29">
        <v>0</v>
      </c>
      <c r="AY97" s="29">
        <v>0</v>
      </c>
      <c r="AZ97" s="29">
        <v>6.2127675881322258E-2</v>
      </c>
      <c r="BA97" s="29">
        <v>0</v>
      </c>
      <c r="BB97" s="29">
        <v>0</v>
      </c>
      <c r="BC97" s="29">
        <v>0</v>
      </c>
      <c r="BD97" s="29">
        <v>1.942581071841591</v>
      </c>
      <c r="BK97" s="3">
        <v>0</v>
      </c>
      <c r="BL97" s="3">
        <v>12.30847909557267</v>
      </c>
      <c r="BM97" s="3">
        <v>78.920585122540601</v>
      </c>
    </row>
    <row r="98" spans="1:65" ht="15.75" customHeight="1" x14ac:dyDescent="0.25">
      <c r="A98" s="3" t="s">
        <v>1008</v>
      </c>
      <c r="B98" s="3" t="s">
        <v>900</v>
      </c>
      <c r="C98" s="3" t="s">
        <v>987</v>
      </c>
      <c r="D98" s="27" t="s">
        <v>900</v>
      </c>
      <c r="E98" s="27" t="s">
        <v>989</v>
      </c>
      <c r="F98" s="31">
        <v>1981</v>
      </c>
      <c r="G98" s="31">
        <v>1981</v>
      </c>
      <c r="H98" s="31">
        <v>213</v>
      </c>
      <c r="I98" s="27">
        <v>0</v>
      </c>
      <c r="J98" s="27">
        <v>30.000000953674302</v>
      </c>
      <c r="L98" s="27">
        <v>0</v>
      </c>
      <c r="P98" s="29">
        <v>0</v>
      </c>
      <c r="AB98" s="27">
        <v>200</v>
      </c>
      <c r="AC98" s="27">
        <v>0</v>
      </c>
      <c r="AD98" s="27">
        <v>0</v>
      </c>
      <c r="AE98" s="27">
        <v>0</v>
      </c>
      <c r="AF98" s="27">
        <v>9.4654065830720562</v>
      </c>
      <c r="AG98" s="27">
        <v>0.31895222132985318</v>
      </c>
      <c r="AH98" s="27">
        <v>0</v>
      </c>
      <c r="AI98" s="31">
        <v>0</v>
      </c>
      <c r="AJ98" s="29">
        <v>0</v>
      </c>
      <c r="AK98" s="31">
        <v>0</v>
      </c>
      <c r="AL98" s="31">
        <v>7.4000000953674361</v>
      </c>
      <c r="AM98" s="31">
        <v>0</v>
      </c>
      <c r="AN98" s="31">
        <v>0</v>
      </c>
      <c r="AO98" s="31">
        <v>0</v>
      </c>
      <c r="AP98" s="31">
        <v>48.070208101126923</v>
      </c>
      <c r="AQ98" s="31">
        <v>0</v>
      </c>
      <c r="AR98" s="29">
        <v>0</v>
      </c>
      <c r="AS98" s="29">
        <v>0</v>
      </c>
      <c r="AT98" s="29">
        <v>0</v>
      </c>
      <c r="AU98" s="29">
        <v>0</v>
      </c>
      <c r="AV98" s="29">
        <v>0</v>
      </c>
      <c r="AW98" s="29">
        <v>0</v>
      </c>
      <c r="AX98" s="29">
        <v>0</v>
      </c>
      <c r="AY98" s="29">
        <v>0</v>
      </c>
      <c r="AZ98" s="29">
        <v>6.2127675881322258E-2</v>
      </c>
      <c r="BA98" s="29">
        <v>0</v>
      </c>
      <c r="BB98" s="29">
        <v>0</v>
      </c>
      <c r="BC98" s="29">
        <v>0</v>
      </c>
      <c r="BD98" s="29">
        <v>1.942581071841591</v>
      </c>
      <c r="BK98" s="3">
        <v>0</v>
      </c>
      <c r="BL98" s="3">
        <v>12.305935366900869</v>
      </c>
      <c r="BM98" s="3">
        <v>78.604176629882545</v>
      </c>
    </row>
    <row r="99" spans="1:65" ht="15.75" customHeight="1" x14ac:dyDescent="0.25">
      <c r="A99" s="3" t="s">
        <v>1008</v>
      </c>
      <c r="B99" s="3" t="s">
        <v>900</v>
      </c>
      <c r="C99" s="3" t="s">
        <v>987</v>
      </c>
      <c r="D99" s="27" t="s">
        <v>900</v>
      </c>
      <c r="E99" s="27" t="s">
        <v>989</v>
      </c>
      <c r="F99" s="31">
        <v>1981</v>
      </c>
      <c r="G99" s="31">
        <v>1981</v>
      </c>
      <c r="H99" s="31">
        <v>214</v>
      </c>
      <c r="I99" s="27">
        <v>0</v>
      </c>
      <c r="J99" s="27">
        <v>27.399999618530302</v>
      </c>
      <c r="L99" s="27">
        <v>0</v>
      </c>
      <c r="P99" s="29">
        <v>0</v>
      </c>
      <c r="AB99" s="27">
        <v>200</v>
      </c>
      <c r="AC99" s="27">
        <v>0</v>
      </c>
      <c r="AD99" s="27">
        <v>0</v>
      </c>
      <c r="AE99" s="27">
        <v>0</v>
      </c>
      <c r="AF99" s="27">
        <v>8.6200466332170347</v>
      </c>
      <c r="AG99" s="27">
        <v>0.28898821767889932</v>
      </c>
      <c r="AH99" s="27">
        <v>0</v>
      </c>
      <c r="AI99" s="31">
        <v>0</v>
      </c>
      <c r="AJ99" s="29">
        <v>0</v>
      </c>
      <c r="AK99" s="31">
        <v>0</v>
      </c>
      <c r="AL99" s="31">
        <v>7.4000000953674361</v>
      </c>
      <c r="AM99" s="31">
        <v>0</v>
      </c>
      <c r="AN99" s="31">
        <v>0</v>
      </c>
      <c r="AO99" s="31">
        <v>0</v>
      </c>
      <c r="AP99" s="31">
        <v>48.359196318805822</v>
      </c>
      <c r="AQ99" s="31">
        <v>0</v>
      </c>
      <c r="AR99" s="29">
        <v>0</v>
      </c>
      <c r="AS99" s="29">
        <v>0</v>
      </c>
      <c r="AT99" s="29">
        <v>0</v>
      </c>
      <c r="AU99" s="29">
        <v>0</v>
      </c>
      <c r="AV99" s="29">
        <v>0</v>
      </c>
      <c r="AW99" s="29">
        <v>0</v>
      </c>
      <c r="AX99" s="29">
        <v>0</v>
      </c>
      <c r="AY99" s="29">
        <v>0</v>
      </c>
      <c r="AZ99" s="29">
        <v>6.2127675881322258E-2</v>
      </c>
      <c r="BA99" s="29">
        <v>0</v>
      </c>
      <c r="BB99" s="29">
        <v>0</v>
      </c>
      <c r="BC99" s="29">
        <v>0</v>
      </c>
      <c r="BD99" s="29">
        <v>1.942581071841591</v>
      </c>
      <c r="BK99" s="3">
        <v>0</v>
      </c>
      <c r="BL99" s="3">
        <v>12.304154756830608</v>
      </c>
      <c r="BM99" s="3">
        <v>78.316969022273909</v>
      </c>
    </row>
    <row r="100" spans="1:65" ht="15.75" customHeight="1" x14ac:dyDescent="0.25">
      <c r="A100" s="3" t="s">
        <v>1008</v>
      </c>
      <c r="B100" s="3" t="s">
        <v>900</v>
      </c>
      <c r="C100" s="3" t="s">
        <v>987</v>
      </c>
      <c r="D100" s="27" t="s">
        <v>900</v>
      </c>
      <c r="E100" s="27" t="s">
        <v>989</v>
      </c>
      <c r="F100" s="31">
        <v>1981</v>
      </c>
      <c r="G100" s="31">
        <v>1981</v>
      </c>
      <c r="H100" s="31">
        <v>215</v>
      </c>
      <c r="I100" s="27">
        <v>0</v>
      </c>
      <c r="J100" s="27">
        <v>27.25</v>
      </c>
      <c r="L100" s="27">
        <v>0</v>
      </c>
      <c r="P100" s="29">
        <v>0</v>
      </c>
      <c r="AB100" s="27">
        <v>200</v>
      </c>
      <c r="AC100" s="27">
        <v>0</v>
      </c>
      <c r="AD100" s="27">
        <v>0</v>
      </c>
      <c r="AE100" s="27">
        <v>0</v>
      </c>
      <c r="AF100" s="27">
        <v>8.8697332141891199</v>
      </c>
      <c r="AG100" s="27">
        <v>0.29586093495854032</v>
      </c>
      <c r="AH100" s="27">
        <v>0</v>
      </c>
      <c r="AI100" s="31">
        <v>0</v>
      </c>
      <c r="AJ100" s="29">
        <v>0</v>
      </c>
      <c r="AK100" s="31">
        <v>0</v>
      </c>
      <c r="AL100" s="31">
        <v>7.4000000953674361</v>
      </c>
      <c r="AM100" s="31">
        <v>0</v>
      </c>
      <c r="AN100" s="31">
        <v>0</v>
      </c>
      <c r="AO100" s="31">
        <v>0</v>
      </c>
      <c r="AP100" s="31">
        <v>48.655057253764362</v>
      </c>
      <c r="AQ100" s="31">
        <v>0</v>
      </c>
      <c r="AR100" s="29">
        <v>0</v>
      </c>
      <c r="AS100" s="29">
        <v>0</v>
      </c>
      <c r="AT100" s="29">
        <v>0</v>
      </c>
      <c r="AU100" s="29">
        <v>0</v>
      </c>
      <c r="AV100" s="29">
        <v>0</v>
      </c>
      <c r="AW100" s="29">
        <v>0</v>
      </c>
      <c r="AX100" s="29">
        <v>0</v>
      </c>
      <c r="AY100" s="29">
        <v>0</v>
      </c>
      <c r="AZ100" s="29">
        <v>6.2127675881322258E-2</v>
      </c>
      <c r="BA100" s="29">
        <v>0</v>
      </c>
      <c r="BB100" s="29">
        <v>0</v>
      </c>
      <c r="BC100" s="29">
        <v>0</v>
      </c>
      <c r="BD100" s="29">
        <v>1.942581071841591</v>
      </c>
      <c r="BK100" s="3">
        <v>0</v>
      </c>
      <c r="BL100" s="3">
        <v>12.302908329781426</v>
      </c>
      <c r="BM100" s="3">
        <v>78.022354514364551</v>
      </c>
    </row>
    <row r="101" spans="1:65" ht="15.75" customHeight="1" x14ac:dyDescent="0.25">
      <c r="A101" s="3" t="s">
        <v>1008</v>
      </c>
      <c r="B101" s="3" t="s">
        <v>900</v>
      </c>
      <c r="C101" s="3" t="s">
        <v>987</v>
      </c>
      <c r="D101" s="27" t="s">
        <v>900</v>
      </c>
      <c r="E101" s="27" t="s">
        <v>989</v>
      </c>
      <c r="F101" s="31">
        <v>1981</v>
      </c>
      <c r="G101" s="31">
        <v>1981</v>
      </c>
      <c r="H101" s="31">
        <v>216</v>
      </c>
      <c r="I101" s="27">
        <v>0</v>
      </c>
      <c r="J101" s="27">
        <v>28</v>
      </c>
      <c r="L101" s="27">
        <v>0</v>
      </c>
      <c r="P101" s="29">
        <v>0</v>
      </c>
      <c r="AB101" s="27">
        <v>200</v>
      </c>
      <c r="AC101" s="27">
        <v>0</v>
      </c>
      <c r="AD101" s="27">
        <v>0</v>
      </c>
      <c r="AE101" s="27">
        <v>0</v>
      </c>
      <c r="AF101" s="27">
        <v>9.5643542820093259</v>
      </c>
      <c r="AG101" s="27">
        <v>0.31743967461671696</v>
      </c>
      <c r="AH101" s="27">
        <v>0</v>
      </c>
      <c r="AI101" s="31">
        <v>0</v>
      </c>
      <c r="AJ101" s="29">
        <v>0</v>
      </c>
      <c r="AK101" s="31">
        <v>0</v>
      </c>
      <c r="AL101" s="31">
        <v>7.4000000953674361</v>
      </c>
      <c r="AM101" s="31">
        <v>0</v>
      </c>
      <c r="AN101" s="31">
        <v>0</v>
      </c>
      <c r="AO101" s="31">
        <v>0</v>
      </c>
      <c r="AP101" s="31">
        <v>48.972496928381076</v>
      </c>
      <c r="AQ101" s="31">
        <v>0</v>
      </c>
      <c r="AR101" s="29">
        <v>0</v>
      </c>
      <c r="AS101" s="29">
        <v>0</v>
      </c>
      <c r="AT101" s="29">
        <v>0</v>
      </c>
      <c r="AU101" s="29">
        <v>0</v>
      </c>
      <c r="AV101" s="29">
        <v>0</v>
      </c>
      <c r="AW101" s="29">
        <v>0</v>
      </c>
      <c r="AX101" s="29">
        <v>0</v>
      </c>
      <c r="AY101" s="29">
        <v>0</v>
      </c>
      <c r="AZ101" s="29">
        <v>6.2127675881322258E-2</v>
      </c>
      <c r="BA101" s="29">
        <v>0</v>
      </c>
      <c r="BB101" s="29">
        <v>0</v>
      </c>
      <c r="BC101" s="29">
        <v>0</v>
      </c>
      <c r="BD101" s="29">
        <v>1.942581071841591</v>
      </c>
      <c r="BK101" s="3">
        <v>0</v>
      </c>
      <c r="BL101" s="3">
        <v>12.302035830846998</v>
      </c>
      <c r="BM101" s="3">
        <v>77.705787338682256</v>
      </c>
    </row>
    <row r="102" spans="1:65" ht="15.75" customHeight="1" x14ac:dyDescent="0.25">
      <c r="A102" s="3" t="s">
        <v>1008</v>
      </c>
      <c r="B102" s="3" t="s">
        <v>900</v>
      </c>
      <c r="C102" s="3" t="s">
        <v>987</v>
      </c>
      <c r="D102" s="27" t="s">
        <v>900</v>
      </c>
      <c r="E102" s="27" t="s">
        <v>989</v>
      </c>
      <c r="F102" s="31">
        <v>1981</v>
      </c>
      <c r="G102" s="31">
        <v>1981</v>
      </c>
      <c r="H102" s="31">
        <v>217</v>
      </c>
      <c r="I102" s="27">
        <v>0</v>
      </c>
      <c r="J102" s="27">
        <v>28.949999809265101</v>
      </c>
      <c r="L102" s="27">
        <v>0</v>
      </c>
      <c r="P102" s="29">
        <v>0</v>
      </c>
      <c r="AB102" s="27">
        <v>200</v>
      </c>
      <c r="AC102" s="27">
        <v>0</v>
      </c>
      <c r="AD102" s="27">
        <v>0</v>
      </c>
      <c r="AE102" s="27">
        <v>0</v>
      </c>
      <c r="AF102" s="27">
        <v>10.015387513182125</v>
      </c>
      <c r="AG102" s="27">
        <v>0.3307678508507777</v>
      </c>
      <c r="AH102" s="27">
        <v>0</v>
      </c>
      <c r="AI102" s="31">
        <v>0</v>
      </c>
      <c r="AJ102" s="29">
        <v>0</v>
      </c>
      <c r="AK102" s="31">
        <v>0</v>
      </c>
      <c r="AL102" s="31">
        <v>7.4000000953674361</v>
      </c>
      <c r="AM102" s="31">
        <v>0</v>
      </c>
      <c r="AN102" s="31">
        <v>0</v>
      </c>
      <c r="AO102" s="31">
        <v>0</v>
      </c>
      <c r="AP102" s="31">
        <v>49.303264779231853</v>
      </c>
      <c r="AQ102" s="31">
        <v>0</v>
      </c>
      <c r="AR102" s="29">
        <v>0</v>
      </c>
      <c r="AS102" s="29">
        <v>0</v>
      </c>
      <c r="AT102" s="29">
        <v>0</v>
      </c>
      <c r="AU102" s="29">
        <v>0</v>
      </c>
      <c r="AV102" s="29">
        <v>0</v>
      </c>
      <c r="AW102" s="29">
        <v>0</v>
      </c>
      <c r="AX102" s="29">
        <v>0</v>
      </c>
      <c r="AY102" s="29">
        <v>0</v>
      </c>
      <c r="AZ102" s="29">
        <v>6.2127675881322258E-2</v>
      </c>
      <c r="BA102" s="29">
        <v>0</v>
      </c>
      <c r="BB102" s="29">
        <v>0</v>
      </c>
      <c r="BC102" s="29">
        <v>0</v>
      </c>
      <c r="BD102" s="29">
        <v>1.942581071841591</v>
      </c>
      <c r="BK102" s="3">
        <v>0</v>
      </c>
      <c r="BL102" s="3">
        <v>12.3014250815929</v>
      </c>
      <c r="BM102" s="3">
        <v>77.375630237085574</v>
      </c>
    </row>
    <row r="103" spans="1:65" ht="15.75" customHeight="1" x14ac:dyDescent="0.25">
      <c r="A103" s="3" t="s">
        <v>1008</v>
      </c>
      <c r="B103" s="3" t="s">
        <v>900</v>
      </c>
      <c r="C103" s="3" t="s">
        <v>987</v>
      </c>
      <c r="D103" s="27" t="s">
        <v>900</v>
      </c>
      <c r="E103" s="27" t="s">
        <v>989</v>
      </c>
      <c r="F103" s="31">
        <v>1981</v>
      </c>
      <c r="G103" s="31">
        <v>1981</v>
      </c>
      <c r="H103" s="31">
        <v>218</v>
      </c>
      <c r="I103" s="27">
        <v>0</v>
      </c>
      <c r="J103" s="27">
        <v>28.299999237060497</v>
      </c>
      <c r="L103" s="27">
        <v>0</v>
      </c>
      <c r="P103" s="29">
        <v>0</v>
      </c>
      <c r="AB103" s="27">
        <v>200</v>
      </c>
      <c r="AC103" s="27">
        <v>0</v>
      </c>
      <c r="AD103" s="27">
        <v>0</v>
      </c>
      <c r="AE103" s="27">
        <v>0</v>
      </c>
      <c r="AF103" s="27">
        <v>10.265096985431173</v>
      </c>
      <c r="AG103" s="27">
        <v>0.33735694384421211</v>
      </c>
      <c r="AH103" s="27">
        <v>0</v>
      </c>
      <c r="AI103" s="31">
        <v>0</v>
      </c>
      <c r="AJ103" s="29">
        <v>0</v>
      </c>
      <c r="AK103" s="31">
        <v>0</v>
      </c>
      <c r="AL103" s="31">
        <v>7.4000000953674361</v>
      </c>
      <c r="AM103" s="31">
        <v>0</v>
      </c>
      <c r="AN103" s="31">
        <v>0</v>
      </c>
      <c r="AO103" s="31">
        <v>0</v>
      </c>
      <c r="AP103" s="31">
        <v>49.640621723076066</v>
      </c>
      <c r="AQ103" s="31">
        <v>0</v>
      </c>
      <c r="AR103" s="29">
        <v>0</v>
      </c>
      <c r="AS103" s="29">
        <v>0</v>
      </c>
      <c r="AT103" s="29">
        <v>0</v>
      </c>
      <c r="AU103" s="29">
        <v>0</v>
      </c>
      <c r="AV103" s="29">
        <v>0</v>
      </c>
      <c r="AW103" s="29">
        <v>0</v>
      </c>
      <c r="AX103" s="29">
        <v>0</v>
      </c>
      <c r="AY103" s="29">
        <v>0</v>
      </c>
      <c r="AZ103" s="29">
        <v>6.2127675881322258E-2</v>
      </c>
      <c r="BA103" s="29">
        <v>0</v>
      </c>
      <c r="BB103" s="29">
        <v>0</v>
      </c>
      <c r="BC103" s="29">
        <v>0</v>
      </c>
      <c r="BD103" s="29">
        <v>1.942581071841591</v>
      </c>
      <c r="BK103" s="3">
        <v>0</v>
      </c>
      <c r="BL103" s="3">
        <v>12.30099755711503</v>
      </c>
      <c r="BM103" s="3">
        <v>77.038700817719231</v>
      </c>
    </row>
    <row r="104" spans="1:65" ht="15.75" customHeight="1" x14ac:dyDescent="0.25">
      <c r="A104" s="3" t="s">
        <v>1008</v>
      </c>
      <c r="B104" s="3" t="s">
        <v>900</v>
      </c>
      <c r="C104" s="3" t="s">
        <v>987</v>
      </c>
      <c r="D104" s="27" t="s">
        <v>900</v>
      </c>
      <c r="E104" s="27" t="s">
        <v>989</v>
      </c>
      <c r="F104" s="31">
        <v>1981</v>
      </c>
      <c r="G104" s="31">
        <v>1981</v>
      </c>
      <c r="H104" s="31">
        <v>219</v>
      </c>
      <c r="I104" s="27">
        <v>0</v>
      </c>
      <c r="J104" s="27">
        <v>29.900000572204604</v>
      </c>
      <c r="L104" s="27">
        <v>0</v>
      </c>
      <c r="P104" s="29">
        <v>0</v>
      </c>
      <c r="AB104" s="27">
        <v>200</v>
      </c>
      <c r="AC104" s="27">
        <v>0</v>
      </c>
      <c r="AD104" s="27">
        <v>0</v>
      </c>
      <c r="AE104" s="27">
        <v>0</v>
      </c>
      <c r="AF104" s="27">
        <v>7.8169802307486878</v>
      </c>
      <c r="AG104" s="27">
        <v>0.25565679685443987</v>
      </c>
      <c r="AH104" s="27">
        <v>0</v>
      </c>
      <c r="AI104" s="31">
        <v>0</v>
      </c>
      <c r="AJ104" s="29">
        <v>0</v>
      </c>
      <c r="AK104" s="31">
        <v>0</v>
      </c>
      <c r="AL104" s="31">
        <v>7.4000000953674361</v>
      </c>
      <c r="AM104" s="31">
        <v>0</v>
      </c>
      <c r="AN104" s="31">
        <v>0</v>
      </c>
      <c r="AO104" s="31">
        <v>0</v>
      </c>
      <c r="AP104" s="31">
        <v>49.896278519930505</v>
      </c>
      <c r="AQ104" s="31">
        <v>0</v>
      </c>
      <c r="AR104" s="29">
        <v>0</v>
      </c>
      <c r="AS104" s="29">
        <v>0</v>
      </c>
      <c r="AT104" s="29">
        <v>0</v>
      </c>
      <c r="AU104" s="29">
        <v>0</v>
      </c>
      <c r="AV104" s="29">
        <v>0</v>
      </c>
      <c r="AW104" s="29">
        <v>0</v>
      </c>
      <c r="AX104" s="29">
        <v>0</v>
      </c>
      <c r="AY104" s="29">
        <v>0</v>
      </c>
      <c r="AZ104" s="29">
        <v>6.2127675881322258E-2</v>
      </c>
      <c r="BA104" s="29">
        <v>0</v>
      </c>
      <c r="BB104" s="29">
        <v>0</v>
      </c>
      <c r="BC104" s="29">
        <v>0</v>
      </c>
      <c r="BD104" s="29">
        <v>1.942581071841591</v>
      </c>
      <c r="BK104" s="3">
        <v>0</v>
      </c>
      <c r="BL104" s="3">
        <v>12.300698289980522</v>
      </c>
      <c r="BM104" s="3">
        <v>76.783343287999301</v>
      </c>
    </row>
    <row r="105" spans="1:65" ht="15.75" customHeight="1" x14ac:dyDescent="0.25">
      <c r="A105" s="3" t="s">
        <v>1008</v>
      </c>
      <c r="B105" s="3" t="s">
        <v>900</v>
      </c>
      <c r="C105" s="3" t="s">
        <v>987</v>
      </c>
      <c r="D105" s="27" t="s">
        <v>900</v>
      </c>
      <c r="E105" s="27" t="s">
        <v>989</v>
      </c>
      <c r="F105" s="31">
        <v>1981</v>
      </c>
      <c r="G105" s="31">
        <v>1981</v>
      </c>
      <c r="H105" s="31">
        <v>220</v>
      </c>
      <c r="I105" s="27">
        <v>0</v>
      </c>
      <c r="J105" s="27">
        <v>29.149999618530252</v>
      </c>
      <c r="L105" s="27">
        <v>0</v>
      </c>
      <c r="P105" s="29">
        <v>0</v>
      </c>
      <c r="AB105" s="27">
        <v>200</v>
      </c>
      <c r="AC105" s="27">
        <v>0</v>
      </c>
      <c r="AD105" s="27">
        <v>0</v>
      </c>
      <c r="AE105" s="27">
        <v>0</v>
      </c>
      <c r="AF105" s="27">
        <v>9.3488091474123323</v>
      </c>
      <c r="AG105" s="27">
        <v>0.30428926356158137</v>
      </c>
      <c r="AH105" s="27">
        <v>0</v>
      </c>
      <c r="AI105" s="31">
        <v>0</v>
      </c>
      <c r="AJ105" s="29">
        <v>0</v>
      </c>
      <c r="AK105" s="31">
        <v>0</v>
      </c>
      <c r="AL105" s="31">
        <v>7.4000000953674361</v>
      </c>
      <c r="AM105" s="31">
        <v>0</v>
      </c>
      <c r="AN105" s="31">
        <v>0</v>
      </c>
      <c r="AO105" s="31">
        <v>0</v>
      </c>
      <c r="AP105" s="31">
        <v>50.200567783492083</v>
      </c>
      <c r="AQ105" s="31">
        <v>0</v>
      </c>
      <c r="AR105" s="29">
        <v>0</v>
      </c>
      <c r="AS105" s="29">
        <v>0</v>
      </c>
      <c r="AT105" s="29">
        <v>0</v>
      </c>
      <c r="AU105" s="29">
        <v>0</v>
      </c>
      <c r="AV105" s="29">
        <v>0</v>
      </c>
      <c r="AW105" s="29">
        <v>0</v>
      </c>
      <c r="AX105" s="29">
        <v>0</v>
      </c>
      <c r="AY105" s="29">
        <v>0</v>
      </c>
      <c r="AZ105" s="29">
        <v>6.2127675881322258E-2</v>
      </c>
      <c r="BA105" s="29">
        <v>0</v>
      </c>
      <c r="BB105" s="29">
        <v>0</v>
      </c>
      <c r="BC105" s="29">
        <v>0</v>
      </c>
      <c r="BD105" s="29">
        <v>1.942581071841591</v>
      </c>
      <c r="BK105" s="3">
        <v>0</v>
      </c>
      <c r="BL105" s="3">
        <v>12.300488802986365</v>
      </c>
      <c r="BM105" s="3">
        <v>76.479263511431881</v>
      </c>
    </row>
    <row r="106" spans="1:65" ht="15.75" customHeight="1" x14ac:dyDescent="0.25">
      <c r="A106" s="3" t="s">
        <v>1008</v>
      </c>
      <c r="B106" s="3" t="s">
        <v>900</v>
      </c>
      <c r="C106" s="3" t="s">
        <v>987</v>
      </c>
      <c r="D106" s="27" t="s">
        <v>900</v>
      </c>
      <c r="E106" s="27" t="s">
        <v>989</v>
      </c>
      <c r="F106" s="31">
        <v>1981</v>
      </c>
      <c r="G106" s="31">
        <v>1981</v>
      </c>
      <c r="H106" s="31">
        <v>221</v>
      </c>
      <c r="I106" s="27">
        <v>0</v>
      </c>
      <c r="J106" s="27">
        <v>29.399999618530252</v>
      </c>
      <c r="L106" s="27">
        <v>0</v>
      </c>
      <c r="P106" s="29">
        <v>0</v>
      </c>
      <c r="AB106" s="27">
        <v>200</v>
      </c>
      <c r="AC106" s="27">
        <v>0</v>
      </c>
      <c r="AD106" s="27">
        <v>0</v>
      </c>
      <c r="AE106" s="27">
        <v>0</v>
      </c>
      <c r="AF106" s="27">
        <v>10.006696303496593</v>
      </c>
      <c r="AG106" s="27">
        <v>0.32415516552133239</v>
      </c>
      <c r="AH106" s="27">
        <v>0</v>
      </c>
      <c r="AI106" s="31">
        <v>0</v>
      </c>
      <c r="AJ106" s="29">
        <v>0</v>
      </c>
      <c r="AK106" s="31">
        <v>0</v>
      </c>
      <c r="AL106" s="31">
        <v>7.4000000953674361</v>
      </c>
      <c r="AM106" s="31">
        <v>0</v>
      </c>
      <c r="AN106" s="31">
        <v>0</v>
      </c>
      <c r="AO106" s="31">
        <v>0</v>
      </c>
      <c r="AP106" s="31">
        <v>50.524722949013416</v>
      </c>
      <c r="AQ106" s="31">
        <v>0</v>
      </c>
      <c r="AR106" s="29">
        <v>0</v>
      </c>
      <c r="AS106" s="29">
        <v>0</v>
      </c>
      <c r="AT106" s="29">
        <v>0</v>
      </c>
      <c r="AU106" s="29">
        <v>0</v>
      </c>
      <c r="AV106" s="29">
        <v>0</v>
      </c>
      <c r="AW106" s="29">
        <v>0</v>
      </c>
      <c r="AX106" s="29">
        <v>0</v>
      </c>
      <c r="AY106" s="29">
        <v>0</v>
      </c>
      <c r="AZ106" s="29">
        <v>6.2127675881322258E-2</v>
      </c>
      <c r="BA106" s="29">
        <v>0</v>
      </c>
      <c r="BB106" s="29">
        <v>0</v>
      </c>
      <c r="BC106" s="29">
        <v>0</v>
      </c>
      <c r="BD106" s="29">
        <v>1.942581071841591</v>
      </c>
      <c r="BK106" s="3">
        <v>0</v>
      </c>
      <c r="BL106" s="3">
        <v>12.300342162090455</v>
      </c>
      <c r="BM106" s="3">
        <v>76.155254986806455</v>
      </c>
    </row>
    <row r="107" spans="1:65" ht="15.75" customHeight="1" x14ac:dyDescent="0.25">
      <c r="A107" s="3" t="s">
        <v>1008</v>
      </c>
      <c r="B107" s="3" t="s">
        <v>900</v>
      </c>
      <c r="C107" s="3" t="s">
        <v>987</v>
      </c>
      <c r="D107" s="27" t="s">
        <v>900</v>
      </c>
      <c r="E107" s="27" t="s">
        <v>989</v>
      </c>
      <c r="F107" s="31">
        <v>1981</v>
      </c>
      <c r="G107" s="31">
        <v>1981</v>
      </c>
      <c r="H107" s="31">
        <v>222</v>
      </c>
      <c r="I107" s="27">
        <v>0</v>
      </c>
      <c r="J107" s="27">
        <v>31.400000572204597</v>
      </c>
      <c r="L107" s="27">
        <v>0</v>
      </c>
      <c r="P107" s="29">
        <v>0</v>
      </c>
      <c r="AB107" s="27">
        <v>200</v>
      </c>
      <c r="AC107" s="27">
        <v>0</v>
      </c>
      <c r="AD107" s="27">
        <v>0</v>
      </c>
      <c r="AE107" s="27">
        <v>0</v>
      </c>
      <c r="AF107" s="27">
        <v>9.0080922618463379</v>
      </c>
      <c r="AG107" s="27">
        <v>0.29043333107779867</v>
      </c>
      <c r="AH107" s="27">
        <v>0</v>
      </c>
      <c r="AI107" s="31">
        <v>0</v>
      </c>
      <c r="AJ107" s="29">
        <v>0</v>
      </c>
      <c r="AK107" s="31">
        <v>0</v>
      </c>
      <c r="AL107" s="31">
        <v>7.4000000953674361</v>
      </c>
      <c r="AM107" s="31">
        <v>0</v>
      </c>
      <c r="AN107" s="31">
        <v>0</v>
      </c>
      <c r="AO107" s="31">
        <v>0</v>
      </c>
      <c r="AP107" s="31">
        <v>50.815156280091216</v>
      </c>
      <c r="AQ107" s="31">
        <v>0</v>
      </c>
      <c r="AR107" s="29">
        <v>0</v>
      </c>
      <c r="AS107" s="29">
        <v>0</v>
      </c>
      <c r="AT107" s="29">
        <v>0</v>
      </c>
      <c r="AU107" s="29">
        <v>0</v>
      </c>
      <c r="AV107" s="29">
        <v>0</v>
      </c>
      <c r="AW107" s="29">
        <v>0</v>
      </c>
      <c r="AX107" s="29">
        <v>0</v>
      </c>
      <c r="AY107" s="29">
        <v>0</v>
      </c>
      <c r="AZ107" s="29">
        <v>6.2127675881322258E-2</v>
      </c>
      <c r="BA107" s="29">
        <v>0</v>
      </c>
      <c r="BB107" s="29">
        <v>0</v>
      </c>
      <c r="BC107" s="29">
        <v>0</v>
      </c>
      <c r="BD107" s="29">
        <v>1.942581071841591</v>
      </c>
      <c r="BK107" s="3">
        <v>0</v>
      </c>
      <c r="BL107" s="3">
        <v>12.300239513463319</v>
      </c>
      <c r="BM107" s="3">
        <v>75.864924304355796</v>
      </c>
    </row>
    <row r="108" spans="1:65" ht="15.75" customHeight="1" x14ac:dyDescent="0.25">
      <c r="A108" s="3" t="s">
        <v>1008</v>
      </c>
      <c r="B108" s="3" t="s">
        <v>900</v>
      </c>
      <c r="C108" s="3" t="s">
        <v>987</v>
      </c>
      <c r="D108" s="27" t="s">
        <v>900</v>
      </c>
      <c r="E108" s="27" t="s">
        <v>989</v>
      </c>
      <c r="F108" s="31">
        <v>1981</v>
      </c>
      <c r="G108" s="31">
        <v>1981</v>
      </c>
      <c r="H108" s="31">
        <v>223</v>
      </c>
      <c r="I108" s="27">
        <v>0</v>
      </c>
      <c r="J108" s="27">
        <v>30.900000572204604</v>
      </c>
      <c r="L108" s="27">
        <v>0</v>
      </c>
      <c r="P108" s="29">
        <v>0</v>
      </c>
      <c r="AB108" s="27">
        <v>200</v>
      </c>
      <c r="AC108" s="27">
        <v>0</v>
      </c>
      <c r="AD108" s="27">
        <v>0</v>
      </c>
      <c r="AE108" s="27">
        <v>0</v>
      </c>
      <c r="AF108" s="27">
        <v>8.3215290016270007</v>
      </c>
      <c r="AG108" s="27">
        <v>0.2670467586768468</v>
      </c>
      <c r="AH108" s="27">
        <v>0</v>
      </c>
      <c r="AI108" s="31">
        <v>0</v>
      </c>
      <c r="AJ108" s="29">
        <v>0</v>
      </c>
      <c r="AK108" s="31">
        <v>0</v>
      </c>
      <c r="AL108" s="31">
        <v>7.4000000953674361</v>
      </c>
      <c r="AM108" s="31">
        <v>0</v>
      </c>
      <c r="AN108" s="31">
        <v>0</v>
      </c>
      <c r="AO108" s="31">
        <v>0</v>
      </c>
      <c r="AP108" s="31">
        <v>51.082203038768064</v>
      </c>
      <c r="AQ108" s="31">
        <v>0</v>
      </c>
      <c r="AR108" s="29">
        <v>0</v>
      </c>
      <c r="AS108" s="29">
        <v>0</v>
      </c>
      <c r="AT108" s="29">
        <v>0</v>
      </c>
      <c r="AU108" s="29">
        <v>0</v>
      </c>
      <c r="AV108" s="29">
        <v>0</v>
      </c>
      <c r="AW108" s="29">
        <v>0</v>
      </c>
      <c r="AX108" s="29">
        <v>0</v>
      </c>
      <c r="AY108" s="29">
        <v>0</v>
      </c>
      <c r="AZ108" s="29">
        <v>6.2127675881322258E-2</v>
      </c>
      <c r="BA108" s="29">
        <v>0</v>
      </c>
      <c r="BB108" s="29">
        <v>0</v>
      </c>
      <c r="BC108" s="29">
        <v>0</v>
      </c>
      <c r="BD108" s="29">
        <v>1.942581071841591</v>
      </c>
      <c r="BK108" s="3">
        <v>0</v>
      </c>
      <c r="BL108" s="3">
        <v>12.300167659424323</v>
      </c>
      <c r="BM108" s="3">
        <v>75.597949399717947</v>
      </c>
    </row>
    <row r="109" spans="1:65" ht="15.75" customHeight="1" x14ac:dyDescent="0.25">
      <c r="A109" s="3" t="s">
        <v>1008</v>
      </c>
      <c r="B109" s="3" t="s">
        <v>900</v>
      </c>
      <c r="C109" s="3" t="s">
        <v>987</v>
      </c>
      <c r="D109" s="27" t="s">
        <v>900</v>
      </c>
      <c r="E109" s="27" t="s">
        <v>989</v>
      </c>
      <c r="F109" s="31">
        <v>1981</v>
      </c>
      <c r="G109" s="31">
        <v>1981</v>
      </c>
      <c r="H109" s="31">
        <v>224</v>
      </c>
      <c r="I109" s="27">
        <v>0</v>
      </c>
      <c r="J109" s="27">
        <v>30.149999618530302</v>
      </c>
      <c r="L109" s="27">
        <v>0</v>
      </c>
      <c r="P109" s="29">
        <v>0</v>
      </c>
      <c r="AB109" s="27">
        <v>200</v>
      </c>
      <c r="AC109" s="27">
        <v>0</v>
      </c>
      <c r="AD109" s="27">
        <v>0</v>
      </c>
      <c r="AE109" s="27">
        <v>0</v>
      </c>
      <c r="AF109" s="27">
        <v>7.9719515359218098</v>
      </c>
      <c r="AG109" s="27">
        <v>0.25464676963387828</v>
      </c>
      <c r="AH109" s="27">
        <v>0</v>
      </c>
      <c r="AI109" s="31">
        <v>0</v>
      </c>
      <c r="AJ109" s="29">
        <v>0</v>
      </c>
      <c r="AK109" s="31">
        <v>0</v>
      </c>
      <c r="AL109" s="31">
        <v>7.4000000953674361</v>
      </c>
      <c r="AM109" s="31">
        <v>0</v>
      </c>
      <c r="AN109" s="31">
        <v>0</v>
      </c>
      <c r="AO109" s="31">
        <v>0</v>
      </c>
      <c r="AP109" s="31">
        <v>51.336849808401944</v>
      </c>
      <c r="AQ109" s="31">
        <v>0</v>
      </c>
      <c r="AR109" s="29">
        <v>0</v>
      </c>
      <c r="AS109" s="29">
        <v>0</v>
      </c>
      <c r="AT109" s="29">
        <v>0</v>
      </c>
      <c r="AU109" s="29">
        <v>0</v>
      </c>
      <c r="AV109" s="29">
        <v>0</v>
      </c>
      <c r="AW109" s="29">
        <v>0</v>
      </c>
      <c r="AX109" s="29">
        <v>0</v>
      </c>
      <c r="AY109" s="29">
        <v>0</v>
      </c>
      <c r="AZ109" s="29">
        <v>6.2127675881322258E-2</v>
      </c>
      <c r="BA109" s="29">
        <v>0</v>
      </c>
      <c r="BB109" s="29">
        <v>0</v>
      </c>
      <c r="BC109" s="29">
        <v>0</v>
      </c>
      <c r="BD109" s="29">
        <v>1.942581071841591</v>
      </c>
      <c r="BK109" s="3">
        <v>0</v>
      </c>
      <c r="BL109" s="3">
        <v>12.300117361597026</v>
      </c>
      <c r="BM109" s="3">
        <v>75.343352927911369</v>
      </c>
    </row>
    <row r="110" spans="1:65" ht="15.75" customHeight="1" x14ac:dyDescent="0.25">
      <c r="A110" s="3" t="s">
        <v>1008</v>
      </c>
      <c r="B110" s="3" t="s">
        <v>900</v>
      </c>
      <c r="C110" s="3" t="s">
        <v>987</v>
      </c>
      <c r="D110" s="27" t="s">
        <v>900</v>
      </c>
      <c r="E110" s="27" t="s">
        <v>989</v>
      </c>
      <c r="F110" s="31">
        <v>1981</v>
      </c>
      <c r="G110" s="31">
        <v>1981</v>
      </c>
      <c r="H110" s="31">
        <v>225</v>
      </c>
      <c r="I110" s="27">
        <v>0</v>
      </c>
      <c r="J110" s="27">
        <v>28.800000190734849</v>
      </c>
      <c r="L110" s="27">
        <v>0</v>
      </c>
      <c r="P110" s="29">
        <v>0</v>
      </c>
      <c r="AB110" s="27">
        <v>200</v>
      </c>
      <c r="AC110" s="27">
        <v>0</v>
      </c>
      <c r="AD110" s="27">
        <v>0</v>
      </c>
      <c r="AE110" s="27">
        <v>0</v>
      </c>
      <c r="AF110" s="27">
        <v>9.0981295319606765</v>
      </c>
      <c r="AG110" s="27">
        <v>0.28929000276436562</v>
      </c>
      <c r="AH110" s="27">
        <v>0</v>
      </c>
      <c r="AI110" s="31">
        <v>0</v>
      </c>
      <c r="AJ110" s="29">
        <v>0</v>
      </c>
      <c r="AK110" s="31">
        <v>0</v>
      </c>
      <c r="AL110" s="31">
        <v>7.4000000953674361</v>
      </c>
      <c r="AM110" s="31">
        <v>0</v>
      </c>
      <c r="AN110" s="31">
        <v>0</v>
      </c>
      <c r="AO110" s="31">
        <v>0</v>
      </c>
      <c r="AP110" s="31">
        <v>51.626139811166311</v>
      </c>
      <c r="AQ110" s="31">
        <v>0</v>
      </c>
      <c r="AR110" s="29">
        <v>0</v>
      </c>
      <c r="AS110" s="29">
        <v>0</v>
      </c>
      <c r="AT110" s="29">
        <v>0</v>
      </c>
      <c r="AU110" s="29">
        <v>0</v>
      </c>
      <c r="AV110" s="29">
        <v>0</v>
      </c>
      <c r="AW110" s="29">
        <v>0</v>
      </c>
      <c r="AX110" s="29">
        <v>0</v>
      </c>
      <c r="AY110" s="29">
        <v>0</v>
      </c>
      <c r="AZ110" s="29">
        <v>6.2127675881322258E-2</v>
      </c>
      <c r="BA110" s="29">
        <v>0</v>
      </c>
      <c r="BB110" s="29">
        <v>0</v>
      </c>
      <c r="BC110" s="29">
        <v>0</v>
      </c>
      <c r="BD110" s="29">
        <v>1.942581071841591</v>
      </c>
      <c r="BK110" s="3">
        <v>0</v>
      </c>
      <c r="BL110" s="3">
        <v>12.300082153117918</v>
      </c>
      <c r="BM110" s="3">
        <v>75.054098133626113</v>
      </c>
    </row>
    <row r="111" spans="1:65" ht="15.75" customHeight="1" x14ac:dyDescent="0.25">
      <c r="A111" s="3" t="s">
        <v>1008</v>
      </c>
      <c r="B111" s="3" t="s">
        <v>900</v>
      </c>
      <c r="C111" s="3" t="s">
        <v>987</v>
      </c>
      <c r="D111" s="27" t="s">
        <v>900</v>
      </c>
      <c r="E111" s="27" t="s">
        <v>989</v>
      </c>
      <c r="F111" s="31">
        <v>1981</v>
      </c>
      <c r="G111" s="31">
        <v>1981</v>
      </c>
      <c r="H111" s="31">
        <v>226</v>
      </c>
      <c r="I111" s="27">
        <v>0</v>
      </c>
      <c r="J111" s="27">
        <v>24.100000381469748</v>
      </c>
      <c r="L111" s="27">
        <v>0</v>
      </c>
      <c r="P111" s="29">
        <v>0</v>
      </c>
      <c r="AB111" s="27">
        <v>200</v>
      </c>
      <c r="AC111" s="27">
        <v>0</v>
      </c>
      <c r="AD111" s="27">
        <v>0</v>
      </c>
      <c r="AE111" s="27">
        <v>0</v>
      </c>
      <c r="AF111" s="27">
        <v>7.3579803279030171</v>
      </c>
      <c r="AG111" s="27">
        <v>0.23289803938655657</v>
      </c>
      <c r="AH111" s="27">
        <v>0</v>
      </c>
      <c r="AI111" s="31">
        <v>0</v>
      </c>
      <c r="AJ111" s="29">
        <v>0</v>
      </c>
      <c r="AK111" s="31">
        <v>0</v>
      </c>
      <c r="AL111" s="31">
        <v>7.4000000953674361</v>
      </c>
      <c r="AM111" s="31">
        <v>0</v>
      </c>
      <c r="AN111" s="31">
        <v>0</v>
      </c>
      <c r="AO111" s="31">
        <v>0</v>
      </c>
      <c r="AP111" s="31">
        <v>51.859037850552866</v>
      </c>
      <c r="AQ111" s="31">
        <v>0</v>
      </c>
      <c r="AR111" s="29">
        <v>0</v>
      </c>
      <c r="AS111" s="29">
        <v>0</v>
      </c>
      <c r="AT111" s="29">
        <v>0</v>
      </c>
      <c r="AU111" s="29">
        <v>0</v>
      </c>
      <c r="AV111" s="29">
        <v>0</v>
      </c>
      <c r="AW111" s="29">
        <v>0</v>
      </c>
      <c r="AX111" s="29">
        <v>0</v>
      </c>
      <c r="AY111" s="29">
        <v>0</v>
      </c>
      <c r="AZ111" s="29">
        <v>6.2127675881322258E-2</v>
      </c>
      <c r="BA111" s="29">
        <v>0</v>
      </c>
      <c r="BB111" s="29">
        <v>0</v>
      </c>
      <c r="BC111" s="29">
        <v>0</v>
      </c>
      <c r="BD111" s="29">
        <v>1.942581071841591</v>
      </c>
      <c r="BK111" s="3">
        <v>0</v>
      </c>
      <c r="BL111" s="3">
        <v>12.300057507182544</v>
      </c>
      <c r="BM111" s="3">
        <v>74.821224740174927</v>
      </c>
    </row>
    <row r="112" spans="1:65" ht="15.75" customHeight="1" x14ac:dyDescent="0.25">
      <c r="A112" s="3" t="s">
        <v>1008</v>
      </c>
      <c r="B112" s="3" t="s">
        <v>900</v>
      </c>
      <c r="C112" s="3" t="s">
        <v>987</v>
      </c>
      <c r="D112" s="27" t="s">
        <v>900</v>
      </c>
      <c r="E112" s="27" t="s">
        <v>989</v>
      </c>
      <c r="F112" s="31">
        <v>1981</v>
      </c>
      <c r="G112" s="31">
        <v>1981</v>
      </c>
      <c r="H112" s="31">
        <v>227</v>
      </c>
      <c r="I112" s="27">
        <v>0</v>
      </c>
      <c r="J112" s="27">
        <v>23.449999332428</v>
      </c>
      <c r="L112" s="27">
        <v>0</v>
      </c>
      <c r="P112" s="29">
        <v>0</v>
      </c>
      <c r="AB112" s="27">
        <v>200</v>
      </c>
      <c r="AC112" s="27">
        <v>0</v>
      </c>
      <c r="AD112" s="27">
        <v>0</v>
      </c>
      <c r="AE112" s="27">
        <v>0</v>
      </c>
      <c r="AF112" s="27">
        <v>7.3687519448068635</v>
      </c>
      <c r="AG112" s="27">
        <v>0.2321907063279382</v>
      </c>
      <c r="AH112" s="27">
        <v>0</v>
      </c>
      <c r="AI112" s="31">
        <v>0</v>
      </c>
      <c r="AJ112" s="29">
        <v>0</v>
      </c>
      <c r="AK112" s="31">
        <v>0</v>
      </c>
      <c r="AL112" s="31">
        <v>7.4000000953674361</v>
      </c>
      <c r="AM112" s="31">
        <v>0</v>
      </c>
      <c r="AN112" s="31">
        <v>0</v>
      </c>
      <c r="AO112" s="31">
        <v>0</v>
      </c>
      <c r="AP112" s="31">
        <v>52.091228556880807</v>
      </c>
      <c r="AQ112" s="31">
        <v>0</v>
      </c>
      <c r="AR112" s="29">
        <v>0</v>
      </c>
      <c r="AS112" s="29">
        <v>0</v>
      </c>
      <c r="AT112" s="29">
        <v>0</v>
      </c>
      <c r="AU112" s="29">
        <v>0</v>
      </c>
      <c r="AV112" s="29">
        <v>0</v>
      </c>
      <c r="AW112" s="29">
        <v>0</v>
      </c>
      <c r="AX112" s="29">
        <v>0</v>
      </c>
      <c r="AY112" s="29">
        <v>0</v>
      </c>
      <c r="AZ112" s="29">
        <v>6.2127675881322258E-2</v>
      </c>
      <c r="BA112" s="29">
        <v>0</v>
      </c>
      <c r="BB112" s="29">
        <v>0</v>
      </c>
      <c r="BC112" s="29">
        <v>0</v>
      </c>
      <c r="BD112" s="29">
        <v>1.942581071841591</v>
      </c>
      <c r="BK112" s="3">
        <v>0</v>
      </c>
      <c r="BL112" s="3">
        <v>12.300040255027781</v>
      </c>
      <c r="BM112" s="3">
        <v>74.589051286001748</v>
      </c>
    </row>
    <row r="113" spans="1:65" ht="15.75" customHeight="1" x14ac:dyDescent="0.25">
      <c r="A113" s="3" t="s">
        <v>1008</v>
      </c>
      <c r="B113" s="3" t="s">
        <v>900</v>
      </c>
      <c r="C113" s="3" t="s">
        <v>987</v>
      </c>
      <c r="D113" s="27" t="s">
        <v>900</v>
      </c>
      <c r="E113" s="27" t="s">
        <v>989</v>
      </c>
      <c r="F113" s="31">
        <v>1981</v>
      </c>
      <c r="G113" s="31">
        <v>1981</v>
      </c>
      <c r="H113" s="31">
        <v>228</v>
      </c>
      <c r="I113" s="27">
        <v>0</v>
      </c>
      <c r="J113" s="27">
        <v>25.949999332428</v>
      </c>
      <c r="L113" s="27">
        <v>0</v>
      </c>
      <c r="P113" s="29">
        <v>0</v>
      </c>
      <c r="AB113" s="27">
        <v>200</v>
      </c>
      <c r="AC113" s="27">
        <v>0</v>
      </c>
      <c r="AD113" s="27">
        <v>0</v>
      </c>
      <c r="AE113" s="27">
        <v>0</v>
      </c>
      <c r="AF113" s="27">
        <v>8.8725553752539472</v>
      </c>
      <c r="AG113" s="27">
        <v>0.27833047917998327</v>
      </c>
      <c r="AH113" s="27">
        <v>0</v>
      </c>
      <c r="AI113" s="31">
        <v>0</v>
      </c>
      <c r="AJ113" s="29">
        <v>0</v>
      </c>
      <c r="AK113" s="31">
        <v>0</v>
      </c>
      <c r="AL113" s="31">
        <v>7.4000000953674361</v>
      </c>
      <c r="AM113" s="31">
        <v>0</v>
      </c>
      <c r="AN113" s="31">
        <v>0</v>
      </c>
      <c r="AO113" s="31">
        <v>0</v>
      </c>
      <c r="AP113" s="31">
        <v>52.369559036060792</v>
      </c>
      <c r="AQ113" s="31">
        <v>0</v>
      </c>
      <c r="AR113" s="29">
        <v>0</v>
      </c>
      <c r="AS113" s="29">
        <v>0</v>
      </c>
      <c r="AT113" s="29">
        <v>0</v>
      </c>
      <c r="AU113" s="29">
        <v>0</v>
      </c>
      <c r="AV113" s="29">
        <v>0</v>
      </c>
      <c r="AW113" s="29">
        <v>0</v>
      </c>
      <c r="AX113" s="29">
        <v>0</v>
      </c>
      <c r="AY113" s="29">
        <v>0</v>
      </c>
      <c r="AZ113" s="29">
        <v>6.2127675881322258E-2</v>
      </c>
      <c r="BA113" s="29">
        <v>0</v>
      </c>
      <c r="BB113" s="29">
        <v>0</v>
      </c>
      <c r="BC113" s="29">
        <v>0</v>
      </c>
      <c r="BD113" s="29">
        <v>1.942581071841591</v>
      </c>
      <c r="BK113" s="3">
        <v>0</v>
      </c>
      <c r="BL113" s="3">
        <v>12.300028178519447</v>
      </c>
      <c r="BM113" s="3">
        <v>74.310732883330104</v>
      </c>
    </row>
    <row r="114" spans="1:65" ht="15.75" customHeight="1" x14ac:dyDescent="0.25">
      <c r="A114" s="3" t="s">
        <v>1008</v>
      </c>
      <c r="B114" s="3" t="s">
        <v>900</v>
      </c>
      <c r="C114" s="3" t="s">
        <v>987</v>
      </c>
      <c r="D114" s="27" t="s">
        <v>900</v>
      </c>
      <c r="E114" s="27" t="s">
        <v>989</v>
      </c>
      <c r="F114" s="31">
        <v>1981</v>
      </c>
      <c r="G114" s="31">
        <v>1981</v>
      </c>
      <c r="H114" s="31">
        <v>229</v>
      </c>
      <c r="I114" s="27">
        <v>0</v>
      </c>
      <c r="J114" s="27">
        <v>29.499999046325698</v>
      </c>
      <c r="L114" s="27">
        <v>0</v>
      </c>
      <c r="P114" s="29">
        <v>0</v>
      </c>
      <c r="AB114" s="27">
        <v>200</v>
      </c>
      <c r="AC114" s="27">
        <v>0</v>
      </c>
      <c r="AD114" s="27">
        <v>0</v>
      </c>
      <c r="AE114" s="27">
        <v>0</v>
      </c>
      <c r="AF114" s="27">
        <v>10.037728167025078</v>
      </c>
      <c r="AG114" s="27">
        <v>0.3134915150458536</v>
      </c>
      <c r="AH114" s="27">
        <v>0</v>
      </c>
      <c r="AI114" s="31">
        <v>0</v>
      </c>
      <c r="AJ114" s="29">
        <v>0</v>
      </c>
      <c r="AK114" s="31">
        <v>0</v>
      </c>
      <c r="AL114" s="31">
        <v>7.4000000953674361</v>
      </c>
      <c r="AM114" s="31">
        <v>0</v>
      </c>
      <c r="AN114" s="31">
        <v>0</v>
      </c>
      <c r="AO114" s="31">
        <v>0</v>
      </c>
      <c r="AP114" s="31">
        <v>52.683050551106646</v>
      </c>
      <c r="AQ114" s="31">
        <v>0</v>
      </c>
      <c r="AR114" s="29">
        <v>0</v>
      </c>
      <c r="AS114" s="29">
        <v>0</v>
      </c>
      <c r="AT114" s="29">
        <v>0</v>
      </c>
      <c r="AU114" s="29">
        <v>0</v>
      </c>
      <c r="AV114" s="29">
        <v>0</v>
      </c>
      <c r="AW114" s="29">
        <v>0</v>
      </c>
      <c r="AX114" s="29">
        <v>0</v>
      </c>
      <c r="AY114" s="29">
        <v>0</v>
      </c>
      <c r="AZ114" s="29">
        <v>6.2127675881322258E-2</v>
      </c>
      <c r="BA114" s="29">
        <v>0</v>
      </c>
      <c r="BB114" s="29">
        <v>0</v>
      </c>
      <c r="BC114" s="29">
        <v>0</v>
      </c>
      <c r="BD114" s="29">
        <v>1.942581071841591</v>
      </c>
      <c r="BK114" s="3">
        <v>0</v>
      </c>
      <c r="BL114" s="3">
        <v>12.300019724963613</v>
      </c>
      <c r="BM114" s="3">
        <v>73.997249821840086</v>
      </c>
    </row>
    <row r="115" spans="1:65" ht="15.75" customHeight="1" x14ac:dyDescent="0.25">
      <c r="A115" s="3" t="s">
        <v>1008</v>
      </c>
      <c r="B115" s="3" t="s">
        <v>900</v>
      </c>
      <c r="C115" s="3" t="s">
        <v>987</v>
      </c>
      <c r="D115" s="27" t="s">
        <v>900</v>
      </c>
      <c r="E115" s="27" t="s">
        <v>989</v>
      </c>
      <c r="F115" s="31">
        <v>1981</v>
      </c>
      <c r="G115" s="31">
        <v>1981</v>
      </c>
      <c r="H115" s="31">
        <v>230</v>
      </c>
      <c r="I115" s="27">
        <v>0</v>
      </c>
      <c r="J115" s="27">
        <v>31.100000381469748</v>
      </c>
      <c r="L115" s="27">
        <v>0</v>
      </c>
      <c r="P115" s="29">
        <v>0</v>
      </c>
      <c r="AB115" s="27">
        <v>200</v>
      </c>
      <c r="AC115" s="27">
        <v>0</v>
      </c>
      <c r="AD115" s="27">
        <v>0</v>
      </c>
      <c r="AE115" s="27">
        <v>0</v>
      </c>
      <c r="AF115" s="27">
        <v>9.5426280501906291</v>
      </c>
      <c r="AG115" s="27">
        <v>0.29672458141146274</v>
      </c>
      <c r="AH115" s="27">
        <v>0</v>
      </c>
      <c r="AI115" s="31">
        <v>0</v>
      </c>
      <c r="AJ115" s="29">
        <v>0</v>
      </c>
      <c r="AK115" s="31">
        <v>0</v>
      </c>
      <c r="AL115" s="31">
        <v>7.4000000953674361</v>
      </c>
      <c r="AM115" s="31">
        <v>0</v>
      </c>
      <c r="AN115" s="31">
        <v>0</v>
      </c>
      <c r="AO115" s="31">
        <v>0</v>
      </c>
      <c r="AP115" s="31">
        <v>52.979775132518107</v>
      </c>
      <c r="AQ115" s="31">
        <v>0</v>
      </c>
      <c r="AR115" s="29">
        <v>0</v>
      </c>
      <c r="AS115" s="29">
        <v>0</v>
      </c>
      <c r="AT115" s="29">
        <v>0</v>
      </c>
      <c r="AU115" s="29">
        <v>0</v>
      </c>
      <c r="AV115" s="29">
        <v>0</v>
      </c>
      <c r="AW115" s="29">
        <v>0</v>
      </c>
      <c r="AX115" s="29">
        <v>0</v>
      </c>
      <c r="AY115" s="29">
        <v>0</v>
      </c>
      <c r="AZ115" s="29">
        <v>6.2127675881322258E-2</v>
      </c>
      <c r="BA115" s="29">
        <v>0</v>
      </c>
      <c r="BB115" s="29">
        <v>0</v>
      </c>
      <c r="BC115" s="29">
        <v>0</v>
      </c>
      <c r="BD115" s="29">
        <v>1.942581071841591</v>
      </c>
      <c r="BK115" s="3">
        <v>0</v>
      </c>
      <c r="BL115" s="3">
        <v>12.30001380747453</v>
      </c>
      <c r="BM115" s="3">
        <v>73.700531157917709</v>
      </c>
    </row>
    <row r="116" spans="1:65" ht="15.75" customHeight="1" x14ac:dyDescent="0.25">
      <c r="A116" s="3" t="s">
        <v>1008</v>
      </c>
      <c r="B116" s="3" t="s">
        <v>900</v>
      </c>
      <c r="C116" s="3" t="s">
        <v>987</v>
      </c>
      <c r="D116" s="27" t="s">
        <v>900</v>
      </c>
      <c r="E116" s="27" t="s">
        <v>989</v>
      </c>
      <c r="F116" s="31">
        <v>1981</v>
      </c>
      <c r="G116" s="31">
        <v>1981</v>
      </c>
      <c r="H116" s="31">
        <v>231</v>
      </c>
      <c r="I116" s="27">
        <v>0</v>
      </c>
      <c r="J116" s="27">
        <v>32.199998855590799</v>
      </c>
      <c r="L116" s="27">
        <v>0</v>
      </c>
      <c r="P116" s="29">
        <v>0</v>
      </c>
      <c r="AB116" s="27">
        <v>200</v>
      </c>
      <c r="AC116" s="27">
        <v>0</v>
      </c>
      <c r="AD116" s="27">
        <v>0</v>
      </c>
      <c r="AE116" s="27">
        <v>0</v>
      </c>
      <c r="AF116" s="27">
        <v>11.184980149432363</v>
      </c>
      <c r="AG116" s="27">
        <v>0.34628404389082312</v>
      </c>
      <c r="AH116" s="27">
        <v>0</v>
      </c>
      <c r="AI116" s="31">
        <v>0</v>
      </c>
      <c r="AJ116" s="29">
        <v>0</v>
      </c>
      <c r="AK116" s="31">
        <v>0</v>
      </c>
      <c r="AL116" s="31">
        <v>7.4000000953674361</v>
      </c>
      <c r="AM116" s="31">
        <v>0</v>
      </c>
      <c r="AN116" s="31">
        <v>0</v>
      </c>
      <c r="AO116" s="31">
        <v>0</v>
      </c>
      <c r="AP116" s="31">
        <v>53.326059176408933</v>
      </c>
      <c r="AQ116" s="31">
        <v>0</v>
      </c>
      <c r="AR116" s="29">
        <v>0</v>
      </c>
      <c r="AS116" s="29">
        <v>0</v>
      </c>
      <c r="AT116" s="29">
        <v>0</v>
      </c>
      <c r="AU116" s="29">
        <v>0</v>
      </c>
      <c r="AV116" s="29">
        <v>0</v>
      </c>
      <c r="AW116" s="29">
        <v>0</v>
      </c>
      <c r="AX116" s="29">
        <v>0</v>
      </c>
      <c r="AY116" s="29">
        <v>0</v>
      </c>
      <c r="AZ116" s="29">
        <v>6.2127675881322258E-2</v>
      </c>
      <c r="BA116" s="29">
        <v>0</v>
      </c>
      <c r="BB116" s="29">
        <v>0</v>
      </c>
      <c r="BC116" s="29">
        <v>0</v>
      </c>
      <c r="BD116" s="29">
        <v>1.942581071841591</v>
      </c>
      <c r="BK116" s="3">
        <v>0</v>
      </c>
      <c r="BL116" s="3">
        <v>12.300009665232171</v>
      </c>
      <c r="BM116" s="3">
        <v>73.354251256269251</v>
      </c>
    </row>
    <row r="117" spans="1:65" ht="15.75" customHeight="1" x14ac:dyDescent="0.25">
      <c r="A117" s="3" t="s">
        <v>1008</v>
      </c>
      <c r="B117" s="3" t="s">
        <v>900</v>
      </c>
      <c r="C117" s="3" t="s">
        <v>987</v>
      </c>
      <c r="D117" s="27" t="s">
        <v>900</v>
      </c>
      <c r="E117" s="27" t="s">
        <v>989</v>
      </c>
      <c r="F117" s="31">
        <v>1981</v>
      </c>
      <c r="G117" s="31">
        <v>1981</v>
      </c>
      <c r="H117" s="31">
        <v>232</v>
      </c>
      <c r="I117" s="27">
        <v>0</v>
      </c>
      <c r="J117" s="27">
        <v>32.749999046325698</v>
      </c>
      <c r="L117" s="27">
        <v>0</v>
      </c>
      <c r="P117" s="29">
        <v>0</v>
      </c>
      <c r="AB117" s="27">
        <v>200</v>
      </c>
      <c r="AC117" s="27">
        <v>0</v>
      </c>
      <c r="AD117" s="27">
        <v>0</v>
      </c>
      <c r="AE117" s="27">
        <v>0</v>
      </c>
      <c r="AF117" s="27">
        <v>8.9222623521026545</v>
      </c>
      <c r="AG117" s="27">
        <v>0.27504278956193662</v>
      </c>
      <c r="AH117" s="27">
        <v>0</v>
      </c>
      <c r="AI117" s="31">
        <v>0</v>
      </c>
      <c r="AJ117" s="29">
        <v>0</v>
      </c>
      <c r="AK117" s="31">
        <v>0</v>
      </c>
      <c r="AL117" s="31">
        <v>7.4000000953674361</v>
      </c>
      <c r="AM117" s="31">
        <v>0</v>
      </c>
      <c r="AN117" s="31">
        <v>0</v>
      </c>
      <c r="AO117" s="31">
        <v>0</v>
      </c>
      <c r="AP117" s="31">
        <v>53.601101965970869</v>
      </c>
      <c r="AQ117" s="31">
        <v>0</v>
      </c>
      <c r="AR117" s="29">
        <v>0</v>
      </c>
      <c r="AS117" s="29">
        <v>0</v>
      </c>
      <c r="AT117" s="29">
        <v>0</v>
      </c>
      <c r="AU117" s="29">
        <v>0</v>
      </c>
      <c r="AV117" s="29">
        <v>0</v>
      </c>
      <c r="AW117" s="29">
        <v>0</v>
      </c>
      <c r="AX117" s="29">
        <v>0</v>
      </c>
      <c r="AY117" s="29">
        <v>0</v>
      </c>
      <c r="AZ117" s="29">
        <v>6.2127675881322258E-2</v>
      </c>
      <c r="BA117" s="29">
        <v>0</v>
      </c>
      <c r="BB117" s="29">
        <v>0</v>
      </c>
      <c r="BC117" s="29">
        <v>0</v>
      </c>
      <c r="BD117" s="29">
        <v>1.942581071841591</v>
      </c>
      <c r="BK117" s="3">
        <v>0</v>
      </c>
      <c r="BL117" s="3">
        <v>12.30000676566252</v>
      </c>
      <c r="BM117" s="3">
        <v>73.079211366276965</v>
      </c>
    </row>
    <row r="118" spans="1:65" ht="15.75" customHeight="1" x14ac:dyDescent="0.25">
      <c r="A118" s="3" t="s">
        <v>1008</v>
      </c>
      <c r="B118" s="3" t="s">
        <v>900</v>
      </c>
      <c r="C118" s="3" t="s">
        <v>987</v>
      </c>
      <c r="D118" s="27" t="s">
        <v>900</v>
      </c>
      <c r="E118" s="27" t="s">
        <v>989</v>
      </c>
      <c r="F118" s="31">
        <v>1981</v>
      </c>
      <c r="G118" s="31">
        <v>1981</v>
      </c>
      <c r="H118" s="31">
        <v>233</v>
      </c>
      <c r="I118" s="27">
        <v>0</v>
      </c>
      <c r="J118" s="27">
        <v>28.799999237060497</v>
      </c>
      <c r="L118" s="27">
        <v>0</v>
      </c>
      <c r="P118" s="29">
        <v>0</v>
      </c>
      <c r="AB118" s="27">
        <v>200</v>
      </c>
      <c r="AC118" s="27">
        <v>0</v>
      </c>
      <c r="AD118" s="27">
        <v>0</v>
      </c>
      <c r="AE118" s="27">
        <v>0</v>
      </c>
      <c r="AF118" s="27">
        <v>8.155611315920277</v>
      </c>
      <c r="AG118" s="27">
        <v>0.25033744022815518</v>
      </c>
      <c r="AH118" s="27">
        <v>0</v>
      </c>
      <c r="AI118" s="31">
        <v>0</v>
      </c>
      <c r="AJ118" s="29">
        <v>0</v>
      </c>
      <c r="AK118" s="31">
        <v>0</v>
      </c>
      <c r="AL118" s="31">
        <v>7.4000000953674361</v>
      </c>
      <c r="AM118" s="31">
        <v>0</v>
      </c>
      <c r="AN118" s="31">
        <v>0</v>
      </c>
      <c r="AO118" s="31">
        <v>0</v>
      </c>
      <c r="AP118" s="31">
        <v>53.851439406199027</v>
      </c>
      <c r="AQ118" s="31">
        <v>0</v>
      </c>
      <c r="AR118" s="29">
        <v>0</v>
      </c>
      <c r="AS118" s="29">
        <v>0</v>
      </c>
      <c r="AT118" s="29">
        <v>0</v>
      </c>
      <c r="AU118" s="29">
        <v>0</v>
      </c>
      <c r="AV118" s="29">
        <v>0</v>
      </c>
      <c r="AW118" s="29">
        <v>0</v>
      </c>
      <c r="AX118" s="29">
        <v>0</v>
      </c>
      <c r="AY118" s="29">
        <v>0</v>
      </c>
      <c r="AZ118" s="29">
        <v>6.2127675881322258E-2</v>
      </c>
      <c r="BA118" s="29">
        <v>0</v>
      </c>
      <c r="BB118" s="29">
        <v>0</v>
      </c>
      <c r="BC118" s="29">
        <v>0</v>
      </c>
      <c r="BD118" s="29">
        <v>1.942581071841591</v>
      </c>
      <c r="BK118" s="3">
        <v>0</v>
      </c>
      <c r="BL118" s="3">
        <v>12.300004735963764</v>
      </c>
      <c r="BM118" s="3">
        <v>72.828875955747563</v>
      </c>
    </row>
    <row r="119" spans="1:65" ht="15.75" customHeight="1" x14ac:dyDescent="0.25">
      <c r="A119" s="3" t="s">
        <v>1008</v>
      </c>
      <c r="B119" s="3" t="s">
        <v>900</v>
      </c>
      <c r="C119" s="3" t="s">
        <v>987</v>
      </c>
      <c r="D119" s="27" t="s">
        <v>900</v>
      </c>
      <c r="E119" s="27" t="s">
        <v>989</v>
      </c>
      <c r="F119" s="31">
        <v>1981</v>
      </c>
      <c r="G119" s="31">
        <v>1981</v>
      </c>
      <c r="H119" s="31">
        <v>234</v>
      </c>
      <c r="I119" s="27">
        <v>0</v>
      </c>
      <c r="J119" s="27">
        <v>26.699999809265151</v>
      </c>
      <c r="L119" s="27">
        <v>0</v>
      </c>
      <c r="P119" s="29">
        <v>0</v>
      </c>
      <c r="AB119" s="27">
        <v>200</v>
      </c>
      <c r="AC119" s="27">
        <v>0</v>
      </c>
      <c r="AD119" s="27">
        <v>0</v>
      </c>
      <c r="AE119" s="27">
        <v>0</v>
      </c>
      <c r="AF119" s="27">
        <v>8.0662590744236642</v>
      </c>
      <c r="AG119" s="27">
        <v>0.24654783637315253</v>
      </c>
      <c r="AH119" s="27">
        <v>0</v>
      </c>
      <c r="AI119" s="31">
        <v>0</v>
      </c>
      <c r="AJ119" s="29">
        <v>0</v>
      </c>
      <c r="AK119" s="31">
        <v>0</v>
      </c>
      <c r="AL119" s="31">
        <v>7.4000000953674361</v>
      </c>
      <c r="AM119" s="31">
        <v>0</v>
      </c>
      <c r="AN119" s="31">
        <v>0</v>
      </c>
      <c r="AO119" s="31">
        <v>0</v>
      </c>
      <c r="AP119" s="31">
        <v>54.097987242572181</v>
      </c>
      <c r="AQ119" s="31">
        <v>0</v>
      </c>
      <c r="AR119" s="29">
        <v>0</v>
      </c>
      <c r="AS119" s="29">
        <v>0</v>
      </c>
      <c r="AT119" s="29">
        <v>0</v>
      </c>
      <c r="AU119" s="29">
        <v>0</v>
      </c>
      <c r="AV119" s="29">
        <v>0</v>
      </c>
      <c r="AW119" s="29">
        <v>0</v>
      </c>
      <c r="AX119" s="29">
        <v>0</v>
      </c>
      <c r="AY119" s="29">
        <v>0</v>
      </c>
      <c r="AZ119" s="29">
        <v>6.2127675881322258E-2</v>
      </c>
      <c r="BA119" s="29">
        <v>0</v>
      </c>
      <c r="BB119" s="29">
        <v>0</v>
      </c>
      <c r="BC119" s="29">
        <v>0</v>
      </c>
      <c r="BD119" s="29">
        <v>1.942581071841591</v>
      </c>
      <c r="BK119" s="3">
        <v>0</v>
      </c>
      <c r="BL119" s="3">
        <v>12.300003315174635</v>
      </c>
      <c r="BM119" s="3">
        <v>72.582329540163542</v>
      </c>
    </row>
    <row r="120" spans="1:65" ht="15.75" customHeight="1" x14ac:dyDescent="0.25">
      <c r="A120" s="3" t="s">
        <v>1008</v>
      </c>
      <c r="B120" s="3" t="s">
        <v>900</v>
      </c>
      <c r="C120" s="3" t="s">
        <v>987</v>
      </c>
      <c r="D120" s="27" t="s">
        <v>900</v>
      </c>
      <c r="E120" s="27" t="s">
        <v>989</v>
      </c>
      <c r="F120" s="31">
        <v>1981</v>
      </c>
      <c r="G120" s="31">
        <v>1981</v>
      </c>
      <c r="H120" s="31">
        <v>235</v>
      </c>
      <c r="I120" s="27">
        <v>0</v>
      </c>
      <c r="J120" s="27">
        <v>28.099999427795403</v>
      </c>
      <c r="L120" s="27">
        <v>0</v>
      </c>
      <c r="P120" s="29">
        <v>0</v>
      </c>
      <c r="AB120" s="27">
        <v>200</v>
      </c>
      <c r="AC120" s="27">
        <v>0</v>
      </c>
      <c r="AD120" s="27">
        <v>0</v>
      </c>
      <c r="AE120" s="27">
        <v>0</v>
      </c>
      <c r="AF120" s="27">
        <v>8.8313616171757801</v>
      </c>
      <c r="AG120" s="27">
        <v>0.26880163347240715</v>
      </c>
      <c r="AH120" s="27">
        <v>0</v>
      </c>
      <c r="AI120" s="31">
        <v>0</v>
      </c>
      <c r="AJ120" s="29">
        <v>0</v>
      </c>
      <c r="AK120" s="31">
        <v>0</v>
      </c>
      <c r="AL120" s="31">
        <v>7.4000000953674361</v>
      </c>
      <c r="AM120" s="31">
        <v>0</v>
      </c>
      <c r="AN120" s="31">
        <v>0</v>
      </c>
      <c r="AO120" s="31">
        <v>0</v>
      </c>
      <c r="AP120" s="31">
        <v>54.366788876044588</v>
      </c>
      <c r="AQ120" s="31">
        <v>0</v>
      </c>
      <c r="AR120" s="29">
        <v>0</v>
      </c>
      <c r="AS120" s="29">
        <v>0</v>
      </c>
      <c r="AT120" s="29">
        <v>0</v>
      </c>
      <c r="AU120" s="29">
        <v>0</v>
      </c>
      <c r="AV120" s="29">
        <v>0</v>
      </c>
      <c r="AW120" s="29">
        <v>0</v>
      </c>
      <c r="AX120" s="29">
        <v>0</v>
      </c>
      <c r="AY120" s="29">
        <v>0</v>
      </c>
      <c r="AZ120" s="29">
        <v>6.2127675881322258E-2</v>
      </c>
      <c r="BA120" s="29">
        <v>0</v>
      </c>
      <c r="BB120" s="29">
        <v>0</v>
      </c>
      <c r="BC120" s="29">
        <v>0</v>
      </c>
      <c r="BD120" s="29">
        <v>1.942581071841591</v>
      </c>
      <c r="BK120" s="3">
        <v>0</v>
      </c>
      <c r="BL120" s="3">
        <v>12.300002320622244</v>
      </c>
      <c r="BM120" s="3">
        <v>72.313528901243529</v>
      </c>
    </row>
    <row r="121" spans="1:65" ht="15.75" customHeight="1" x14ac:dyDescent="0.25">
      <c r="A121" s="3" t="s">
        <v>1008</v>
      </c>
      <c r="B121" s="3" t="s">
        <v>900</v>
      </c>
      <c r="C121" s="3" t="s">
        <v>987</v>
      </c>
      <c r="D121" s="27" t="s">
        <v>900</v>
      </c>
      <c r="E121" s="27" t="s">
        <v>989</v>
      </c>
      <c r="F121" s="31">
        <v>1981</v>
      </c>
      <c r="G121" s="31">
        <v>1981</v>
      </c>
      <c r="H121" s="31">
        <v>236</v>
      </c>
      <c r="I121" s="27">
        <v>0</v>
      </c>
      <c r="J121" s="27">
        <v>28.5</v>
      </c>
      <c r="L121" s="27">
        <v>0</v>
      </c>
      <c r="P121" s="29">
        <v>0</v>
      </c>
      <c r="AB121" s="27">
        <v>200</v>
      </c>
      <c r="AC121" s="27">
        <v>0</v>
      </c>
      <c r="AD121" s="27">
        <v>0</v>
      </c>
      <c r="AE121" s="27">
        <v>0</v>
      </c>
      <c r="AF121" s="27">
        <v>8.4004607874898465</v>
      </c>
      <c r="AG121" s="27">
        <v>0.2546230744768731</v>
      </c>
      <c r="AH121" s="27">
        <v>0</v>
      </c>
      <c r="AI121" s="31">
        <v>0</v>
      </c>
      <c r="AJ121" s="29">
        <v>0</v>
      </c>
      <c r="AK121" s="31">
        <v>0</v>
      </c>
      <c r="AL121" s="31">
        <v>7.4000000953674361</v>
      </c>
      <c r="AM121" s="31">
        <v>0</v>
      </c>
      <c r="AN121" s="31">
        <v>0</v>
      </c>
      <c r="AO121" s="31">
        <v>0</v>
      </c>
      <c r="AP121" s="31">
        <v>54.621411950521463</v>
      </c>
      <c r="AQ121" s="31">
        <v>0</v>
      </c>
      <c r="AR121" s="29">
        <v>0</v>
      </c>
      <c r="AS121" s="29">
        <v>0</v>
      </c>
      <c r="AT121" s="29">
        <v>0</v>
      </c>
      <c r="AU121" s="29">
        <v>0</v>
      </c>
      <c r="AV121" s="29">
        <v>0</v>
      </c>
      <c r="AW121" s="29">
        <v>0</v>
      </c>
      <c r="AX121" s="29">
        <v>0</v>
      </c>
      <c r="AY121" s="29">
        <v>0</v>
      </c>
      <c r="AZ121" s="29">
        <v>6.2127675881322258E-2</v>
      </c>
      <c r="BA121" s="29">
        <v>0</v>
      </c>
      <c r="BB121" s="29">
        <v>0</v>
      </c>
      <c r="BC121" s="29">
        <v>0</v>
      </c>
      <c r="BD121" s="29">
        <v>1.942581071841591</v>
      </c>
      <c r="BK121" s="3">
        <v>0</v>
      </c>
      <c r="BL121" s="3">
        <v>12.300001624435572</v>
      </c>
      <c r="BM121" s="3">
        <v>72.058906522953336</v>
      </c>
    </row>
    <row r="122" spans="1:65" ht="15.75" customHeight="1" x14ac:dyDescent="0.25">
      <c r="A122" s="3" t="s">
        <v>1008</v>
      </c>
      <c r="B122" s="3" t="s">
        <v>900</v>
      </c>
      <c r="C122" s="3" t="s">
        <v>987</v>
      </c>
      <c r="D122" s="27" t="s">
        <v>900</v>
      </c>
      <c r="E122" s="27" t="s">
        <v>989</v>
      </c>
      <c r="F122" s="31">
        <v>1981</v>
      </c>
      <c r="G122" s="31">
        <v>1981</v>
      </c>
      <c r="H122" s="31">
        <v>237</v>
      </c>
      <c r="I122" s="27">
        <v>0</v>
      </c>
      <c r="J122" s="27">
        <v>28.349999427795396</v>
      </c>
      <c r="L122" s="27">
        <v>0</v>
      </c>
      <c r="P122" s="29">
        <v>0</v>
      </c>
      <c r="AB122" s="27">
        <v>200</v>
      </c>
      <c r="AC122" s="27">
        <v>0</v>
      </c>
      <c r="AD122" s="27">
        <v>0</v>
      </c>
      <c r="AE122" s="27">
        <v>0</v>
      </c>
      <c r="AF122" s="27">
        <v>8.6905069443610774</v>
      </c>
      <c r="AG122" s="27">
        <v>0.26232829040875072</v>
      </c>
      <c r="AH122" s="27">
        <v>0</v>
      </c>
      <c r="AI122" s="31">
        <v>0</v>
      </c>
      <c r="AJ122" s="29">
        <v>0</v>
      </c>
      <c r="AK122" s="31">
        <v>0</v>
      </c>
      <c r="AL122" s="31">
        <v>7.4000000953674361</v>
      </c>
      <c r="AM122" s="31">
        <v>0</v>
      </c>
      <c r="AN122" s="31">
        <v>0</v>
      </c>
      <c r="AO122" s="31">
        <v>0</v>
      </c>
      <c r="AP122" s="31">
        <v>54.883740240930216</v>
      </c>
      <c r="AQ122" s="31">
        <v>0</v>
      </c>
      <c r="AR122" s="29">
        <v>0</v>
      </c>
      <c r="AS122" s="29">
        <v>0</v>
      </c>
      <c r="AT122" s="29">
        <v>0</v>
      </c>
      <c r="AU122" s="29">
        <v>0</v>
      </c>
      <c r="AV122" s="29">
        <v>0</v>
      </c>
      <c r="AW122" s="29">
        <v>0</v>
      </c>
      <c r="AX122" s="29">
        <v>0</v>
      </c>
      <c r="AY122" s="29">
        <v>0</v>
      </c>
      <c r="AZ122" s="29">
        <v>6.2127675881322258E-2</v>
      </c>
      <c r="BA122" s="29">
        <v>0</v>
      </c>
      <c r="BB122" s="29">
        <v>0</v>
      </c>
      <c r="BC122" s="29">
        <v>0</v>
      </c>
      <c r="BD122" s="29">
        <v>1.942581071841591</v>
      </c>
      <c r="BK122" s="3">
        <v>0</v>
      </c>
      <c r="BL122" s="3">
        <v>12.3000011371049</v>
      </c>
      <c r="BM122" s="3">
        <v>71.796578719875257</v>
      </c>
    </row>
    <row r="123" spans="1:65" ht="15.75" customHeight="1" x14ac:dyDescent="0.25">
      <c r="A123" s="3" t="s">
        <v>1008</v>
      </c>
      <c r="B123" s="3" t="s">
        <v>900</v>
      </c>
      <c r="C123" s="3" t="s">
        <v>987</v>
      </c>
      <c r="D123" s="27" t="s">
        <v>900</v>
      </c>
      <c r="E123" s="27" t="s">
        <v>989</v>
      </c>
      <c r="F123" s="31">
        <v>1981</v>
      </c>
      <c r="G123" s="31">
        <v>1981</v>
      </c>
      <c r="H123" s="31">
        <v>238</v>
      </c>
      <c r="I123" s="27">
        <v>0</v>
      </c>
      <c r="J123" s="27">
        <v>27.95000076293945</v>
      </c>
      <c r="L123" s="27">
        <v>0</v>
      </c>
      <c r="P123" s="29">
        <v>0</v>
      </c>
      <c r="AB123" s="27">
        <v>200</v>
      </c>
      <c r="AC123" s="27">
        <v>0</v>
      </c>
      <c r="AD123" s="27">
        <v>0</v>
      </c>
      <c r="AE123" s="27">
        <v>0</v>
      </c>
      <c r="AF123" s="27">
        <v>7.9979504097077259</v>
      </c>
      <c r="AG123" s="27">
        <v>0.24043561826061199</v>
      </c>
      <c r="AH123" s="27">
        <v>0</v>
      </c>
      <c r="AI123" s="31">
        <v>0</v>
      </c>
      <c r="AJ123" s="29">
        <v>0</v>
      </c>
      <c r="AK123" s="31">
        <v>0</v>
      </c>
      <c r="AL123" s="31">
        <v>7.4000000953674361</v>
      </c>
      <c r="AM123" s="31">
        <v>0</v>
      </c>
      <c r="AN123" s="31">
        <v>0</v>
      </c>
      <c r="AO123" s="31">
        <v>0</v>
      </c>
      <c r="AP123" s="31">
        <v>55.124175859190828</v>
      </c>
      <c r="AQ123" s="31">
        <v>0</v>
      </c>
      <c r="AR123" s="29">
        <v>0</v>
      </c>
      <c r="AS123" s="29">
        <v>0</v>
      </c>
      <c r="AT123" s="29">
        <v>0</v>
      </c>
      <c r="AU123" s="29">
        <v>0</v>
      </c>
      <c r="AV123" s="29">
        <v>0</v>
      </c>
      <c r="AW123" s="29">
        <v>0</v>
      </c>
      <c r="AX123" s="29">
        <v>0</v>
      </c>
      <c r="AY123" s="29">
        <v>0</v>
      </c>
      <c r="AZ123" s="29">
        <v>6.2127675881322258E-2</v>
      </c>
      <c r="BA123" s="29">
        <v>0</v>
      </c>
      <c r="BB123" s="29">
        <v>0</v>
      </c>
      <c r="BC123" s="29">
        <v>0</v>
      </c>
      <c r="BD123" s="29">
        <v>1.942581071841591</v>
      </c>
      <c r="BK123" s="3">
        <v>0</v>
      </c>
      <c r="BL123" s="3">
        <v>12.30000079597343</v>
      </c>
      <c r="BM123" s="3">
        <v>71.556143442746119</v>
      </c>
    </row>
    <row r="124" spans="1:65" ht="15.75" customHeight="1" x14ac:dyDescent="0.25">
      <c r="A124" s="3" t="s">
        <v>1008</v>
      </c>
      <c r="B124" s="3" t="s">
        <v>900</v>
      </c>
      <c r="C124" s="3" t="s">
        <v>987</v>
      </c>
      <c r="D124" s="27" t="s">
        <v>900</v>
      </c>
      <c r="E124" s="27" t="s">
        <v>989</v>
      </c>
      <c r="F124" s="31">
        <v>1981</v>
      </c>
      <c r="G124" s="31">
        <v>1981</v>
      </c>
      <c r="H124" s="31">
        <v>239</v>
      </c>
      <c r="I124" s="27">
        <v>0</v>
      </c>
      <c r="J124" s="27">
        <v>29.25</v>
      </c>
      <c r="L124" s="27">
        <v>0</v>
      </c>
      <c r="P124" s="29">
        <v>0</v>
      </c>
      <c r="AB124" s="27">
        <v>200</v>
      </c>
      <c r="AC124" s="27">
        <v>0</v>
      </c>
      <c r="AD124" s="27">
        <v>0</v>
      </c>
      <c r="AE124" s="27">
        <v>0</v>
      </c>
      <c r="AF124" s="27">
        <v>8.4152038644856084</v>
      </c>
      <c r="AG124" s="27">
        <v>0.25195285864404166</v>
      </c>
      <c r="AH124" s="27">
        <v>0</v>
      </c>
      <c r="AI124" s="31">
        <v>0</v>
      </c>
      <c r="AJ124" s="29">
        <v>0</v>
      </c>
      <c r="AK124" s="31">
        <v>0</v>
      </c>
      <c r="AL124" s="31">
        <v>7.4000000953674361</v>
      </c>
      <c r="AM124" s="31">
        <v>0</v>
      </c>
      <c r="AN124" s="31">
        <v>0</v>
      </c>
      <c r="AO124" s="31">
        <v>0</v>
      </c>
      <c r="AP124" s="31">
        <v>55.376128717834867</v>
      </c>
      <c r="AQ124" s="31">
        <v>0</v>
      </c>
      <c r="AR124" s="29">
        <v>0</v>
      </c>
      <c r="AS124" s="29">
        <v>0</v>
      </c>
      <c r="AT124" s="29">
        <v>0</v>
      </c>
      <c r="AU124" s="29">
        <v>0</v>
      </c>
      <c r="AV124" s="29">
        <v>0</v>
      </c>
      <c r="AW124" s="29">
        <v>0</v>
      </c>
      <c r="AX124" s="29">
        <v>0</v>
      </c>
      <c r="AY124" s="29">
        <v>0</v>
      </c>
      <c r="AZ124" s="29">
        <v>6.2127675881322258E-2</v>
      </c>
      <c r="BA124" s="29">
        <v>0</v>
      </c>
      <c r="BB124" s="29">
        <v>0</v>
      </c>
      <c r="BC124" s="29">
        <v>0</v>
      </c>
      <c r="BD124" s="29">
        <v>1.942581071841591</v>
      </c>
      <c r="BK124" s="3">
        <v>0</v>
      </c>
      <c r="BL124" s="3">
        <v>12.300000557181402</v>
      </c>
      <c r="BM124" s="3">
        <v>71.3041908228941</v>
      </c>
    </row>
    <row r="125" spans="1:65" ht="15.75" customHeight="1" x14ac:dyDescent="0.25">
      <c r="A125" s="3" t="s">
        <v>1008</v>
      </c>
      <c r="B125" s="3" t="s">
        <v>900</v>
      </c>
      <c r="C125" s="3" t="s">
        <v>987</v>
      </c>
      <c r="D125" s="27" t="s">
        <v>900</v>
      </c>
      <c r="E125" s="27" t="s">
        <v>989</v>
      </c>
      <c r="F125" s="31">
        <v>1981</v>
      </c>
      <c r="G125" s="31">
        <v>1981</v>
      </c>
      <c r="H125" s="31">
        <v>240</v>
      </c>
      <c r="I125" s="27">
        <v>0</v>
      </c>
      <c r="J125" s="27">
        <v>28.499999046325698</v>
      </c>
      <c r="L125" s="27">
        <v>0</v>
      </c>
      <c r="P125" s="29">
        <v>0</v>
      </c>
      <c r="AB125" s="27">
        <v>200</v>
      </c>
      <c r="AC125" s="27">
        <v>0</v>
      </c>
      <c r="AD125" s="27">
        <v>0</v>
      </c>
      <c r="AE125" s="27">
        <v>0</v>
      </c>
      <c r="AF125" s="27">
        <v>6.2572520305981385</v>
      </c>
      <c r="AG125" s="27">
        <v>0.1865894503714795</v>
      </c>
      <c r="AH125" s="27">
        <v>0</v>
      </c>
      <c r="AI125" s="31">
        <v>0</v>
      </c>
      <c r="AJ125" s="29">
        <v>0</v>
      </c>
      <c r="AK125" s="31">
        <v>0</v>
      </c>
      <c r="AL125" s="31">
        <v>7.4000000953674361</v>
      </c>
      <c r="AM125" s="31">
        <v>0</v>
      </c>
      <c r="AN125" s="31">
        <v>0</v>
      </c>
      <c r="AO125" s="31">
        <v>0</v>
      </c>
      <c r="AP125" s="31">
        <v>55.562718168206345</v>
      </c>
      <c r="AQ125" s="31">
        <v>0</v>
      </c>
      <c r="AR125" s="29">
        <v>0</v>
      </c>
      <c r="AS125" s="29">
        <v>0</v>
      </c>
      <c r="AT125" s="29">
        <v>0</v>
      </c>
      <c r="AU125" s="29">
        <v>0</v>
      </c>
      <c r="AV125" s="29">
        <v>0</v>
      </c>
      <c r="AW125" s="29">
        <v>0</v>
      </c>
      <c r="AX125" s="29">
        <v>0</v>
      </c>
      <c r="AY125" s="29">
        <v>0</v>
      </c>
      <c r="AZ125" s="29">
        <v>6.2127675881322258E-2</v>
      </c>
      <c r="BA125" s="29">
        <v>0</v>
      </c>
      <c r="BB125" s="29">
        <v>0</v>
      </c>
      <c r="BC125" s="29">
        <v>0</v>
      </c>
      <c r="BD125" s="29">
        <v>1.942581071841591</v>
      </c>
      <c r="BK125" s="3">
        <v>0</v>
      </c>
      <c r="BL125" s="3">
        <v>12.300000390026982</v>
      </c>
      <c r="BM125" s="3">
        <v>71.11760153967704</v>
      </c>
    </row>
    <row r="126" spans="1:65" ht="15.75" customHeight="1" x14ac:dyDescent="0.25">
      <c r="A126" s="3" t="s">
        <v>1008</v>
      </c>
      <c r="B126" s="3" t="s">
        <v>900</v>
      </c>
      <c r="C126" s="3" t="s">
        <v>987</v>
      </c>
      <c r="D126" s="27" t="s">
        <v>900</v>
      </c>
      <c r="E126" s="27" t="s">
        <v>989</v>
      </c>
      <c r="F126" s="31">
        <v>1981</v>
      </c>
      <c r="G126" s="31">
        <v>1981</v>
      </c>
      <c r="H126" s="31">
        <v>241</v>
      </c>
      <c r="I126" s="27">
        <v>0</v>
      </c>
      <c r="J126" s="27">
        <v>26.75</v>
      </c>
      <c r="L126" s="27">
        <v>0</v>
      </c>
      <c r="P126" s="29">
        <v>0</v>
      </c>
      <c r="AB126" s="27">
        <v>200</v>
      </c>
      <c r="AC126" s="27">
        <v>0</v>
      </c>
      <c r="AD126" s="27">
        <v>0</v>
      </c>
      <c r="AE126" s="27">
        <v>0</v>
      </c>
      <c r="AF126" s="27">
        <v>4.9658305954253068</v>
      </c>
      <c r="AG126" s="27">
        <v>0.14748849239211018</v>
      </c>
      <c r="AH126" s="27">
        <v>0</v>
      </c>
      <c r="AI126" s="31">
        <v>0</v>
      </c>
      <c r="AJ126" s="29">
        <v>0</v>
      </c>
      <c r="AK126" s="31">
        <v>0</v>
      </c>
      <c r="AL126" s="31">
        <v>7.4000000953674361</v>
      </c>
      <c r="AM126" s="31">
        <v>0</v>
      </c>
      <c r="AN126" s="31">
        <v>0</v>
      </c>
      <c r="AO126" s="31">
        <v>0</v>
      </c>
      <c r="AP126" s="31">
        <v>55.710206660598452</v>
      </c>
      <c r="AQ126" s="31">
        <v>0</v>
      </c>
      <c r="AR126" s="29">
        <v>0</v>
      </c>
      <c r="AS126" s="29">
        <v>0</v>
      </c>
      <c r="AT126" s="29">
        <v>0</v>
      </c>
      <c r="AU126" s="29">
        <v>0</v>
      </c>
      <c r="AV126" s="29">
        <v>0</v>
      </c>
      <c r="AW126" s="29">
        <v>0</v>
      </c>
      <c r="AX126" s="29">
        <v>0</v>
      </c>
      <c r="AY126" s="29">
        <v>0</v>
      </c>
      <c r="AZ126" s="29">
        <v>6.2127675881322258E-2</v>
      </c>
      <c r="BA126" s="29">
        <v>0</v>
      </c>
      <c r="BB126" s="29">
        <v>0</v>
      </c>
      <c r="BC126" s="29">
        <v>0</v>
      </c>
      <c r="BD126" s="29">
        <v>1.942581071841591</v>
      </c>
      <c r="BK126" s="3">
        <v>0</v>
      </c>
      <c r="BL126" s="3">
        <v>12.300000273018888</v>
      </c>
      <c r="BM126" s="3">
        <v>70.970113164293025</v>
      </c>
    </row>
    <row r="127" spans="1:65" ht="15.75" customHeight="1" x14ac:dyDescent="0.25">
      <c r="A127" s="3" t="s">
        <v>1008</v>
      </c>
      <c r="B127" s="3" t="s">
        <v>900</v>
      </c>
      <c r="C127" s="3" t="s">
        <v>987</v>
      </c>
      <c r="D127" s="27" t="s">
        <v>900</v>
      </c>
      <c r="E127" s="27" t="s">
        <v>989</v>
      </c>
      <c r="F127" s="31">
        <v>1981</v>
      </c>
      <c r="G127" s="31">
        <v>1981</v>
      </c>
      <c r="H127" s="31">
        <v>242</v>
      </c>
      <c r="I127" s="27">
        <v>0</v>
      </c>
      <c r="J127" s="27">
        <v>25.899999618530302</v>
      </c>
      <c r="L127" s="27">
        <v>0</v>
      </c>
      <c r="P127" s="29">
        <v>0</v>
      </c>
      <c r="AB127" s="27">
        <v>200</v>
      </c>
      <c r="AC127" s="27">
        <v>0</v>
      </c>
      <c r="AD127" s="27">
        <v>0</v>
      </c>
      <c r="AE127" s="27">
        <v>0</v>
      </c>
      <c r="AF127" s="27">
        <v>7.3861427442024308</v>
      </c>
      <c r="AG127" s="27">
        <v>0.21850456744482255</v>
      </c>
      <c r="AH127" s="27">
        <v>0</v>
      </c>
      <c r="AI127" s="31">
        <v>0</v>
      </c>
      <c r="AJ127" s="29">
        <v>0</v>
      </c>
      <c r="AK127" s="31">
        <v>0</v>
      </c>
      <c r="AL127" s="31">
        <v>7.4000000953674361</v>
      </c>
      <c r="AM127" s="31">
        <v>0</v>
      </c>
      <c r="AN127" s="31">
        <v>0</v>
      </c>
      <c r="AO127" s="31">
        <v>0</v>
      </c>
      <c r="AP127" s="31">
        <v>55.928711228043277</v>
      </c>
      <c r="AQ127" s="31">
        <v>0</v>
      </c>
      <c r="AR127" s="29">
        <v>0</v>
      </c>
      <c r="AS127" s="29">
        <v>0</v>
      </c>
      <c r="AT127" s="29">
        <v>0</v>
      </c>
      <c r="AU127" s="29">
        <v>0</v>
      </c>
      <c r="AV127" s="29">
        <v>0</v>
      </c>
      <c r="AW127" s="29">
        <v>0</v>
      </c>
      <c r="AX127" s="29">
        <v>0</v>
      </c>
      <c r="AY127" s="29">
        <v>0</v>
      </c>
      <c r="AZ127" s="29">
        <v>6.2127675881322258E-2</v>
      </c>
      <c r="BA127" s="29">
        <v>0</v>
      </c>
      <c r="BB127" s="29">
        <v>0</v>
      </c>
      <c r="BC127" s="29">
        <v>0</v>
      </c>
      <c r="BD127" s="29">
        <v>1.942581071841591</v>
      </c>
      <c r="BK127" s="3">
        <v>0</v>
      </c>
      <c r="BL127" s="3">
        <v>12.300000191113222</v>
      </c>
      <c r="BM127" s="3">
        <v>70.751608678753868</v>
      </c>
    </row>
    <row r="128" spans="1:65" ht="15.75" customHeight="1" x14ac:dyDescent="0.25">
      <c r="A128" s="3" t="s">
        <v>1008</v>
      </c>
      <c r="B128" s="3" t="s">
        <v>900</v>
      </c>
      <c r="C128" s="3" t="s">
        <v>987</v>
      </c>
      <c r="D128" s="27" t="s">
        <v>900</v>
      </c>
      <c r="E128" s="27" t="s">
        <v>989</v>
      </c>
      <c r="F128" s="31">
        <v>1981</v>
      </c>
      <c r="G128" s="31">
        <v>1981</v>
      </c>
      <c r="H128" s="31">
        <v>243</v>
      </c>
      <c r="I128" s="27">
        <v>0</v>
      </c>
      <c r="J128" s="27">
        <v>26.149999618530249</v>
      </c>
      <c r="L128" s="27">
        <v>0</v>
      </c>
      <c r="P128" s="29">
        <v>0</v>
      </c>
      <c r="AB128" s="27">
        <v>200</v>
      </c>
      <c r="AC128" s="27">
        <v>0</v>
      </c>
      <c r="AD128" s="27">
        <v>0</v>
      </c>
      <c r="AE128" s="27">
        <v>0</v>
      </c>
      <c r="AF128" s="27">
        <v>7.5614621826198132</v>
      </c>
      <c r="AG128" s="27">
        <v>0.22281209625144066</v>
      </c>
      <c r="AH128" s="27">
        <v>0</v>
      </c>
      <c r="AI128" s="31">
        <v>0</v>
      </c>
      <c r="AJ128" s="29">
        <v>0</v>
      </c>
      <c r="AK128" s="31">
        <v>0</v>
      </c>
      <c r="AL128" s="31">
        <v>7.4000000953674361</v>
      </c>
      <c r="AM128" s="31">
        <v>0</v>
      </c>
      <c r="AN128" s="31">
        <v>0</v>
      </c>
      <c r="AO128" s="31">
        <v>0</v>
      </c>
      <c r="AP128" s="31">
        <v>56.151523324294715</v>
      </c>
      <c r="AQ128" s="31">
        <v>0</v>
      </c>
      <c r="AR128" s="29">
        <v>0</v>
      </c>
      <c r="AS128" s="29">
        <v>0</v>
      </c>
      <c r="AT128" s="29">
        <v>0</v>
      </c>
      <c r="AU128" s="29">
        <v>0</v>
      </c>
      <c r="AV128" s="29">
        <v>0</v>
      </c>
      <c r="AW128" s="29">
        <v>0</v>
      </c>
      <c r="AX128" s="29">
        <v>0</v>
      </c>
      <c r="AY128" s="29">
        <v>0</v>
      </c>
      <c r="AZ128" s="29">
        <v>6.2127675881322258E-2</v>
      </c>
      <c r="BA128" s="29">
        <v>0</v>
      </c>
      <c r="BB128" s="29">
        <v>0</v>
      </c>
      <c r="BC128" s="29">
        <v>0</v>
      </c>
      <c r="BD128" s="29">
        <v>1.942581071841591</v>
      </c>
      <c r="BK128" s="3">
        <v>0</v>
      </c>
      <c r="BL128" s="3">
        <v>12.300000133779255</v>
      </c>
      <c r="BM128" s="3">
        <v>70.528796639836401</v>
      </c>
    </row>
    <row r="129" spans="1:65" ht="15.75" customHeight="1" x14ac:dyDescent="0.25">
      <c r="A129" s="3" t="s">
        <v>1008</v>
      </c>
      <c r="B129" s="3" t="s">
        <v>900</v>
      </c>
      <c r="C129" s="3" t="s">
        <v>987</v>
      </c>
      <c r="D129" s="27" t="s">
        <v>900</v>
      </c>
      <c r="E129" s="27" t="s">
        <v>989</v>
      </c>
      <c r="F129" s="31">
        <v>1981</v>
      </c>
      <c r="G129" s="31">
        <v>1981</v>
      </c>
      <c r="H129" s="31">
        <v>244</v>
      </c>
      <c r="I129" s="27">
        <v>0</v>
      </c>
      <c r="J129" s="27">
        <v>25.099999427795399</v>
      </c>
      <c r="L129" s="27">
        <v>0</v>
      </c>
      <c r="P129" s="29">
        <v>0</v>
      </c>
      <c r="AB129" s="27">
        <v>200</v>
      </c>
      <c r="AC129" s="27">
        <v>0</v>
      </c>
      <c r="AD129" s="27">
        <v>0</v>
      </c>
      <c r="AE129" s="27">
        <v>0</v>
      </c>
      <c r="AF129" s="27">
        <v>7.581401924165152</v>
      </c>
      <c r="AG129" s="27">
        <v>0.22252869285879101</v>
      </c>
      <c r="AH129" s="27">
        <v>0</v>
      </c>
      <c r="AI129" s="31">
        <v>0</v>
      </c>
      <c r="AJ129" s="29">
        <v>0</v>
      </c>
      <c r="AK129" s="31">
        <v>0</v>
      </c>
      <c r="AL129" s="31">
        <v>7.4000000953674361</v>
      </c>
      <c r="AM129" s="31">
        <v>0</v>
      </c>
      <c r="AN129" s="31">
        <v>0</v>
      </c>
      <c r="AO129" s="31">
        <v>0</v>
      </c>
      <c r="AP129" s="31">
        <v>56.374052017153502</v>
      </c>
      <c r="AQ129" s="31">
        <v>0</v>
      </c>
      <c r="AR129" s="29">
        <v>0</v>
      </c>
      <c r="AS129" s="29">
        <v>0</v>
      </c>
      <c r="AT129" s="29">
        <v>0</v>
      </c>
      <c r="AU129" s="29">
        <v>0</v>
      </c>
      <c r="AV129" s="29">
        <v>0</v>
      </c>
      <c r="AW129" s="29">
        <v>0</v>
      </c>
      <c r="AX129" s="29">
        <v>0</v>
      </c>
      <c r="AY129" s="29">
        <v>0</v>
      </c>
      <c r="AZ129" s="29">
        <v>6.2127675881322258E-2</v>
      </c>
      <c r="BA129" s="29">
        <v>0</v>
      </c>
      <c r="BB129" s="29">
        <v>0</v>
      </c>
      <c r="BC129" s="29">
        <v>0</v>
      </c>
      <c r="BD129" s="29">
        <v>1.942581071841591</v>
      </c>
      <c r="BK129" s="3">
        <v>0</v>
      </c>
      <c r="BL129" s="3">
        <v>12.30000009364548</v>
      </c>
      <c r="BM129" s="3">
        <v>70.306267987111383</v>
      </c>
    </row>
    <row r="130" spans="1:65" ht="15.75" customHeight="1" x14ac:dyDescent="0.25">
      <c r="A130" s="3" t="s">
        <v>1008</v>
      </c>
      <c r="B130" s="3" t="s">
        <v>900</v>
      </c>
      <c r="C130" s="3" t="s">
        <v>987</v>
      </c>
      <c r="D130" s="27" t="s">
        <v>900</v>
      </c>
      <c r="E130" s="27" t="s">
        <v>989</v>
      </c>
      <c r="F130" s="31">
        <v>1981</v>
      </c>
      <c r="G130" s="31">
        <v>1981</v>
      </c>
      <c r="H130" s="31">
        <v>245</v>
      </c>
      <c r="I130" s="27">
        <v>0</v>
      </c>
      <c r="J130" s="27">
        <v>26.199999809265098</v>
      </c>
      <c r="L130" s="27">
        <v>0</v>
      </c>
      <c r="P130" s="29">
        <v>0</v>
      </c>
      <c r="AB130" s="27">
        <v>200</v>
      </c>
      <c r="AC130" s="27">
        <v>0</v>
      </c>
      <c r="AD130" s="27">
        <v>0</v>
      </c>
      <c r="AE130" s="27">
        <v>0</v>
      </c>
      <c r="AF130" s="27">
        <v>8.0294746430048338</v>
      </c>
      <c r="AG130" s="27">
        <v>0.23476875326424343</v>
      </c>
      <c r="AH130" s="27">
        <v>0</v>
      </c>
      <c r="AI130" s="31">
        <v>0</v>
      </c>
      <c r="AJ130" s="29">
        <v>0</v>
      </c>
      <c r="AK130" s="31">
        <v>0</v>
      </c>
      <c r="AL130" s="31">
        <v>7.4000000953674361</v>
      </c>
      <c r="AM130" s="31">
        <v>0</v>
      </c>
      <c r="AN130" s="31">
        <v>0</v>
      </c>
      <c r="AO130" s="31">
        <v>0</v>
      </c>
      <c r="AP130" s="31">
        <v>56.608820770417744</v>
      </c>
      <c r="AQ130" s="31">
        <v>0</v>
      </c>
      <c r="AR130" s="29">
        <v>0</v>
      </c>
      <c r="AS130" s="29">
        <v>0</v>
      </c>
      <c r="AT130" s="29">
        <v>0</v>
      </c>
      <c r="AU130" s="29">
        <v>0</v>
      </c>
      <c r="AV130" s="29">
        <v>0</v>
      </c>
      <c r="AW130" s="29">
        <v>0</v>
      </c>
      <c r="AX130" s="29">
        <v>0</v>
      </c>
      <c r="AY130" s="29">
        <v>0</v>
      </c>
      <c r="AZ130" s="29">
        <v>6.2127675881322258E-2</v>
      </c>
      <c r="BA130" s="29">
        <v>0</v>
      </c>
      <c r="BB130" s="29">
        <v>0</v>
      </c>
      <c r="BC130" s="29">
        <v>0</v>
      </c>
      <c r="BD130" s="29">
        <v>1.942581071841591</v>
      </c>
      <c r="BK130" s="3">
        <v>0</v>
      </c>
      <c r="BL130" s="3">
        <v>12.300000065551837</v>
      </c>
      <c r="BM130" s="3">
        <v>70.071499261940787</v>
      </c>
    </row>
    <row r="131" spans="1:65" ht="15.75" customHeight="1" x14ac:dyDescent="0.25">
      <c r="A131" s="3" t="s">
        <v>1008</v>
      </c>
      <c r="B131" s="3" t="s">
        <v>900</v>
      </c>
      <c r="C131" s="3" t="s">
        <v>987</v>
      </c>
      <c r="D131" s="27" t="s">
        <v>900</v>
      </c>
      <c r="E131" s="27" t="s">
        <v>989</v>
      </c>
      <c r="F131" s="31">
        <v>1981</v>
      </c>
      <c r="G131" s="31">
        <v>1981</v>
      </c>
      <c r="H131" s="31">
        <v>246</v>
      </c>
      <c r="I131" s="27">
        <v>0</v>
      </c>
      <c r="J131" s="27">
        <v>27.800001144409201</v>
      </c>
      <c r="L131" s="27">
        <v>0</v>
      </c>
      <c r="P131" s="29">
        <v>0</v>
      </c>
      <c r="AB131" s="27">
        <v>200</v>
      </c>
      <c r="AC131" s="27">
        <v>0</v>
      </c>
      <c r="AD131" s="27">
        <v>0</v>
      </c>
      <c r="AE131" s="27">
        <v>0</v>
      </c>
      <c r="AF131" s="27">
        <v>8.6691437534198563</v>
      </c>
      <c r="AG131" s="27">
        <v>0.25249860512158884</v>
      </c>
      <c r="AH131" s="27">
        <v>0</v>
      </c>
      <c r="AI131" s="31">
        <v>0</v>
      </c>
      <c r="AJ131" s="29">
        <v>0</v>
      </c>
      <c r="AK131" s="31">
        <v>0</v>
      </c>
      <c r="AL131" s="31">
        <v>7.4000000953674361</v>
      </c>
      <c r="AM131" s="31">
        <v>0</v>
      </c>
      <c r="AN131" s="31">
        <v>0</v>
      </c>
      <c r="AO131" s="31">
        <v>0</v>
      </c>
      <c r="AP131" s="31">
        <v>56.861319375539331</v>
      </c>
      <c r="AQ131" s="31">
        <v>0</v>
      </c>
      <c r="AR131" s="29">
        <v>0</v>
      </c>
      <c r="AS131" s="29">
        <v>0</v>
      </c>
      <c r="AT131" s="29">
        <v>0</v>
      </c>
      <c r="AU131" s="29">
        <v>0</v>
      </c>
      <c r="AV131" s="29">
        <v>0</v>
      </c>
      <c r="AW131" s="29">
        <v>0</v>
      </c>
      <c r="AX131" s="29">
        <v>0</v>
      </c>
      <c r="AY131" s="29">
        <v>0</v>
      </c>
      <c r="AZ131" s="29">
        <v>6.2127675881322258E-2</v>
      </c>
      <c r="BA131" s="29">
        <v>0</v>
      </c>
      <c r="BB131" s="29">
        <v>0</v>
      </c>
      <c r="BC131" s="29">
        <v>0</v>
      </c>
      <c r="BD131" s="29">
        <v>1.942581071841591</v>
      </c>
      <c r="BK131" s="3">
        <v>0</v>
      </c>
      <c r="BL131" s="3">
        <v>12.300000045886286</v>
      </c>
      <c r="BM131" s="3">
        <v>69.819000676484748</v>
      </c>
    </row>
    <row r="132" spans="1:65" ht="15.75" customHeight="1" x14ac:dyDescent="0.25">
      <c r="A132" s="3" t="s">
        <v>1008</v>
      </c>
      <c r="B132" s="3" t="s">
        <v>900</v>
      </c>
      <c r="C132" s="3" t="s">
        <v>987</v>
      </c>
      <c r="D132" s="27" t="s">
        <v>900</v>
      </c>
      <c r="E132" s="27" t="s">
        <v>989</v>
      </c>
      <c r="F132" s="31">
        <v>1981</v>
      </c>
      <c r="G132" s="31">
        <v>1981</v>
      </c>
      <c r="H132" s="31">
        <v>247</v>
      </c>
      <c r="I132" s="27">
        <v>0</v>
      </c>
      <c r="J132" s="27">
        <v>27.250000953674302</v>
      </c>
      <c r="L132" s="27">
        <v>0</v>
      </c>
      <c r="P132" s="29">
        <v>0</v>
      </c>
      <c r="AB132" s="27">
        <v>200</v>
      </c>
      <c r="AC132" s="27">
        <v>0</v>
      </c>
      <c r="AD132" s="27">
        <v>0</v>
      </c>
      <c r="AE132" s="27">
        <v>0</v>
      </c>
      <c r="AF132" s="27">
        <v>8.424165422502309</v>
      </c>
      <c r="AG132" s="27">
        <v>0.24442860682984169</v>
      </c>
      <c r="AH132" s="27">
        <v>0</v>
      </c>
      <c r="AI132" s="31">
        <v>0</v>
      </c>
      <c r="AJ132" s="29">
        <v>0</v>
      </c>
      <c r="AK132" s="31">
        <v>0</v>
      </c>
      <c r="AL132" s="31">
        <v>7.4000000953674361</v>
      </c>
      <c r="AM132" s="31">
        <v>0</v>
      </c>
      <c r="AN132" s="31">
        <v>0</v>
      </c>
      <c r="AO132" s="31">
        <v>0</v>
      </c>
      <c r="AP132" s="31">
        <v>57.105747982369174</v>
      </c>
      <c r="AQ132" s="31">
        <v>0</v>
      </c>
      <c r="AR132" s="29">
        <v>0</v>
      </c>
      <c r="AS132" s="29">
        <v>0</v>
      </c>
      <c r="AT132" s="29">
        <v>0</v>
      </c>
      <c r="AU132" s="29">
        <v>0</v>
      </c>
      <c r="AV132" s="29">
        <v>0</v>
      </c>
      <c r="AW132" s="29">
        <v>0</v>
      </c>
      <c r="AX132" s="29">
        <v>0</v>
      </c>
      <c r="AY132" s="29">
        <v>0</v>
      </c>
      <c r="AZ132" s="29">
        <v>6.2127675881322258E-2</v>
      </c>
      <c r="BA132" s="29">
        <v>0</v>
      </c>
      <c r="BB132" s="29">
        <v>0</v>
      </c>
      <c r="BC132" s="29">
        <v>0</v>
      </c>
      <c r="BD132" s="29">
        <v>1.942581071841591</v>
      </c>
      <c r="BK132" s="3">
        <v>0</v>
      </c>
      <c r="BL132" s="3">
        <v>12.300000032120399</v>
      </c>
      <c r="BM132" s="3">
        <v>69.57457208342079</v>
      </c>
    </row>
    <row r="133" spans="1:65" ht="15.75" customHeight="1" x14ac:dyDescent="0.25">
      <c r="A133" s="3" t="s">
        <v>1008</v>
      </c>
      <c r="B133" s="3" t="s">
        <v>900</v>
      </c>
      <c r="C133" s="3" t="s">
        <v>987</v>
      </c>
      <c r="D133" s="27" t="s">
        <v>900</v>
      </c>
      <c r="E133" s="27" t="s">
        <v>989</v>
      </c>
      <c r="F133" s="31">
        <v>1981</v>
      </c>
      <c r="G133" s="31">
        <v>1981</v>
      </c>
      <c r="H133" s="31">
        <v>248</v>
      </c>
      <c r="I133" s="27">
        <v>0</v>
      </c>
      <c r="J133" s="27">
        <v>26.549999713897698</v>
      </c>
      <c r="L133" s="27">
        <v>0</v>
      </c>
      <c r="P133" s="29">
        <v>0</v>
      </c>
      <c r="AB133" s="27">
        <v>200</v>
      </c>
      <c r="AC133" s="27">
        <v>0</v>
      </c>
      <c r="AD133" s="27">
        <v>0</v>
      </c>
      <c r="AE133" s="27">
        <v>0</v>
      </c>
      <c r="AF133" s="27">
        <v>8.1194401014793414</v>
      </c>
      <c r="AG133" s="27">
        <v>0.23469625182903434</v>
      </c>
      <c r="AH133" s="27">
        <v>0</v>
      </c>
      <c r="AI133" s="31">
        <v>0</v>
      </c>
      <c r="AJ133" s="29">
        <v>0</v>
      </c>
      <c r="AK133" s="31">
        <v>0</v>
      </c>
      <c r="AL133" s="31">
        <v>7.4000000953674361</v>
      </c>
      <c r="AM133" s="31">
        <v>0</v>
      </c>
      <c r="AN133" s="31">
        <v>0</v>
      </c>
      <c r="AO133" s="31">
        <v>0</v>
      </c>
      <c r="AP133" s="31">
        <v>57.340444234198209</v>
      </c>
      <c r="AQ133" s="31">
        <v>0</v>
      </c>
      <c r="AR133" s="29">
        <v>0</v>
      </c>
      <c r="AS133" s="29">
        <v>0</v>
      </c>
      <c r="AT133" s="29">
        <v>0</v>
      </c>
      <c r="AU133" s="29">
        <v>0</v>
      </c>
      <c r="AV133" s="29">
        <v>0</v>
      </c>
      <c r="AW133" s="29">
        <v>0</v>
      </c>
      <c r="AX133" s="29">
        <v>0</v>
      </c>
      <c r="AY133" s="29">
        <v>0</v>
      </c>
      <c r="AZ133" s="29">
        <v>6.2127675881322258E-2</v>
      </c>
      <c r="BA133" s="29">
        <v>0</v>
      </c>
      <c r="BB133" s="29">
        <v>0</v>
      </c>
      <c r="BC133" s="29">
        <v>0</v>
      </c>
      <c r="BD133" s="29">
        <v>1.942581071841591</v>
      </c>
      <c r="BK133" s="3">
        <v>0</v>
      </c>
      <c r="BL133" s="3">
        <v>12.30000002248428</v>
      </c>
      <c r="BM133" s="3">
        <v>69.33987584122788</v>
      </c>
    </row>
    <row r="134" spans="1:65" ht="15.75" customHeight="1" x14ac:dyDescent="0.25">
      <c r="A134" s="3" t="s">
        <v>1008</v>
      </c>
      <c r="B134" s="3" t="s">
        <v>900</v>
      </c>
      <c r="C134" s="3" t="s">
        <v>987</v>
      </c>
      <c r="D134" s="27" t="s">
        <v>900</v>
      </c>
      <c r="E134" s="27" t="s">
        <v>989</v>
      </c>
      <c r="F134" s="31">
        <v>1981</v>
      </c>
      <c r="G134" s="31">
        <v>1981</v>
      </c>
      <c r="H134" s="31">
        <v>249</v>
      </c>
      <c r="I134" s="27">
        <v>0</v>
      </c>
      <c r="J134" s="27">
        <v>27.400000572204601</v>
      </c>
      <c r="L134" s="27">
        <v>0</v>
      </c>
      <c r="P134" s="29">
        <v>0</v>
      </c>
      <c r="AB134" s="27">
        <v>200</v>
      </c>
      <c r="AC134" s="27">
        <v>0</v>
      </c>
      <c r="AD134" s="27">
        <v>0</v>
      </c>
      <c r="AE134" s="27">
        <v>0</v>
      </c>
      <c r="AF134" s="27">
        <v>8.9519400503733291</v>
      </c>
      <c r="AG134" s="27">
        <v>0.25778908880062007</v>
      </c>
      <c r="AH134" s="27">
        <v>0</v>
      </c>
      <c r="AI134" s="31">
        <v>0</v>
      </c>
      <c r="AJ134" s="29">
        <v>0</v>
      </c>
      <c r="AK134" s="31">
        <v>0</v>
      </c>
      <c r="AL134" s="31">
        <v>7.4000000953674361</v>
      </c>
      <c r="AM134" s="31">
        <v>0</v>
      </c>
      <c r="AN134" s="31">
        <v>0</v>
      </c>
      <c r="AO134" s="31">
        <v>0</v>
      </c>
      <c r="AP134" s="31">
        <v>57.59823332299883</v>
      </c>
      <c r="AQ134" s="31">
        <v>0</v>
      </c>
      <c r="AR134" s="29">
        <v>0</v>
      </c>
      <c r="AS134" s="29">
        <v>0</v>
      </c>
      <c r="AT134" s="29">
        <v>0</v>
      </c>
      <c r="AU134" s="29">
        <v>0</v>
      </c>
      <c r="AV134" s="29">
        <v>0</v>
      </c>
      <c r="AW134" s="29">
        <v>0</v>
      </c>
      <c r="AX134" s="29">
        <v>0</v>
      </c>
      <c r="AY134" s="29">
        <v>0</v>
      </c>
      <c r="AZ134" s="29">
        <v>6.2127675881322258E-2</v>
      </c>
      <c r="BA134" s="29">
        <v>0</v>
      </c>
      <c r="BB134" s="29">
        <v>0</v>
      </c>
      <c r="BC134" s="29">
        <v>0</v>
      </c>
      <c r="BD134" s="29">
        <v>1.942581071841591</v>
      </c>
      <c r="BK134" s="3">
        <v>0</v>
      </c>
      <c r="BL134" s="3">
        <v>12.300000015738997</v>
      </c>
      <c r="BM134" s="3">
        <v>69.08208675917254</v>
      </c>
    </row>
    <row r="135" spans="1:65" ht="15.75" customHeight="1" x14ac:dyDescent="0.25">
      <c r="A135" s="3" t="s">
        <v>1008</v>
      </c>
      <c r="B135" s="3" t="s">
        <v>900</v>
      </c>
      <c r="C135" s="3" t="s">
        <v>987</v>
      </c>
      <c r="D135" s="27" t="s">
        <v>900</v>
      </c>
      <c r="E135" s="27" t="s">
        <v>989</v>
      </c>
      <c r="F135" s="31">
        <v>1981</v>
      </c>
      <c r="G135" s="31">
        <v>1981</v>
      </c>
      <c r="H135" s="31">
        <v>250</v>
      </c>
      <c r="I135" s="27">
        <v>0</v>
      </c>
      <c r="J135" s="27">
        <v>30.450000762939503</v>
      </c>
      <c r="L135" s="27">
        <v>0</v>
      </c>
      <c r="P135" s="29">
        <v>0</v>
      </c>
      <c r="AB135" s="27">
        <v>200</v>
      </c>
      <c r="AC135" s="27">
        <v>0</v>
      </c>
      <c r="AD135" s="27">
        <v>0</v>
      </c>
      <c r="AE135" s="27">
        <v>0</v>
      </c>
      <c r="AF135" s="27">
        <v>9.9064033874161925</v>
      </c>
      <c r="AG135" s="27">
        <v>0.28421229013906624</v>
      </c>
      <c r="AH135" s="27">
        <v>0</v>
      </c>
      <c r="AI135" s="31">
        <v>0</v>
      </c>
      <c r="AJ135" s="29">
        <v>0</v>
      </c>
      <c r="AK135" s="31">
        <v>0</v>
      </c>
      <c r="AL135" s="31">
        <v>7.4000000953674361</v>
      </c>
      <c r="AM135" s="31">
        <v>0</v>
      </c>
      <c r="AN135" s="31">
        <v>0</v>
      </c>
      <c r="AO135" s="31">
        <v>0</v>
      </c>
      <c r="AP135" s="31">
        <v>57.882445613137897</v>
      </c>
      <c r="AQ135" s="31">
        <v>0</v>
      </c>
      <c r="AR135" s="29">
        <v>0</v>
      </c>
      <c r="AS135" s="29">
        <v>0</v>
      </c>
      <c r="AT135" s="29">
        <v>0</v>
      </c>
      <c r="AU135" s="29">
        <v>0</v>
      </c>
      <c r="AV135" s="29">
        <v>0</v>
      </c>
      <c r="AW135" s="29">
        <v>0</v>
      </c>
      <c r="AX135" s="29">
        <v>0</v>
      </c>
      <c r="AY135" s="29">
        <v>0</v>
      </c>
      <c r="AZ135" s="29">
        <v>6.2127675881322258E-2</v>
      </c>
      <c r="BA135" s="29">
        <v>0</v>
      </c>
      <c r="BB135" s="29">
        <v>0</v>
      </c>
      <c r="BC135" s="29">
        <v>0</v>
      </c>
      <c r="BD135" s="29">
        <v>1.942581071841591</v>
      </c>
      <c r="BK135" s="3">
        <v>0</v>
      </c>
      <c r="BL135" s="3">
        <v>12.300000011017298</v>
      </c>
      <c r="BM135" s="3">
        <v>68.797874473755172</v>
      </c>
    </row>
    <row r="136" spans="1:65" ht="15.75" customHeight="1" x14ac:dyDescent="0.25">
      <c r="A136" s="3" t="s">
        <v>1008</v>
      </c>
      <c r="B136" s="3" t="s">
        <v>900</v>
      </c>
      <c r="C136" s="3" t="s">
        <v>987</v>
      </c>
      <c r="D136" s="27" t="s">
        <v>900</v>
      </c>
      <c r="E136" s="27" t="s">
        <v>989</v>
      </c>
      <c r="F136" s="31">
        <v>1981</v>
      </c>
      <c r="G136" s="31">
        <v>1981</v>
      </c>
      <c r="H136" s="31">
        <v>251</v>
      </c>
      <c r="I136" s="27">
        <v>0</v>
      </c>
      <c r="J136" s="27">
        <v>29.650000572204597</v>
      </c>
      <c r="L136" s="27">
        <v>0</v>
      </c>
      <c r="P136" s="29">
        <v>0</v>
      </c>
      <c r="AB136" s="27">
        <v>200</v>
      </c>
      <c r="AC136" s="27">
        <v>0</v>
      </c>
      <c r="AD136" s="27">
        <v>0</v>
      </c>
      <c r="AE136" s="27">
        <v>0</v>
      </c>
      <c r="AF136" s="27">
        <v>8.8040654744471158</v>
      </c>
      <c r="AG136" s="27">
        <v>0.25165269916708322</v>
      </c>
      <c r="AH136" s="27">
        <v>0</v>
      </c>
      <c r="AI136" s="31">
        <v>0</v>
      </c>
      <c r="AJ136" s="29">
        <v>0</v>
      </c>
      <c r="AK136" s="31">
        <v>0</v>
      </c>
      <c r="AL136" s="31">
        <v>7.4000000953674361</v>
      </c>
      <c r="AM136" s="31">
        <v>0</v>
      </c>
      <c r="AN136" s="31">
        <v>0</v>
      </c>
      <c r="AO136" s="31">
        <v>0</v>
      </c>
      <c r="AP136" s="31">
        <v>58.134098312304978</v>
      </c>
      <c r="AQ136" s="31">
        <v>0</v>
      </c>
      <c r="AR136" s="29">
        <v>0</v>
      </c>
      <c r="AS136" s="29">
        <v>0</v>
      </c>
      <c r="AT136" s="29">
        <v>0</v>
      </c>
      <c r="AU136" s="29">
        <v>0</v>
      </c>
      <c r="AV136" s="29">
        <v>0</v>
      </c>
      <c r="AW136" s="29">
        <v>0</v>
      </c>
      <c r="AX136" s="29">
        <v>0</v>
      </c>
      <c r="AY136" s="29">
        <v>0</v>
      </c>
      <c r="AZ136" s="29">
        <v>6.2127675881322258E-2</v>
      </c>
      <c r="BA136" s="29">
        <v>0</v>
      </c>
      <c r="BB136" s="29">
        <v>0</v>
      </c>
      <c r="BC136" s="29">
        <v>0</v>
      </c>
      <c r="BD136" s="29">
        <v>1.942581071841591</v>
      </c>
      <c r="BK136" s="3">
        <v>0</v>
      </c>
      <c r="BL136" s="3">
        <v>12.300000007712109</v>
      </c>
      <c r="BM136" s="3">
        <v>68.54622177789328</v>
      </c>
    </row>
    <row r="137" spans="1:65" ht="15.75" customHeight="1" x14ac:dyDescent="0.25">
      <c r="A137" s="3" t="s">
        <v>1008</v>
      </c>
      <c r="B137" s="3" t="s">
        <v>900</v>
      </c>
      <c r="C137" s="3" t="s">
        <v>987</v>
      </c>
      <c r="D137" s="27" t="s">
        <v>900</v>
      </c>
      <c r="E137" s="27" t="s">
        <v>989</v>
      </c>
      <c r="F137" s="31">
        <v>1981</v>
      </c>
      <c r="G137" s="31">
        <v>1981</v>
      </c>
      <c r="H137" s="31">
        <v>252</v>
      </c>
      <c r="I137" s="27">
        <v>0</v>
      </c>
      <c r="J137" s="27">
        <v>30.399999618530249</v>
      </c>
      <c r="L137" s="27">
        <v>0</v>
      </c>
      <c r="P137" s="29">
        <v>0</v>
      </c>
      <c r="AB137" s="27">
        <v>200</v>
      </c>
      <c r="AC137" s="27">
        <v>0</v>
      </c>
      <c r="AD137" s="27">
        <v>0</v>
      </c>
      <c r="AE137" s="27">
        <v>0</v>
      </c>
      <c r="AF137" s="27">
        <v>8.6554236111147222</v>
      </c>
      <c r="AG137" s="27">
        <v>0.24649605222262438</v>
      </c>
      <c r="AH137" s="27">
        <v>0</v>
      </c>
      <c r="AI137" s="31">
        <v>0</v>
      </c>
      <c r="AJ137" s="29">
        <v>0</v>
      </c>
      <c r="AK137" s="31">
        <v>0</v>
      </c>
      <c r="AL137" s="31">
        <v>7.4000000953674361</v>
      </c>
      <c r="AM137" s="31">
        <v>0</v>
      </c>
      <c r="AN137" s="31">
        <v>0</v>
      </c>
      <c r="AO137" s="31">
        <v>0</v>
      </c>
      <c r="AP137" s="31">
        <v>58.380594364527603</v>
      </c>
      <c r="AQ137" s="31">
        <v>0</v>
      </c>
      <c r="AR137" s="29">
        <v>0</v>
      </c>
      <c r="AS137" s="29">
        <v>0</v>
      </c>
      <c r="AT137" s="29">
        <v>0</v>
      </c>
      <c r="AU137" s="29">
        <v>0</v>
      </c>
      <c r="AV137" s="29">
        <v>0</v>
      </c>
      <c r="AW137" s="29">
        <v>0</v>
      </c>
      <c r="AX137" s="29">
        <v>0</v>
      </c>
      <c r="AY137" s="29">
        <v>0</v>
      </c>
      <c r="AZ137" s="29">
        <v>6.2127675881322258E-2</v>
      </c>
      <c r="BA137" s="29">
        <v>0</v>
      </c>
      <c r="BB137" s="29">
        <v>0</v>
      </c>
      <c r="BC137" s="29">
        <v>0</v>
      </c>
      <c r="BD137" s="29">
        <v>1.942581071841591</v>
      </c>
      <c r="BK137" s="3">
        <v>0</v>
      </c>
      <c r="BL137" s="3">
        <v>12.300000005398477</v>
      </c>
      <c r="BM137" s="3">
        <v>68.299725727984281</v>
      </c>
    </row>
    <row r="138" spans="1:65" ht="15.75" customHeight="1" x14ac:dyDescent="0.25">
      <c r="A138" s="3" t="s">
        <v>1008</v>
      </c>
      <c r="B138" s="3" t="s">
        <v>900</v>
      </c>
      <c r="C138" s="3" t="s">
        <v>987</v>
      </c>
      <c r="D138" s="27" t="s">
        <v>900</v>
      </c>
      <c r="E138" s="27" t="s">
        <v>989</v>
      </c>
      <c r="F138" s="31">
        <v>1981</v>
      </c>
      <c r="G138" s="31">
        <v>1981</v>
      </c>
      <c r="H138" s="31">
        <v>253</v>
      </c>
      <c r="I138" s="27">
        <v>0</v>
      </c>
      <c r="J138" s="27">
        <v>28.25</v>
      </c>
      <c r="L138" s="27">
        <v>0</v>
      </c>
      <c r="P138" s="29">
        <v>0</v>
      </c>
      <c r="AB138" s="27">
        <v>200</v>
      </c>
      <c r="AC138" s="27">
        <v>0</v>
      </c>
      <c r="AD138" s="27">
        <v>0</v>
      </c>
      <c r="AE138" s="27">
        <v>0</v>
      </c>
      <c r="AF138" s="27">
        <v>6.2326839066167796</v>
      </c>
      <c r="AG138" s="27">
        <v>0.1768527056433869</v>
      </c>
      <c r="AH138" s="27">
        <v>0</v>
      </c>
      <c r="AI138" s="31">
        <v>0</v>
      </c>
      <c r="AJ138" s="29">
        <v>0</v>
      </c>
      <c r="AK138" s="31">
        <v>0</v>
      </c>
      <c r="AL138" s="31">
        <v>7.4000000953674361</v>
      </c>
      <c r="AM138" s="31">
        <v>0</v>
      </c>
      <c r="AN138" s="31">
        <v>0</v>
      </c>
      <c r="AO138" s="31">
        <v>0</v>
      </c>
      <c r="AP138" s="31">
        <v>58.557447070170987</v>
      </c>
      <c r="AQ138" s="31">
        <v>0</v>
      </c>
      <c r="AR138" s="29">
        <v>0</v>
      </c>
      <c r="AS138" s="29">
        <v>0</v>
      </c>
      <c r="AT138" s="29">
        <v>0</v>
      </c>
      <c r="AU138" s="29">
        <v>0</v>
      </c>
      <c r="AV138" s="29">
        <v>0</v>
      </c>
      <c r="AW138" s="29">
        <v>0</v>
      </c>
      <c r="AX138" s="29">
        <v>0</v>
      </c>
      <c r="AY138" s="29">
        <v>0</v>
      </c>
      <c r="AZ138" s="29">
        <v>6.2127675881322258E-2</v>
      </c>
      <c r="BA138" s="29">
        <v>0</v>
      </c>
      <c r="BB138" s="29">
        <v>0</v>
      </c>
      <c r="BC138" s="29">
        <v>0</v>
      </c>
      <c r="BD138" s="29">
        <v>1.942581071841591</v>
      </c>
      <c r="BK138" s="3">
        <v>0</v>
      </c>
      <c r="BL138" s="3">
        <v>12.300000003778933</v>
      </c>
      <c r="BM138" s="3">
        <v>68.122873023960437</v>
      </c>
    </row>
    <row r="139" spans="1:65" ht="15.75" customHeight="1" x14ac:dyDescent="0.25">
      <c r="A139" s="3" t="s">
        <v>1008</v>
      </c>
      <c r="B139" s="3" t="s">
        <v>900</v>
      </c>
      <c r="C139" s="3" t="s">
        <v>987</v>
      </c>
      <c r="D139" s="27" t="s">
        <v>900</v>
      </c>
      <c r="E139" s="27" t="s">
        <v>989</v>
      </c>
      <c r="F139" s="31">
        <v>1981</v>
      </c>
      <c r="G139" s="31">
        <v>1981</v>
      </c>
      <c r="H139" s="31">
        <v>254</v>
      </c>
      <c r="I139" s="27">
        <v>0</v>
      </c>
      <c r="J139" s="27">
        <v>27.849999427795396</v>
      </c>
      <c r="L139" s="27">
        <v>0</v>
      </c>
      <c r="P139" s="29">
        <v>0</v>
      </c>
      <c r="AB139" s="27">
        <v>200</v>
      </c>
      <c r="AC139" s="27">
        <v>0</v>
      </c>
      <c r="AD139" s="27">
        <v>0</v>
      </c>
      <c r="AE139" s="27">
        <v>0</v>
      </c>
      <c r="AF139" s="27">
        <v>5.000321788832391</v>
      </c>
      <c r="AG139" s="27">
        <v>0.14137122203131841</v>
      </c>
      <c r="AH139" s="27">
        <v>0</v>
      </c>
      <c r="AI139" s="31">
        <v>0</v>
      </c>
      <c r="AJ139" s="29">
        <v>0</v>
      </c>
      <c r="AK139" s="31">
        <v>0</v>
      </c>
      <c r="AL139" s="31">
        <v>7.4000000953674361</v>
      </c>
      <c r="AM139" s="31">
        <v>0</v>
      </c>
      <c r="AN139" s="31">
        <v>0</v>
      </c>
      <c r="AO139" s="31">
        <v>0</v>
      </c>
      <c r="AP139" s="31">
        <v>58.698818292202304</v>
      </c>
      <c r="AQ139" s="31">
        <v>0</v>
      </c>
      <c r="AR139" s="29">
        <v>0</v>
      </c>
      <c r="AS139" s="29">
        <v>0</v>
      </c>
      <c r="AT139" s="29">
        <v>0</v>
      </c>
      <c r="AU139" s="29">
        <v>0</v>
      </c>
      <c r="AV139" s="29">
        <v>0</v>
      </c>
      <c r="AW139" s="29">
        <v>0</v>
      </c>
      <c r="AX139" s="29">
        <v>0</v>
      </c>
      <c r="AY139" s="29">
        <v>0</v>
      </c>
      <c r="AZ139" s="29">
        <v>6.2127675881322258E-2</v>
      </c>
      <c r="BA139" s="29">
        <v>0</v>
      </c>
      <c r="BB139" s="29">
        <v>0</v>
      </c>
      <c r="BC139" s="29">
        <v>0</v>
      </c>
      <c r="BD139" s="29">
        <v>1.942581071841591</v>
      </c>
      <c r="BK139" s="3">
        <v>0</v>
      </c>
      <c r="BL139" s="3">
        <v>12.300000002645254</v>
      </c>
      <c r="BM139" s="3">
        <v>67.981501803062798</v>
      </c>
    </row>
    <row r="140" spans="1:65" ht="15.75" customHeight="1" x14ac:dyDescent="0.25">
      <c r="A140" s="3" t="s">
        <v>1008</v>
      </c>
      <c r="B140" s="3" t="s">
        <v>900</v>
      </c>
      <c r="C140" s="3" t="s">
        <v>987</v>
      </c>
      <c r="D140" s="27" t="s">
        <v>900</v>
      </c>
      <c r="E140" s="27" t="s">
        <v>989</v>
      </c>
      <c r="F140" s="31">
        <v>1981</v>
      </c>
      <c r="G140" s="31">
        <v>1981</v>
      </c>
      <c r="H140" s="31">
        <v>255</v>
      </c>
      <c r="I140" s="27">
        <v>0</v>
      </c>
      <c r="J140" s="27">
        <v>28.5</v>
      </c>
      <c r="L140" s="27">
        <v>0</v>
      </c>
      <c r="P140" s="29">
        <v>0</v>
      </c>
      <c r="AB140" s="27">
        <v>200</v>
      </c>
      <c r="AC140" s="27">
        <v>0</v>
      </c>
      <c r="AD140" s="27">
        <v>0</v>
      </c>
      <c r="AE140" s="27">
        <v>0</v>
      </c>
      <c r="AF140" s="27">
        <v>7.1784226850419639</v>
      </c>
      <c r="AG140" s="27">
        <v>0.20222267849072581</v>
      </c>
      <c r="AH140" s="27">
        <v>0</v>
      </c>
      <c r="AI140" s="31">
        <v>0</v>
      </c>
      <c r="AJ140" s="29">
        <v>0</v>
      </c>
      <c r="AK140" s="31">
        <v>0</v>
      </c>
      <c r="AL140" s="31">
        <v>7.4000000953674361</v>
      </c>
      <c r="AM140" s="31">
        <v>0</v>
      </c>
      <c r="AN140" s="31">
        <v>0</v>
      </c>
      <c r="AO140" s="31">
        <v>0</v>
      </c>
      <c r="AP140" s="31">
        <v>58.901040970693032</v>
      </c>
      <c r="AQ140" s="31">
        <v>0</v>
      </c>
      <c r="AR140" s="29">
        <v>0</v>
      </c>
      <c r="AS140" s="29">
        <v>0</v>
      </c>
      <c r="AT140" s="29">
        <v>0</v>
      </c>
      <c r="AU140" s="29">
        <v>0</v>
      </c>
      <c r="AV140" s="29">
        <v>0</v>
      </c>
      <c r="AW140" s="29">
        <v>0</v>
      </c>
      <c r="AX140" s="29">
        <v>0</v>
      </c>
      <c r="AY140" s="29">
        <v>0</v>
      </c>
      <c r="AZ140" s="29">
        <v>6.2127675881322258E-2</v>
      </c>
      <c r="BA140" s="29">
        <v>0</v>
      </c>
      <c r="BB140" s="29">
        <v>0</v>
      </c>
      <c r="BC140" s="29">
        <v>0</v>
      </c>
      <c r="BD140" s="29">
        <v>1.942581071841591</v>
      </c>
      <c r="BK140" s="3">
        <v>0</v>
      </c>
      <c r="BL140" s="3">
        <v>12.300000001851679</v>
      </c>
      <c r="BM140" s="3">
        <v>67.779279125365647</v>
      </c>
    </row>
    <row r="141" spans="1:65" ht="15.75" customHeight="1" x14ac:dyDescent="0.25">
      <c r="A141" s="3" t="s">
        <v>1008</v>
      </c>
      <c r="B141" s="3" t="s">
        <v>900</v>
      </c>
      <c r="C141" s="3" t="s">
        <v>987</v>
      </c>
      <c r="D141" s="27" t="s">
        <v>900</v>
      </c>
      <c r="E141" s="27" t="s">
        <v>989</v>
      </c>
      <c r="F141" s="31">
        <v>1981</v>
      </c>
      <c r="G141" s="31">
        <v>1981</v>
      </c>
      <c r="H141" s="31">
        <v>256</v>
      </c>
      <c r="I141" s="27">
        <v>0</v>
      </c>
      <c r="J141" s="27">
        <v>29.149999618530252</v>
      </c>
      <c r="L141" s="27">
        <v>0</v>
      </c>
      <c r="P141" s="29">
        <v>0</v>
      </c>
      <c r="AB141" s="27">
        <v>200</v>
      </c>
      <c r="AC141" s="27">
        <v>0</v>
      </c>
      <c r="AD141" s="27">
        <v>0</v>
      </c>
      <c r="AE141" s="27">
        <v>0</v>
      </c>
      <c r="AF141" s="27">
        <v>6.5922707010238506</v>
      </c>
      <c r="AG141" s="27">
        <v>0.18504817047663963</v>
      </c>
      <c r="AH141" s="27">
        <v>0</v>
      </c>
      <c r="AI141" s="31">
        <v>0</v>
      </c>
      <c r="AJ141" s="29">
        <v>0</v>
      </c>
      <c r="AK141" s="31">
        <v>0</v>
      </c>
      <c r="AL141" s="31">
        <v>7.4000000953674361</v>
      </c>
      <c r="AM141" s="31">
        <v>0</v>
      </c>
      <c r="AN141" s="31">
        <v>0</v>
      </c>
      <c r="AO141" s="31">
        <v>0</v>
      </c>
      <c r="AP141" s="31">
        <v>59.086089141169673</v>
      </c>
      <c r="AQ141" s="31">
        <v>0</v>
      </c>
      <c r="AR141" s="29">
        <v>0</v>
      </c>
      <c r="AS141" s="29">
        <v>0</v>
      </c>
      <c r="AT141" s="29">
        <v>0</v>
      </c>
      <c r="AU141" s="29">
        <v>0</v>
      </c>
      <c r="AV141" s="29">
        <v>0</v>
      </c>
      <c r="AW141" s="29">
        <v>0</v>
      </c>
      <c r="AX141" s="29">
        <v>0</v>
      </c>
      <c r="AY141" s="29">
        <v>0</v>
      </c>
      <c r="AZ141" s="29">
        <v>6.2127675881322258E-2</v>
      </c>
      <c r="BA141" s="29">
        <v>0</v>
      </c>
      <c r="BB141" s="29">
        <v>0</v>
      </c>
      <c r="BC141" s="29">
        <v>0</v>
      </c>
      <c r="BD141" s="29">
        <v>1.942581071841591</v>
      </c>
      <c r="BK141" s="3">
        <v>0</v>
      </c>
      <c r="BL141" s="3">
        <v>12.300000001296175</v>
      </c>
      <c r="BM141" s="3">
        <v>67.594230955444516</v>
      </c>
    </row>
    <row r="142" spans="1:65" ht="15.75" customHeight="1" x14ac:dyDescent="0.25">
      <c r="A142" s="3" t="s">
        <v>1008</v>
      </c>
      <c r="B142" s="3" t="s">
        <v>900</v>
      </c>
      <c r="C142" s="3" t="s">
        <v>987</v>
      </c>
      <c r="D142" s="27" t="s">
        <v>900</v>
      </c>
      <c r="E142" s="27" t="s">
        <v>989</v>
      </c>
      <c r="F142" s="31">
        <v>1981</v>
      </c>
      <c r="G142" s="31">
        <v>1981</v>
      </c>
      <c r="H142" s="31">
        <v>257</v>
      </c>
      <c r="I142" s="27">
        <v>0</v>
      </c>
      <c r="J142" s="27">
        <v>29.95000076293945</v>
      </c>
      <c r="L142" s="27">
        <v>0</v>
      </c>
      <c r="P142" s="29">
        <v>0</v>
      </c>
      <c r="AB142" s="27">
        <v>200</v>
      </c>
      <c r="AC142" s="27">
        <v>0</v>
      </c>
      <c r="AD142" s="27">
        <v>0</v>
      </c>
      <c r="AE142" s="27">
        <v>0</v>
      </c>
      <c r="AF142" s="27">
        <v>6.9587332123444998</v>
      </c>
      <c r="AG142" s="27">
        <v>0.19464348962026434</v>
      </c>
      <c r="AH142" s="27">
        <v>0</v>
      </c>
      <c r="AI142" s="31">
        <v>0</v>
      </c>
      <c r="AJ142" s="29">
        <v>0</v>
      </c>
      <c r="AK142" s="31">
        <v>0</v>
      </c>
      <c r="AL142" s="31">
        <v>7.4000000953674361</v>
      </c>
      <c r="AM142" s="31">
        <v>0</v>
      </c>
      <c r="AN142" s="31">
        <v>0</v>
      </c>
      <c r="AO142" s="31">
        <v>0</v>
      </c>
      <c r="AP142" s="31">
        <v>59.280732630789934</v>
      </c>
      <c r="AQ142" s="31">
        <v>0</v>
      </c>
      <c r="AR142" s="29">
        <v>0</v>
      </c>
      <c r="AS142" s="29">
        <v>0</v>
      </c>
      <c r="AT142" s="29">
        <v>0</v>
      </c>
      <c r="AU142" s="29">
        <v>0</v>
      </c>
      <c r="AV142" s="29">
        <v>0</v>
      </c>
      <c r="AW142" s="29">
        <v>0</v>
      </c>
      <c r="AX142" s="29">
        <v>0</v>
      </c>
      <c r="AY142" s="29">
        <v>0</v>
      </c>
      <c r="AZ142" s="29">
        <v>6.2127675881322258E-2</v>
      </c>
      <c r="BA142" s="29">
        <v>0</v>
      </c>
      <c r="BB142" s="29">
        <v>0</v>
      </c>
      <c r="BC142" s="29">
        <v>0</v>
      </c>
      <c r="BD142" s="29">
        <v>1.942581071841591</v>
      </c>
      <c r="BK142" s="3">
        <v>0</v>
      </c>
      <c r="BL142" s="3">
        <v>12.300000000907323</v>
      </c>
      <c r="BM142" s="3">
        <v>67.399587466213106</v>
      </c>
    </row>
    <row r="143" spans="1:65" ht="15.75" customHeight="1" x14ac:dyDescent="0.25">
      <c r="A143" s="3" t="s">
        <v>1008</v>
      </c>
      <c r="B143" s="3" t="s">
        <v>900</v>
      </c>
      <c r="C143" s="3" t="s">
        <v>987</v>
      </c>
      <c r="D143" s="27" t="s">
        <v>900</v>
      </c>
      <c r="E143" s="27" t="s">
        <v>989</v>
      </c>
      <c r="F143" s="31">
        <v>1981</v>
      </c>
      <c r="G143" s="31">
        <v>1981</v>
      </c>
      <c r="H143" s="31">
        <v>258</v>
      </c>
      <c r="I143" s="27">
        <v>0</v>
      </c>
      <c r="J143" s="27">
        <v>27.75</v>
      </c>
      <c r="L143" s="27">
        <v>0</v>
      </c>
      <c r="P143" s="29">
        <v>0</v>
      </c>
      <c r="AB143" s="27">
        <v>200</v>
      </c>
      <c r="AC143" s="27">
        <v>0</v>
      </c>
      <c r="AD143" s="27">
        <v>0</v>
      </c>
      <c r="AE143" s="27">
        <v>0</v>
      </c>
      <c r="AF143" s="27">
        <v>5.0836732406093139</v>
      </c>
      <c r="AG143" s="27">
        <v>0.14169616680596256</v>
      </c>
      <c r="AH143" s="27">
        <v>0</v>
      </c>
      <c r="AI143" s="31">
        <v>0</v>
      </c>
      <c r="AJ143" s="29">
        <v>0</v>
      </c>
      <c r="AK143" s="31">
        <v>0</v>
      </c>
      <c r="AL143" s="31">
        <v>7.4000000953674361</v>
      </c>
      <c r="AM143" s="31">
        <v>0</v>
      </c>
      <c r="AN143" s="31">
        <v>0</v>
      </c>
      <c r="AO143" s="31">
        <v>0</v>
      </c>
      <c r="AP143" s="31">
        <v>59.422428797595899</v>
      </c>
      <c r="AQ143" s="31">
        <v>0</v>
      </c>
      <c r="AR143" s="29">
        <v>0</v>
      </c>
      <c r="AS143" s="29">
        <v>0</v>
      </c>
      <c r="AT143" s="29">
        <v>0</v>
      </c>
      <c r="AU143" s="29">
        <v>0</v>
      </c>
      <c r="AV143" s="29">
        <v>0</v>
      </c>
      <c r="AW143" s="29">
        <v>0</v>
      </c>
      <c r="AX143" s="29">
        <v>0</v>
      </c>
      <c r="AY143" s="29">
        <v>0</v>
      </c>
      <c r="AZ143" s="29">
        <v>6.2127675881322258E-2</v>
      </c>
      <c r="BA143" s="29">
        <v>0</v>
      </c>
      <c r="BB143" s="29">
        <v>0</v>
      </c>
      <c r="BC143" s="29">
        <v>0</v>
      </c>
      <c r="BD143" s="29">
        <v>1.942581071841591</v>
      </c>
      <c r="BK143" s="3">
        <v>0</v>
      </c>
      <c r="BL143" s="3">
        <v>12.300000000635126</v>
      </c>
      <c r="BM143" s="3">
        <v>67.257891299679343</v>
      </c>
    </row>
    <row r="144" spans="1:65" ht="15.75" customHeight="1" x14ac:dyDescent="0.25">
      <c r="A144" s="3" t="s">
        <v>1008</v>
      </c>
      <c r="B144" s="3" t="s">
        <v>900</v>
      </c>
      <c r="C144" s="3" t="s">
        <v>987</v>
      </c>
      <c r="D144" s="27" t="s">
        <v>900</v>
      </c>
      <c r="E144" s="27" t="s">
        <v>989</v>
      </c>
      <c r="F144" s="31">
        <v>1981</v>
      </c>
      <c r="G144" s="31">
        <v>1981</v>
      </c>
      <c r="H144" s="31">
        <v>259</v>
      </c>
      <c r="I144" s="27">
        <v>0</v>
      </c>
      <c r="J144" s="27">
        <v>27.900000572204604</v>
      </c>
      <c r="L144" s="27">
        <v>0</v>
      </c>
      <c r="P144" s="29">
        <v>0</v>
      </c>
      <c r="AB144" s="27">
        <v>200</v>
      </c>
      <c r="AC144" s="27">
        <v>0</v>
      </c>
      <c r="AD144" s="27">
        <v>0</v>
      </c>
      <c r="AE144" s="27">
        <v>0</v>
      </c>
      <c r="AF144" s="27">
        <v>6.0456740617174223</v>
      </c>
      <c r="AG144" s="27">
        <v>0.16792164331239848</v>
      </c>
      <c r="AH144" s="27">
        <v>0</v>
      </c>
      <c r="AI144" s="31">
        <v>0</v>
      </c>
      <c r="AJ144" s="29">
        <v>0</v>
      </c>
      <c r="AK144" s="31">
        <v>0</v>
      </c>
      <c r="AL144" s="31">
        <v>7.4000000953674361</v>
      </c>
      <c r="AM144" s="31">
        <v>0</v>
      </c>
      <c r="AN144" s="31">
        <v>0</v>
      </c>
      <c r="AO144" s="31">
        <v>0</v>
      </c>
      <c r="AP144" s="31">
        <v>59.590350440908296</v>
      </c>
      <c r="AQ144" s="31">
        <v>0</v>
      </c>
      <c r="AR144" s="29">
        <v>0</v>
      </c>
      <c r="AS144" s="29">
        <v>0</v>
      </c>
      <c r="AT144" s="29">
        <v>0</v>
      </c>
      <c r="AU144" s="29">
        <v>0</v>
      </c>
      <c r="AV144" s="29">
        <v>0</v>
      </c>
      <c r="AW144" s="29">
        <v>0</v>
      </c>
      <c r="AX144" s="29">
        <v>0</v>
      </c>
      <c r="AY144" s="29">
        <v>0</v>
      </c>
      <c r="AZ144" s="29">
        <v>6.2127675881322258E-2</v>
      </c>
      <c r="BA144" s="29">
        <v>0</v>
      </c>
      <c r="BB144" s="29">
        <v>0</v>
      </c>
      <c r="BC144" s="29">
        <v>0</v>
      </c>
      <c r="BD144" s="29">
        <v>1.942581071841591</v>
      </c>
      <c r="BK144" s="3">
        <v>0</v>
      </c>
      <c r="BL144" s="3">
        <v>12.300000000444589</v>
      </c>
      <c r="BM144" s="3">
        <v>67.089969656557486</v>
      </c>
    </row>
    <row r="145" spans="1:65" ht="15.75" customHeight="1" x14ac:dyDescent="0.25">
      <c r="A145" s="3" t="s">
        <v>1008</v>
      </c>
      <c r="B145" s="3" t="s">
        <v>900</v>
      </c>
      <c r="C145" s="3" t="s">
        <v>987</v>
      </c>
      <c r="D145" s="27" t="s">
        <v>900</v>
      </c>
      <c r="E145" s="27" t="s">
        <v>989</v>
      </c>
      <c r="F145" s="31">
        <v>1981</v>
      </c>
      <c r="G145" s="31">
        <v>1981</v>
      </c>
      <c r="H145" s="31">
        <v>260</v>
      </c>
      <c r="I145" s="27">
        <v>0</v>
      </c>
      <c r="J145" s="27">
        <v>26.75</v>
      </c>
      <c r="L145" s="27">
        <v>0</v>
      </c>
      <c r="P145" s="29">
        <v>0</v>
      </c>
      <c r="AB145" s="27">
        <v>200</v>
      </c>
      <c r="AC145" s="27">
        <v>0</v>
      </c>
      <c r="AD145" s="27">
        <v>0</v>
      </c>
      <c r="AE145" s="27">
        <v>0</v>
      </c>
      <c r="AF145" s="27">
        <v>5.5528454745583611</v>
      </c>
      <c r="AG145" s="27">
        <v>0.1536984727553172</v>
      </c>
      <c r="AH145" s="27">
        <v>0</v>
      </c>
      <c r="AI145" s="31">
        <v>0</v>
      </c>
      <c r="AJ145" s="29">
        <v>0</v>
      </c>
      <c r="AK145" s="31">
        <v>0</v>
      </c>
      <c r="AL145" s="31">
        <v>7.4000000953674361</v>
      </c>
      <c r="AM145" s="31">
        <v>0</v>
      </c>
      <c r="AN145" s="31">
        <v>0</v>
      </c>
      <c r="AO145" s="31">
        <v>0</v>
      </c>
      <c r="AP145" s="31">
        <v>59.744048913663612</v>
      </c>
      <c r="AQ145" s="31">
        <v>0</v>
      </c>
      <c r="AR145" s="29">
        <v>0</v>
      </c>
      <c r="AS145" s="29">
        <v>0</v>
      </c>
      <c r="AT145" s="29">
        <v>0</v>
      </c>
      <c r="AU145" s="29">
        <v>0</v>
      </c>
      <c r="AV145" s="29">
        <v>0</v>
      </c>
      <c r="AW145" s="29">
        <v>0</v>
      </c>
      <c r="AX145" s="29">
        <v>0</v>
      </c>
      <c r="AY145" s="29">
        <v>0</v>
      </c>
      <c r="AZ145" s="29">
        <v>6.2127675881322258E-2</v>
      </c>
      <c r="BA145" s="29">
        <v>0</v>
      </c>
      <c r="BB145" s="29">
        <v>0</v>
      </c>
      <c r="BC145" s="29">
        <v>0</v>
      </c>
      <c r="BD145" s="29">
        <v>1.942581071841591</v>
      </c>
      <c r="BK145" s="3">
        <v>0</v>
      </c>
      <c r="BL145" s="3">
        <v>12.300000000311213</v>
      </c>
      <c r="BM145" s="3">
        <v>66.936271183935546</v>
      </c>
    </row>
    <row r="146" spans="1:65" ht="15.75" customHeight="1" x14ac:dyDescent="0.25">
      <c r="A146" s="3" t="s">
        <v>1008</v>
      </c>
      <c r="B146" s="3" t="s">
        <v>900</v>
      </c>
      <c r="C146" s="3" t="s">
        <v>987</v>
      </c>
      <c r="D146" s="27" t="s">
        <v>900</v>
      </c>
      <c r="E146" s="27" t="s">
        <v>989</v>
      </c>
      <c r="F146" s="31">
        <v>1981</v>
      </c>
      <c r="G146" s="31">
        <v>1981</v>
      </c>
      <c r="H146" s="31">
        <v>261</v>
      </c>
      <c r="I146" s="27">
        <v>0</v>
      </c>
      <c r="J146" s="27">
        <v>26</v>
      </c>
      <c r="L146" s="27">
        <v>0</v>
      </c>
      <c r="P146" s="29">
        <v>0</v>
      </c>
      <c r="AB146" s="27">
        <v>200</v>
      </c>
      <c r="AC146" s="27">
        <v>0</v>
      </c>
      <c r="AD146" s="27">
        <v>0</v>
      </c>
      <c r="AE146" s="27">
        <v>0</v>
      </c>
      <c r="AF146" s="27">
        <v>5.6849046745358986</v>
      </c>
      <c r="AG146" s="27">
        <v>0.15681209926384873</v>
      </c>
      <c r="AH146" s="27">
        <v>0</v>
      </c>
      <c r="AI146" s="31">
        <v>0</v>
      </c>
      <c r="AJ146" s="29">
        <v>0</v>
      </c>
      <c r="AK146" s="31">
        <v>0</v>
      </c>
      <c r="AL146" s="31">
        <v>7.4000000953674361</v>
      </c>
      <c r="AM146" s="31">
        <v>0</v>
      </c>
      <c r="AN146" s="31">
        <v>0</v>
      </c>
      <c r="AO146" s="31">
        <v>0</v>
      </c>
      <c r="AP146" s="31">
        <v>59.900861012927457</v>
      </c>
      <c r="AQ146" s="31">
        <v>0</v>
      </c>
      <c r="AR146" s="29">
        <v>0</v>
      </c>
      <c r="AS146" s="29">
        <v>0</v>
      </c>
      <c r="AT146" s="29">
        <v>0</v>
      </c>
      <c r="AU146" s="29">
        <v>0</v>
      </c>
      <c r="AV146" s="29">
        <v>0</v>
      </c>
      <c r="AW146" s="29">
        <v>0</v>
      </c>
      <c r="AX146" s="29">
        <v>0</v>
      </c>
      <c r="AY146" s="29">
        <v>0</v>
      </c>
      <c r="AZ146" s="29">
        <v>6.2127675881322258E-2</v>
      </c>
      <c r="BA146" s="29">
        <v>0</v>
      </c>
      <c r="BB146" s="29">
        <v>0</v>
      </c>
      <c r="BC146" s="29">
        <v>0</v>
      </c>
      <c r="BD146" s="29">
        <v>1.942581071841591</v>
      </c>
      <c r="BK146" s="3">
        <v>0</v>
      </c>
      <c r="BL146" s="3">
        <v>12.30000000021785</v>
      </c>
      <c r="BM146" s="3">
        <v>66.779459084765065</v>
      </c>
    </row>
    <row r="147" spans="1:65" ht="15.75" customHeight="1" x14ac:dyDescent="0.25">
      <c r="A147" s="3" t="s">
        <v>1008</v>
      </c>
      <c r="B147" s="3" t="s">
        <v>900</v>
      </c>
      <c r="C147" s="3" t="s">
        <v>987</v>
      </c>
      <c r="D147" s="27" t="s">
        <v>900</v>
      </c>
      <c r="E147" s="27" t="s">
        <v>989</v>
      </c>
      <c r="F147" s="31">
        <v>1981</v>
      </c>
      <c r="G147" s="31">
        <v>1981</v>
      </c>
      <c r="H147" s="31">
        <v>262</v>
      </c>
      <c r="I147" s="27">
        <v>0</v>
      </c>
      <c r="J147" s="27">
        <v>25.699999809265101</v>
      </c>
      <c r="L147" s="27">
        <v>0</v>
      </c>
      <c r="P147" s="29">
        <v>0</v>
      </c>
      <c r="AB147" s="27">
        <v>200</v>
      </c>
      <c r="AC147" s="27">
        <v>0</v>
      </c>
      <c r="AD147" s="27">
        <v>0</v>
      </c>
      <c r="AE147" s="27">
        <v>0</v>
      </c>
      <c r="AF147" s="27">
        <v>6.3027176912504608</v>
      </c>
      <c r="AG147" s="27">
        <v>0.17325944243585767</v>
      </c>
      <c r="AH147" s="27">
        <v>0</v>
      </c>
      <c r="AI147" s="31">
        <v>0</v>
      </c>
      <c r="AJ147" s="29">
        <v>0</v>
      </c>
      <c r="AK147" s="31">
        <v>0</v>
      </c>
      <c r="AL147" s="31">
        <v>7.4000000953674361</v>
      </c>
      <c r="AM147" s="31">
        <v>0</v>
      </c>
      <c r="AN147" s="31">
        <v>0</v>
      </c>
      <c r="AO147" s="31">
        <v>0</v>
      </c>
      <c r="AP147" s="31">
        <v>60.074120455363314</v>
      </c>
      <c r="AQ147" s="31">
        <v>0</v>
      </c>
      <c r="AR147" s="29">
        <v>0</v>
      </c>
      <c r="AS147" s="29">
        <v>0</v>
      </c>
      <c r="AT147" s="29">
        <v>0</v>
      </c>
      <c r="AU147" s="29">
        <v>0</v>
      </c>
      <c r="AV147" s="29">
        <v>0</v>
      </c>
      <c r="AW147" s="29">
        <v>0</v>
      </c>
      <c r="AX147" s="29">
        <v>0</v>
      </c>
      <c r="AY147" s="29">
        <v>0</v>
      </c>
      <c r="AZ147" s="29">
        <v>6.2127675881322258E-2</v>
      </c>
      <c r="BA147" s="29">
        <v>0</v>
      </c>
      <c r="BB147" s="29">
        <v>0</v>
      </c>
      <c r="BC147" s="29">
        <v>0</v>
      </c>
      <c r="BD147" s="29">
        <v>1.942581071841591</v>
      </c>
      <c r="BK147" s="3">
        <v>0</v>
      </c>
      <c r="BL147" s="3">
        <v>12.300000000152496</v>
      </c>
      <c r="BM147" s="3">
        <v>66.606199642394557</v>
      </c>
    </row>
    <row r="148" spans="1:65" ht="15.75" customHeight="1" x14ac:dyDescent="0.25">
      <c r="A148" s="3" t="s">
        <v>1008</v>
      </c>
      <c r="B148" s="3" t="s">
        <v>900</v>
      </c>
      <c r="C148" s="3" t="s">
        <v>987</v>
      </c>
      <c r="D148" s="27" t="s">
        <v>900</v>
      </c>
      <c r="E148" s="27" t="s">
        <v>989</v>
      </c>
      <c r="F148" s="31">
        <v>1981</v>
      </c>
      <c r="G148" s="31">
        <v>1981</v>
      </c>
      <c r="H148" s="31">
        <v>263</v>
      </c>
      <c r="I148" s="27">
        <v>0</v>
      </c>
      <c r="J148" s="27">
        <v>24.700000286102302</v>
      </c>
      <c r="L148" s="27">
        <v>0</v>
      </c>
      <c r="P148" s="29">
        <v>0</v>
      </c>
      <c r="AB148" s="27">
        <v>200</v>
      </c>
      <c r="AC148" s="27">
        <v>0</v>
      </c>
      <c r="AD148" s="27">
        <v>0</v>
      </c>
      <c r="AE148" s="27">
        <v>0</v>
      </c>
      <c r="AF148" s="27">
        <v>6.2991568950097729</v>
      </c>
      <c r="AG148" s="27">
        <v>0.17257356741969052</v>
      </c>
      <c r="AH148" s="27">
        <v>0</v>
      </c>
      <c r="AI148" s="31">
        <v>0</v>
      </c>
      <c r="AJ148" s="29">
        <v>0</v>
      </c>
      <c r="AK148" s="31">
        <v>0</v>
      </c>
      <c r="AL148" s="31">
        <v>7.4000000953674361</v>
      </c>
      <c r="AM148" s="31">
        <v>0</v>
      </c>
      <c r="AN148" s="31">
        <v>0</v>
      </c>
      <c r="AO148" s="31">
        <v>0</v>
      </c>
      <c r="AP148" s="31">
        <v>60.246694022783004</v>
      </c>
      <c r="AQ148" s="31">
        <v>0</v>
      </c>
      <c r="AR148" s="29">
        <v>0</v>
      </c>
      <c r="AS148" s="29">
        <v>0</v>
      </c>
      <c r="AT148" s="29">
        <v>0</v>
      </c>
      <c r="AU148" s="29">
        <v>0</v>
      </c>
      <c r="AV148" s="29">
        <v>0</v>
      </c>
      <c r="AW148" s="29">
        <v>0</v>
      </c>
      <c r="AX148" s="29">
        <v>0</v>
      </c>
      <c r="AY148" s="29">
        <v>0</v>
      </c>
      <c r="AZ148" s="29">
        <v>6.2127675881322258E-2</v>
      </c>
      <c r="BA148" s="29">
        <v>0</v>
      </c>
      <c r="BB148" s="29">
        <v>0</v>
      </c>
      <c r="BC148" s="29">
        <v>0</v>
      </c>
      <c r="BD148" s="29">
        <v>1.942581071841591</v>
      </c>
      <c r="BK148" s="3">
        <v>0</v>
      </c>
      <c r="BL148" s="3">
        <v>12.300000000106747</v>
      </c>
      <c r="BM148" s="3">
        <v>66.433626075020612</v>
      </c>
    </row>
    <row r="149" spans="1:65" ht="15.75" customHeight="1" x14ac:dyDescent="0.25">
      <c r="A149" s="3" t="s">
        <v>1008</v>
      </c>
      <c r="B149" s="3" t="s">
        <v>900</v>
      </c>
      <c r="C149" s="3" t="s">
        <v>987</v>
      </c>
      <c r="D149" s="27" t="s">
        <v>900</v>
      </c>
      <c r="E149" s="27" t="s">
        <v>989</v>
      </c>
      <c r="F149" s="31">
        <v>1981</v>
      </c>
      <c r="G149" s="31">
        <v>1981</v>
      </c>
      <c r="H149" s="31">
        <v>264</v>
      </c>
      <c r="I149" s="27">
        <v>0</v>
      </c>
      <c r="J149" s="27">
        <v>23.250000476837201</v>
      </c>
      <c r="L149" s="27">
        <v>0</v>
      </c>
      <c r="P149" s="29">
        <v>0</v>
      </c>
      <c r="AB149" s="27">
        <v>200</v>
      </c>
      <c r="AC149" s="27">
        <v>0</v>
      </c>
      <c r="AD149" s="27">
        <v>0</v>
      </c>
      <c r="AE149" s="27">
        <v>0</v>
      </c>
      <c r="AF149" s="27">
        <v>5.5140017045108616</v>
      </c>
      <c r="AG149" s="27">
        <v>0.15055373088364885</v>
      </c>
      <c r="AH149" s="27">
        <v>0</v>
      </c>
      <c r="AI149" s="31">
        <v>0</v>
      </c>
      <c r="AJ149" s="29">
        <v>0</v>
      </c>
      <c r="AK149" s="31">
        <v>0</v>
      </c>
      <c r="AL149" s="31">
        <v>7.4000000953674361</v>
      </c>
      <c r="AM149" s="31">
        <v>0</v>
      </c>
      <c r="AN149" s="31">
        <v>0</v>
      </c>
      <c r="AO149" s="31">
        <v>0</v>
      </c>
      <c r="AP149" s="31">
        <v>60.397247753666655</v>
      </c>
      <c r="AQ149" s="31">
        <v>0</v>
      </c>
      <c r="AR149" s="29">
        <v>0</v>
      </c>
      <c r="AS149" s="29">
        <v>0</v>
      </c>
      <c r="AT149" s="29">
        <v>0</v>
      </c>
      <c r="AU149" s="29">
        <v>0</v>
      </c>
      <c r="AV149" s="29">
        <v>0</v>
      </c>
      <c r="AW149" s="29">
        <v>0</v>
      </c>
      <c r="AX149" s="29">
        <v>0</v>
      </c>
      <c r="AY149" s="29">
        <v>0</v>
      </c>
      <c r="AZ149" s="29">
        <v>6.2127675881322258E-2</v>
      </c>
      <c r="BA149" s="29">
        <v>0</v>
      </c>
      <c r="BB149" s="29">
        <v>0</v>
      </c>
      <c r="BC149" s="29">
        <v>0</v>
      </c>
      <c r="BD149" s="29">
        <v>1.942581071841591</v>
      </c>
      <c r="BK149" s="3">
        <v>0</v>
      </c>
      <c r="BL149" s="3">
        <v>12.300000000074723</v>
      </c>
      <c r="BM149" s="3">
        <v>66.283072344168986</v>
      </c>
    </row>
    <row r="150" spans="1:65" ht="15.75" customHeight="1" x14ac:dyDescent="0.25">
      <c r="A150" s="3" t="s">
        <v>1008</v>
      </c>
      <c r="B150" s="3" t="s">
        <v>900</v>
      </c>
      <c r="C150" s="3" t="s">
        <v>987</v>
      </c>
      <c r="D150" s="27" t="s">
        <v>900</v>
      </c>
      <c r="E150" s="27" t="s">
        <v>989</v>
      </c>
      <c r="F150" s="31">
        <v>1981</v>
      </c>
      <c r="G150" s="31">
        <v>1981</v>
      </c>
      <c r="H150" s="31">
        <v>265</v>
      </c>
      <c r="I150" s="27">
        <v>0</v>
      </c>
      <c r="J150" s="27">
        <v>22.25</v>
      </c>
      <c r="L150" s="27">
        <v>0</v>
      </c>
      <c r="P150" s="29">
        <v>0</v>
      </c>
      <c r="AB150" s="27">
        <v>200</v>
      </c>
      <c r="AC150" s="27">
        <v>0</v>
      </c>
      <c r="AD150" s="27">
        <v>0</v>
      </c>
      <c r="AE150" s="27">
        <v>0</v>
      </c>
      <c r="AF150" s="27">
        <v>5.6642793766855162</v>
      </c>
      <c r="AG150" s="27">
        <v>0.15413877893902528</v>
      </c>
      <c r="AH150" s="27">
        <v>0</v>
      </c>
      <c r="AI150" s="31">
        <v>0</v>
      </c>
      <c r="AJ150" s="29">
        <v>0</v>
      </c>
      <c r="AK150" s="31">
        <v>0</v>
      </c>
      <c r="AL150" s="31">
        <v>7.4000000953674361</v>
      </c>
      <c r="AM150" s="31">
        <v>0</v>
      </c>
      <c r="AN150" s="31">
        <v>0</v>
      </c>
      <c r="AO150" s="31">
        <v>0</v>
      </c>
      <c r="AP150" s="31">
        <v>60.551386532605683</v>
      </c>
      <c r="AQ150" s="31">
        <v>0</v>
      </c>
      <c r="AR150" s="29">
        <v>0</v>
      </c>
      <c r="AS150" s="29">
        <v>0</v>
      </c>
      <c r="AT150" s="29">
        <v>0</v>
      </c>
      <c r="AU150" s="29">
        <v>0</v>
      </c>
      <c r="AV150" s="29">
        <v>0</v>
      </c>
      <c r="AW150" s="29">
        <v>0</v>
      </c>
      <c r="AX150" s="29">
        <v>0</v>
      </c>
      <c r="AY150" s="29">
        <v>0</v>
      </c>
      <c r="AZ150" s="29">
        <v>6.2127675881322258E-2</v>
      </c>
      <c r="BA150" s="29">
        <v>0</v>
      </c>
      <c r="BB150" s="29">
        <v>0</v>
      </c>
      <c r="BC150" s="29">
        <v>0</v>
      </c>
      <c r="BD150" s="29">
        <v>1.942581071841591</v>
      </c>
      <c r="BK150" s="3">
        <v>0</v>
      </c>
      <c r="BL150" s="3">
        <v>12.300000000052307</v>
      </c>
      <c r="BM150" s="3">
        <v>66.128933565252382</v>
      </c>
    </row>
    <row r="151" spans="1:65" ht="15.75" customHeight="1" x14ac:dyDescent="0.25">
      <c r="A151" s="3" t="s">
        <v>1008</v>
      </c>
      <c r="B151" s="3" t="s">
        <v>900</v>
      </c>
      <c r="C151" s="3" t="s">
        <v>987</v>
      </c>
      <c r="D151" s="27" t="s">
        <v>900</v>
      </c>
      <c r="E151" s="27" t="s">
        <v>989</v>
      </c>
      <c r="F151" s="31">
        <v>1981</v>
      </c>
      <c r="G151" s="31">
        <v>1981</v>
      </c>
      <c r="H151" s="31">
        <v>266</v>
      </c>
      <c r="I151" s="27">
        <v>0</v>
      </c>
      <c r="J151" s="27">
        <v>19.950000286102302</v>
      </c>
      <c r="L151" s="27">
        <v>0</v>
      </c>
      <c r="P151" s="29">
        <v>0</v>
      </c>
      <c r="AB151" s="27">
        <v>200</v>
      </c>
      <c r="AC151" s="27">
        <v>0</v>
      </c>
      <c r="AD151" s="27">
        <v>0</v>
      </c>
      <c r="AE151" s="27">
        <v>0</v>
      </c>
      <c r="AF151" s="27">
        <v>5.4167526231581054</v>
      </c>
      <c r="AG151" s="27">
        <v>0.14691244587938909</v>
      </c>
      <c r="AH151" s="27">
        <v>0</v>
      </c>
      <c r="AI151" s="31">
        <v>0</v>
      </c>
      <c r="AJ151" s="29">
        <v>0</v>
      </c>
      <c r="AK151" s="31">
        <v>0</v>
      </c>
      <c r="AL151" s="31">
        <v>7.4000000953674361</v>
      </c>
      <c r="AM151" s="31">
        <v>0</v>
      </c>
      <c r="AN151" s="31">
        <v>0</v>
      </c>
      <c r="AO151" s="31">
        <v>0</v>
      </c>
      <c r="AP151" s="31">
        <v>60.69829897848507</v>
      </c>
      <c r="AQ151" s="31">
        <v>0</v>
      </c>
      <c r="AR151" s="29">
        <v>0</v>
      </c>
      <c r="AS151" s="29">
        <v>0</v>
      </c>
      <c r="AT151" s="29">
        <v>0</v>
      </c>
      <c r="AU151" s="29">
        <v>0</v>
      </c>
      <c r="AV151" s="29">
        <v>0</v>
      </c>
      <c r="AW151" s="29">
        <v>0</v>
      </c>
      <c r="AX151" s="29">
        <v>0</v>
      </c>
      <c r="AY151" s="29">
        <v>0</v>
      </c>
      <c r="AZ151" s="29">
        <v>6.2127675881322258E-2</v>
      </c>
      <c r="BA151" s="29">
        <v>0</v>
      </c>
      <c r="BB151" s="29">
        <v>0</v>
      </c>
      <c r="BC151" s="29">
        <v>0</v>
      </c>
      <c r="BD151" s="29">
        <v>1.942581071841591</v>
      </c>
      <c r="BK151" s="3">
        <v>0</v>
      </c>
      <c r="BL151" s="3">
        <v>12.300000000036615</v>
      </c>
      <c r="BM151" s="3">
        <v>65.982021119388691</v>
      </c>
    </row>
    <row r="152" spans="1:65" ht="15.75" customHeight="1" x14ac:dyDescent="0.25">
      <c r="A152" s="3" t="s">
        <v>1008</v>
      </c>
      <c r="B152" s="3" t="s">
        <v>900</v>
      </c>
      <c r="C152" s="3" t="s">
        <v>987</v>
      </c>
      <c r="D152" s="27" t="s">
        <v>900</v>
      </c>
      <c r="E152" s="27" t="s">
        <v>989</v>
      </c>
      <c r="F152" s="31">
        <v>1981</v>
      </c>
      <c r="G152" s="31">
        <v>1981</v>
      </c>
      <c r="H152" s="31">
        <v>267</v>
      </c>
      <c r="I152" s="27">
        <v>0</v>
      </c>
      <c r="J152" s="27">
        <v>19.449999809265151</v>
      </c>
      <c r="L152" s="27">
        <v>0</v>
      </c>
      <c r="P152" s="29">
        <v>0</v>
      </c>
      <c r="AB152" s="27">
        <v>200</v>
      </c>
      <c r="AC152" s="27">
        <v>0</v>
      </c>
      <c r="AD152" s="27">
        <v>0</v>
      </c>
      <c r="AE152" s="27">
        <v>0</v>
      </c>
      <c r="AF152" s="27">
        <v>5.488537890523502</v>
      </c>
      <c r="AG152" s="27">
        <v>0.14836729515728822</v>
      </c>
      <c r="AH152" s="27">
        <v>0</v>
      </c>
      <c r="AI152" s="31">
        <v>0</v>
      </c>
      <c r="AJ152" s="29">
        <v>0</v>
      </c>
      <c r="AK152" s="31">
        <v>0</v>
      </c>
      <c r="AL152" s="31">
        <v>7.4000000953674361</v>
      </c>
      <c r="AM152" s="31">
        <v>0</v>
      </c>
      <c r="AN152" s="31">
        <v>0</v>
      </c>
      <c r="AO152" s="31">
        <v>0</v>
      </c>
      <c r="AP152" s="31">
        <v>60.846666273642356</v>
      </c>
      <c r="AQ152" s="31">
        <v>0</v>
      </c>
      <c r="AR152" s="29">
        <v>0</v>
      </c>
      <c r="AS152" s="29">
        <v>0</v>
      </c>
      <c r="AT152" s="29">
        <v>0</v>
      </c>
      <c r="AU152" s="29">
        <v>0</v>
      </c>
      <c r="AV152" s="29">
        <v>0</v>
      </c>
      <c r="AW152" s="29">
        <v>0</v>
      </c>
      <c r="AX152" s="29">
        <v>0</v>
      </c>
      <c r="AY152" s="29">
        <v>0</v>
      </c>
      <c r="AZ152" s="29">
        <v>6.2127675881322258E-2</v>
      </c>
      <c r="BA152" s="29">
        <v>0</v>
      </c>
      <c r="BB152" s="29">
        <v>0</v>
      </c>
      <c r="BC152" s="29">
        <v>0</v>
      </c>
      <c r="BD152" s="29">
        <v>1.942581071841591</v>
      </c>
      <c r="BK152" s="3">
        <v>0</v>
      </c>
      <c r="BL152" s="3">
        <v>12.30000000002563</v>
      </c>
      <c r="BM152" s="3">
        <v>65.83365382424239</v>
      </c>
    </row>
    <row r="153" spans="1:65" ht="15.75" customHeight="1" x14ac:dyDescent="0.25">
      <c r="A153" s="3" t="s">
        <v>1008</v>
      </c>
      <c r="B153" s="3" t="s">
        <v>900</v>
      </c>
      <c r="C153" s="3" t="s">
        <v>987</v>
      </c>
      <c r="D153" s="27" t="s">
        <v>900</v>
      </c>
      <c r="E153" s="27" t="s">
        <v>989</v>
      </c>
      <c r="F153" s="31">
        <v>1981</v>
      </c>
      <c r="G153" s="31">
        <v>1981</v>
      </c>
      <c r="H153" s="31">
        <v>268</v>
      </c>
      <c r="I153" s="27">
        <v>0</v>
      </c>
      <c r="J153" s="27">
        <v>21.599999427795399</v>
      </c>
      <c r="L153" s="27">
        <v>0</v>
      </c>
      <c r="P153" s="29">
        <v>0</v>
      </c>
      <c r="AB153" s="27">
        <v>200</v>
      </c>
      <c r="AC153" s="27">
        <v>0</v>
      </c>
      <c r="AD153" s="27">
        <v>0</v>
      </c>
      <c r="AE153" s="27">
        <v>0</v>
      </c>
      <c r="AF153" s="27">
        <v>5.7485132438031243</v>
      </c>
      <c r="AG153" s="27">
        <v>0.15488467030197287</v>
      </c>
      <c r="AH153" s="27">
        <v>0</v>
      </c>
      <c r="AI153" s="31">
        <v>0</v>
      </c>
      <c r="AJ153" s="29">
        <v>0</v>
      </c>
      <c r="AK153" s="31">
        <v>0</v>
      </c>
      <c r="AL153" s="31">
        <v>7.4000000953674361</v>
      </c>
      <c r="AM153" s="31">
        <v>0</v>
      </c>
      <c r="AN153" s="31">
        <v>0</v>
      </c>
      <c r="AO153" s="31">
        <v>0</v>
      </c>
      <c r="AP153" s="31">
        <v>61.001550943944331</v>
      </c>
      <c r="AQ153" s="31">
        <v>0</v>
      </c>
      <c r="AR153" s="29">
        <v>0</v>
      </c>
      <c r="AS153" s="29">
        <v>0</v>
      </c>
      <c r="AT153" s="29">
        <v>0</v>
      </c>
      <c r="AU153" s="29">
        <v>0</v>
      </c>
      <c r="AV153" s="29">
        <v>0</v>
      </c>
      <c r="AW153" s="29">
        <v>0</v>
      </c>
      <c r="AX153" s="29">
        <v>0</v>
      </c>
      <c r="AY153" s="29">
        <v>0</v>
      </c>
      <c r="AZ153" s="29">
        <v>6.2127675881322258E-2</v>
      </c>
      <c r="BA153" s="29">
        <v>0</v>
      </c>
      <c r="BB153" s="29">
        <v>0</v>
      </c>
      <c r="BC153" s="29">
        <v>0</v>
      </c>
      <c r="BD153" s="29">
        <v>1.942581071841591</v>
      </c>
      <c r="BK153" s="3">
        <v>0</v>
      </c>
      <c r="BL153" s="3">
        <v>12.300000000017942</v>
      </c>
      <c r="BM153" s="3">
        <v>65.67876915394811</v>
      </c>
    </row>
    <row r="154" spans="1:65" ht="15.75" customHeight="1" x14ac:dyDescent="0.25">
      <c r="A154" s="3" t="s">
        <v>1008</v>
      </c>
      <c r="B154" s="3" t="s">
        <v>900</v>
      </c>
      <c r="C154" s="3" t="s">
        <v>987</v>
      </c>
      <c r="D154" s="27" t="s">
        <v>900</v>
      </c>
      <c r="E154" s="27" t="s">
        <v>989</v>
      </c>
      <c r="F154" s="31">
        <v>1981</v>
      </c>
      <c r="G154" s="31">
        <v>1981</v>
      </c>
      <c r="H154" s="31">
        <v>269</v>
      </c>
      <c r="I154" s="27">
        <v>0</v>
      </c>
      <c r="J154" s="27">
        <v>19.899999618530298</v>
      </c>
      <c r="L154" s="27">
        <v>0</v>
      </c>
      <c r="P154" s="29">
        <v>0</v>
      </c>
      <c r="AB154" s="27">
        <v>200</v>
      </c>
      <c r="AC154" s="27">
        <v>0</v>
      </c>
      <c r="AD154" s="27">
        <v>0</v>
      </c>
      <c r="AE154" s="27">
        <v>0</v>
      </c>
      <c r="AF154" s="27">
        <v>5.4913202306982232</v>
      </c>
      <c r="AG154" s="27">
        <v>0.14747227989004749</v>
      </c>
      <c r="AH154" s="27">
        <v>0</v>
      </c>
      <c r="AI154" s="31">
        <v>0</v>
      </c>
      <c r="AJ154" s="29">
        <v>0</v>
      </c>
      <c r="AK154" s="31">
        <v>0</v>
      </c>
      <c r="AL154" s="31">
        <v>7.4000000953674361</v>
      </c>
      <c r="AM154" s="31">
        <v>0</v>
      </c>
      <c r="AN154" s="31">
        <v>0</v>
      </c>
      <c r="AO154" s="31">
        <v>0</v>
      </c>
      <c r="AP154" s="31">
        <v>61.149023223834376</v>
      </c>
      <c r="AQ154" s="31">
        <v>0</v>
      </c>
      <c r="AR154" s="29">
        <v>0</v>
      </c>
      <c r="AS154" s="29">
        <v>0</v>
      </c>
      <c r="AT154" s="29">
        <v>0</v>
      </c>
      <c r="AU154" s="29">
        <v>0</v>
      </c>
      <c r="AV154" s="29">
        <v>0</v>
      </c>
      <c r="AW154" s="29">
        <v>0</v>
      </c>
      <c r="AX154" s="29">
        <v>0</v>
      </c>
      <c r="AY154" s="29">
        <v>0</v>
      </c>
      <c r="AZ154" s="29">
        <v>6.2127675881322258E-2</v>
      </c>
      <c r="BA154" s="29">
        <v>0</v>
      </c>
      <c r="BB154" s="29">
        <v>0</v>
      </c>
      <c r="BC154" s="29">
        <v>0</v>
      </c>
      <c r="BD154" s="29">
        <v>1.942581071841591</v>
      </c>
      <c r="BK154" s="3">
        <v>0</v>
      </c>
      <c r="BL154" s="3">
        <v>12.30000000001256</v>
      </c>
      <c r="BM154" s="3">
        <v>65.531296874063443</v>
      </c>
    </row>
    <row r="155" spans="1:65" ht="15.75" customHeight="1" x14ac:dyDescent="0.25">
      <c r="A155" s="3" t="s">
        <v>1008</v>
      </c>
      <c r="B155" s="3" t="s">
        <v>900</v>
      </c>
      <c r="C155" s="3" t="s">
        <v>987</v>
      </c>
      <c r="D155" s="27" t="s">
        <v>900</v>
      </c>
      <c r="E155" s="27" t="s">
        <v>989</v>
      </c>
      <c r="F155" s="31">
        <v>1981</v>
      </c>
      <c r="G155" s="31">
        <v>1981</v>
      </c>
      <c r="H155" s="31">
        <v>270</v>
      </c>
      <c r="I155" s="27">
        <v>0</v>
      </c>
      <c r="J155" s="27">
        <v>22.349999904632551</v>
      </c>
      <c r="L155" s="27">
        <v>0</v>
      </c>
      <c r="P155" s="29">
        <v>0</v>
      </c>
      <c r="AB155" s="27">
        <v>200</v>
      </c>
      <c r="AC155" s="27">
        <v>0</v>
      </c>
      <c r="AD155" s="27">
        <v>0</v>
      </c>
      <c r="AE155" s="27">
        <v>0</v>
      </c>
      <c r="AF155" s="27">
        <v>5.6575086189210504</v>
      </c>
      <c r="AG155" s="27">
        <v>0.1514428550773472</v>
      </c>
      <c r="AH155" s="27">
        <v>0</v>
      </c>
      <c r="AI155" s="31">
        <v>0</v>
      </c>
      <c r="AJ155" s="29">
        <v>0</v>
      </c>
      <c r="AK155" s="31">
        <v>0</v>
      </c>
      <c r="AL155" s="31">
        <v>7.4000000953674361</v>
      </c>
      <c r="AM155" s="31">
        <v>0</v>
      </c>
      <c r="AN155" s="31">
        <v>0</v>
      </c>
      <c r="AO155" s="31">
        <v>0</v>
      </c>
      <c r="AP155" s="31">
        <v>61.300466078911725</v>
      </c>
      <c r="AQ155" s="31">
        <v>0</v>
      </c>
      <c r="AR155" s="29">
        <v>0</v>
      </c>
      <c r="AS155" s="29">
        <v>0</v>
      </c>
      <c r="AT155" s="29">
        <v>0</v>
      </c>
      <c r="AU155" s="29">
        <v>0</v>
      </c>
      <c r="AV155" s="29">
        <v>0</v>
      </c>
      <c r="AW155" s="29">
        <v>0</v>
      </c>
      <c r="AX155" s="29">
        <v>0</v>
      </c>
      <c r="AY155" s="29">
        <v>0</v>
      </c>
      <c r="AZ155" s="29">
        <v>6.2127675881322258E-2</v>
      </c>
      <c r="BA155" s="29">
        <v>0</v>
      </c>
      <c r="BB155" s="29">
        <v>0</v>
      </c>
      <c r="BC155" s="29">
        <v>0</v>
      </c>
      <c r="BD155" s="29">
        <v>1.942581071841591</v>
      </c>
      <c r="BK155" s="3">
        <v>0</v>
      </c>
      <c r="BL155" s="3">
        <v>12.300000000008792</v>
      </c>
      <c r="BM155" s="3">
        <v>65.37985401898986</v>
      </c>
    </row>
    <row r="156" spans="1:65" ht="15.75" customHeight="1" x14ac:dyDescent="0.25">
      <c r="A156" s="3" t="s">
        <v>1008</v>
      </c>
      <c r="B156" s="3" t="s">
        <v>900</v>
      </c>
      <c r="C156" s="3" t="s">
        <v>987</v>
      </c>
      <c r="D156" s="27" t="s">
        <v>900</v>
      </c>
      <c r="E156" s="27" t="s">
        <v>989</v>
      </c>
      <c r="F156" s="31">
        <v>1981</v>
      </c>
      <c r="G156" s="31">
        <v>1981</v>
      </c>
      <c r="H156" s="31">
        <v>271</v>
      </c>
      <c r="I156" s="27">
        <v>0</v>
      </c>
      <c r="J156" s="27">
        <v>23</v>
      </c>
      <c r="L156" s="27">
        <v>0</v>
      </c>
      <c r="P156" s="29">
        <v>0</v>
      </c>
      <c r="AB156" s="27">
        <v>200</v>
      </c>
      <c r="AC156" s="27">
        <v>0</v>
      </c>
      <c r="AD156" s="27">
        <v>0</v>
      </c>
      <c r="AE156" s="27">
        <v>0</v>
      </c>
      <c r="AF156" s="27">
        <v>5.7407196571824999</v>
      </c>
      <c r="AG156" s="27">
        <v>0.1531753711223085</v>
      </c>
      <c r="AH156" s="27">
        <v>0</v>
      </c>
      <c r="AI156" s="31">
        <v>0</v>
      </c>
      <c r="AJ156" s="29">
        <v>0</v>
      </c>
      <c r="AK156" s="31">
        <v>0</v>
      </c>
      <c r="AL156" s="31">
        <v>7.4000000953674361</v>
      </c>
      <c r="AM156" s="31">
        <v>0</v>
      </c>
      <c r="AN156" s="31">
        <v>0</v>
      </c>
      <c r="AO156" s="31">
        <v>0</v>
      </c>
      <c r="AP156" s="31">
        <v>61.453641450034034</v>
      </c>
      <c r="AQ156" s="31">
        <v>0</v>
      </c>
      <c r="AR156" s="29">
        <v>0</v>
      </c>
      <c r="AS156" s="29">
        <v>0</v>
      </c>
      <c r="AT156" s="29">
        <v>0</v>
      </c>
      <c r="AU156" s="29">
        <v>0</v>
      </c>
      <c r="AV156" s="29">
        <v>0</v>
      </c>
      <c r="AW156" s="29">
        <v>0</v>
      </c>
      <c r="AX156" s="29">
        <v>0</v>
      </c>
      <c r="AY156" s="29">
        <v>0</v>
      </c>
      <c r="AZ156" s="29">
        <v>6.2127675881322258E-2</v>
      </c>
      <c r="BA156" s="29">
        <v>0</v>
      </c>
      <c r="BB156" s="29">
        <v>0</v>
      </c>
      <c r="BC156" s="29">
        <v>0</v>
      </c>
      <c r="BD156" s="29">
        <v>1.942581071841591</v>
      </c>
      <c r="BK156" s="3">
        <v>0</v>
      </c>
      <c r="BL156" s="3">
        <v>12.300000000006154</v>
      </c>
      <c r="BM156" s="3">
        <v>65.226678647870187</v>
      </c>
    </row>
    <row r="157" spans="1:65" ht="15.75" customHeight="1" x14ac:dyDescent="0.25">
      <c r="A157" s="3" t="s">
        <v>1008</v>
      </c>
      <c r="B157" s="3" t="s">
        <v>900</v>
      </c>
      <c r="C157" s="3" t="s">
        <v>987</v>
      </c>
      <c r="D157" s="27" t="s">
        <v>900</v>
      </c>
      <c r="E157" s="27" t="s">
        <v>989</v>
      </c>
      <c r="F157" s="31">
        <v>1981</v>
      </c>
      <c r="G157" s="31">
        <v>1981</v>
      </c>
      <c r="H157" s="31">
        <v>272</v>
      </c>
      <c r="I157" s="27">
        <v>0</v>
      </c>
      <c r="J157" s="27">
        <v>24.349999427795399</v>
      </c>
      <c r="L157" s="27">
        <v>0</v>
      </c>
      <c r="P157" s="29">
        <v>0</v>
      </c>
      <c r="AB157" s="27">
        <v>200</v>
      </c>
      <c r="AC157" s="27">
        <v>0</v>
      </c>
      <c r="AD157" s="27">
        <v>0</v>
      </c>
      <c r="AE157" s="27">
        <v>0</v>
      </c>
      <c r="AF157" s="27">
        <v>6.0248042591402733</v>
      </c>
      <c r="AG157" s="27">
        <v>0.16024096896191353</v>
      </c>
      <c r="AH157" s="27">
        <v>0</v>
      </c>
      <c r="AI157" s="31">
        <v>0</v>
      </c>
      <c r="AJ157" s="29">
        <v>0</v>
      </c>
      <c r="AK157" s="31">
        <v>0</v>
      </c>
      <c r="AL157" s="31">
        <v>7.4000000953674361</v>
      </c>
      <c r="AM157" s="31">
        <v>0</v>
      </c>
      <c r="AN157" s="31">
        <v>0</v>
      </c>
      <c r="AO157" s="31">
        <v>0</v>
      </c>
      <c r="AP157" s="31">
        <v>61.613882418995949</v>
      </c>
      <c r="AQ157" s="31">
        <v>0</v>
      </c>
      <c r="AR157" s="29">
        <v>0</v>
      </c>
      <c r="AS157" s="29">
        <v>0</v>
      </c>
      <c r="AT157" s="29">
        <v>0</v>
      </c>
      <c r="AU157" s="29">
        <v>0</v>
      </c>
      <c r="AV157" s="29">
        <v>0</v>
      </c>
      <c r="AW157" s="29">
        <v>0</v>
      </c>
      <c r="AX157" s="29">
        <v>0</v>
      </c>
      <c r="AY157" s="29">
        <v>0</v>
      </c>
      <c r="AZ157" s="29">
        <v>6.2127675881322258E-2</v>
      </c>
      <c r="BA157" s="29">
        <v>0</v>
      </c>
      <c r="BB157" s="29">
        <v>0</v>
      </c>
      <c r="BC157" s="29">
        <v>0</v>
      </c>
      <c r="BD157" s="29">
        <v>1.942581071841591</v>
      </c>
      <c r="BK157" s="3">
        <v>0</v>
      </c>
      <c r="BL157" s="3">
        <v>12.300000000004308</v>
      </c>
      <c r="BM157" s="3">
        <v>65.06643767891012</v>
      </c>
    </row>
    <row r="158" spans="1:65" ht="15.75" customHeight="1" x14ac:dyDescent="0.25">
      <c r="A158" s="3" t="s">
        <v>1008</v>
      </c>
      <c r="B158" s="3" t="s">
        <v>900</v>
      </c>
      <c r="C158" s="3" t="s">
        <v>987</v>
      </c>
      <c r="D158" s="27" t="s">
        <v>900</v>
      </c>
      <c r="E158" s="27" t="s">
        <v>989</v>
      </c>
      <c r="F158" s="31">
        <v>1981</v>
      </c>
      <c r="G158" s="31">
        <v>1981</v>
      </c>
      <c r="H158" s="31">
        <v>273</v>
      </c>
      <c r="I158" s="27">
        <v>0</v>
      </c>
      <c r="J158" s="27">
        <v>24.350000381469751</v>
      </c>
      <c r="L158" s="27">
        <v>0</v>
      </c>
      <c r="P158" s="29">
        <v>0</v>
      </c>
      <c r="AB158" s="27">
        <v>200</v>
      </c>
      <c r="AC158" s="27">
        <v>0</v>
      </c>
      <c r="AD158" s="27">
        <v>0</v>
      </c>
      <c r="AE158" s="27">
        <v>0</v>
      </c>
      <c r="AF158" s="27">
        <v>5.7272579941034261</v>
      </c>
      <c r="AG158" s="27">
        <v>0.15184281719230386</v>
      </c>
      <c r="AH158" s="27">
        <v>0</v>
      </c>
      <c r="AI158" s="31">
        <v>0</v>
      </c>
      <c r="AJ158" s="29">
        <v>0</v>
      </c>
      <c r="AK158" s="31">
        <v>0</v>
      </c>
      <c r="AL158" s="31">
        <v>7.4000000953674361</v>
      </c>
      <c r="AM158" s="31">
        <v>0</v>
      </c>
      <c r="AN158" s="31">
        <v>0</v>
      </c>
      <c r="AO158" s="31">
        <v>0</v>
      </c>
      <c r="AP158" s="31">
        <v>61.765725236188253</v>
      </c>
      <c r="AQ158" s="31">
        <v>0</v>
      </c>
      <c r="AR158" s="29">
        <v>0</v>
      </c>
      <c r="AS158" s="29">
        <v>0</v>
      </c>
      <c r="AT158" s="29">
        <v>0</v>
      </c>
      <c r="AU158" s="29">
        <v>0</v>
      </c>
      <c r="AV158" s="29">
        <v>0</v>
      </c>
      <c r="AW158" s="29">
        <v>0</v>
      </c>
      <c r="AX158" s="29">
        <v>0</v>
      </c>
      <c r="AY158" s="29">
        <v>0</v>
      </c>
      <c r="AZ158" s="29">
        <v>6.2127675881322258E-2</v>
      </c>
      <c r="BA158" s="29">
        <v>0</v>
      </c>
      <c r="BB158" s="29">
        <v>0</v>
      </c>
      <c r="BC158" s="29">
        <v>0</v>
      </c>
      <c r="BD158" s="29">
        <v>1.942581071841591</v>
      </c>
      <c r="BK158" s="3">
        <v>0</v>
      </c>
      <c r="BL158" s="3">
        <v>12.300000000003017</v>
      </c>
      <c r="BM158" s="3">
        <v>64.91459486171911</v>
      </c>
    </row>
    <row r="159" spans="1:65" ht="15.75" customHeight="1" x14ac:dyDescent="0.25">
      <c r="A159" s="3" t="s">
        <v>1008</v>
      </c>
      <c r="B159" s="3" t="s">
        <v>900</v>
      </c>
      <c r="C159" s="3" t="s">
        <v>987</v>
      </c>
      <c r="D159" s="27" t="s">
        <v>900</v>
      </c>
      <c r="E159" s="27" t="s">
        <v>989</v>
      </c>
      <c r="F159" s="31">
        <v>1981</v>
      </c>
      <c r="G159" s="31">
        <v>1981</v>
      </c>
      <c r="H159" s="31">
        <v>274</v>
      </c>
      <c r="I159" s="27">
        <v>0</v>
      </c>
      <c r="J159" s="27">
        <v>23.299999713897698</v>
      </c>
      <c r="L159" s="27">
        <v>0</v>
      </c>
      <c r="P159" s="29">
        <v>0</v>
      </c>
      <c r="AB159" s="27">
        <v>200</v>
      </c>
      <c r="AC159" s="27">
        <v>0</v>
      </c>
      <c r="AD159" s="27">
        <v>0</v>
      </c>
      <c r="AE159" s="27">
        <v>0</v>
      </c>
      <c r="AF159" s="27">
        <v>5.7147219121996704</v>
      </c>
      <c r="AG159" s="27">
        <v>0.15103174713691941</v>
      </c>
      <c r="AH159" s="27">
        <v>0</v>
      </c>
      <c r="AI159" s="31">
        <v>0</v>
      </c>
      <c r="AJ159" s="29">
        <v>0</v>
      </c>
      <c r="AK159" s="31">
        <v>0</v>
      </c>
      <c r="AL159" s="31">
        <v>7.4000000953674361</v>
      </c>
      <c r="AM159" s="31">
        <v>0</v>
      </c>
      <c r="AN159" s="31">
        <v>0</v>
      </c>
      <c r="AO159" s="31">
        <v>0</v>
      </c>
      <c r="AP159" s="31">
        <v>61.916756983325172</v>
      </c>
      <c r="AQ159" s="31">
        <v>0</v>
      </c>
      <c r="AR159" s="29">
        <v>0</v>
      </c>
      <c r="AS159" s="29">
        <v>0</v>
      </c>
      <c r="AT159" s="29">
        <v>0</v>
      </c>
      <c r="AU159" s="29">
        <v>0</v>
      </c>
      <c r="AV159" s="29">
        <v>0</v>
      </c>
      <c r="AW159" s="29">
        <v>0</v>
      </c>
      <c r="AX159" s="29">
        <v>0</v>
      </c>
      <c r="AY159" s="29">
        <v>0</v>
      </c>
      <c r="AZ159" s="29">
        <v>6.2127675881322258E-2</v>
      </c>
      <c r="BA159" s="29">
        <v>0</v>
      </c>
      <c r="BB159" s="29">
        <v>0</v>
      </c>
      <c r="BC159" s="29">
        <v>0</v>
      </c>
      <c r="BD159" s="29">
        <v>1.942581071841591</v>
      </c>
      <c r="BK159" s="3">
        <v>0</v>
      </c>
      <c r="BL159" s="3">
        <v>12.300000000002113</v>
      </c>
      <c r="BM159" s="3">
        <v>64.763563114583093</v>
      </c>
    </row>
    <row r="160" spans="1:65" ht="15.75" customHeight="1" x14ac:dyDescent="0.25">
      <c r="A160" s="3" t="s">
        <v>1008</v>
      </c>
      <c r="B160" s="3" t="s">
        <v>900</v>
      </c>
      <c r="C160" s="3" t="s">
        <v>987</v>
      </c>
      <c r="D160" s="27" t="s">
        <v>900</v>
      </c>
      <c r="E160" s="27" t="s">
        <v>989</v>
      </c>
      <c r="F160" s="31">
        <v>1981</v>
      </c>
      <c r="G160" s="31">
        <v>1981</v>
      </c>
      <c r="H160" s="31">
        <v>275</v>
      </c>
      <c r="I160" s="27">
        <v>0</v>
      </c>
      <c r="J160" s="27">
        <v>22.0999999046326</v>
      </c>
      <c r="L160" s="27">
        <v>0</v>
      </c>
      <c r="P160" s="29">
        <v>0</v>
      </c>
      <c r="AB160" s="27">
        <v>200</v>
      </c>
      <c r="AC160" s="27">
        <v>0</v>
      </c>
      <c r="AD160" s="27">
        <v>0</v>
      </c>
      <c r="AE160" s="27">
        <v>0</v>
      </c>
      <c r="AF160" s="27">
        <v>5.3671950863188762</v>
      </c>
      <c r="AG160" s="27">
        <v>0.14140175792049756</v>
      </c>
      <c r="AH160" s="27">
        <v>0</v>
      </c>
      <c r="AI160" s="31">
        <v>0</v>
      </c>
      <c r="AJ160" s="29">
        <v>0</v>
      </c>
      <c r="AK160" s="31">
        <v>0</v>
      </c>
      <c r="AL160" s="31">
        <v>7.4000000953674361</v>
      </c>
      <c r="AM160" s="31">
        <v>0</v>
      </c>
      <c r="AN160" s="31">
        <v>0</v>
      </c>
      <c r="AO160" s="31">
        <v>0</v>
      </c>
      <c r="AP160" s="31">
        <v>62.05815874124567</v>
      </c>
      <c r="AQ160" s="31">
        <v>0</v>
      </c>
      <c r="AR160" s="29">
        <v>0</v>
      </c>
      <c r="AS160" s="29">
        <v>0</v>
      </c>
      <c r="AT160" s="29">
        <v>0</v>
      </c>
      <c r="AU160" s="29">
        <v>0</v>
      </c>
      <c r="AV160" s="29">
        <v>0</v>
      </c>
      <c r="AW160" s="29">
        <v>0</v>
      </c>
      <c r="AX160" s="29">
        <v>0</v>
      </c>
      <c r="AY160" s="29">
        <v>0</v>
      </c>
      <c r="AZ160" s="29">
        <v>6.2127675881322258E-2</v>
      </c>
      <c r="BA160" s="29">
        <v>0</v>
      </c>
      <c r="BB160" s="29">
        <v>0</v>
      </c>
      <c r="BC160" s="29">
        <v>0</v>
      </c>
      <c r="BD160" s="29">
        <v>1.942581071841591</v>
      </c>
      <c r="BK160" s="3">
        <v>0</v>
      </c>
      <c r="BL160" s="3">
        <v>12.300000000001479</v>
      </c>
      <c r="BM160" s="3">
        <v>64.622161356663227</v>
      </c>
    </row>
    <row r="161" spans="1:65" ht="15.75" customHeight="1" x14ac:dyDescent="0.25">
      <c r="A161" s="3" t="s">
        <v>1008</v>
      </c>
      <c r="B161" s="3" t="s">
        <v>900</v>
      </c>
      <c r="C161" s="3" t="s">
        <v>987</v>
      </c>
      <c r="D161" s="27" t="s">
        <v>900</v>
      </c>
      <c r="E161" s="27" t="s">
        <v>989</v>
      </c>
      <c r="F161" s="31">
        <v>1981</v>
      </c>
      <c r="G161" s="31">
        <v>1981</v>
      </c>
      <c r="H161" s="31">
        <v>276</v>
      </c>
      <c r="I161" s="27">
        <v>0</v>
      </c>
      <c r="J161" s="27">
        <v>22.849999427795399</v>
      </c>
      <c r="L161" s="27">
        <v>0</v>
      </c>
      <c r="P161" s="29">
        <v>0</v>
      </c>
      <c r="AB161" s="27">
        <v>200</v>
      </c>
      <c r="AC161" s="27">
        <v>0</v>
      </c>
      <c r="AD161" s="27">
        <v>0</v>
      </c>
      <c r="AE161" s="27">
        <v>0</v>
      </c>
      <c r="AF161" s="27">
        <v>5.4341603710036299</v>
      </c>
      <c r="AG161" s="27">
        <v>0.14271929677646578</v>
      </c>
      <c r="AH161" s="27">
        <v>0</v>
      </c>
      <c r="AI161" s="31">
        <v>0</v>
      </c>
      <c r="AJ161" s="29">
        <v>0</v>
      </c>
      <c r="AK161" s="31">
        <v>0</v>
      </c>
      <c r="AL161" s="31">
        <v>7.4000000953674361</v>
      </c>
      <c r="AM161" s="31">
        <v>0</v>
      </c>
      <c r="AN161" s="31">
        <v>0</v>
      </c>
      <c r="AO161" s="31">
        <v>0</v>
      </c>
      <c r="AP161" s="31">
        <v>62.200878038022132</v>
      </c>
      <c r="AQ161" s="31">
        <v>0</v>
      </c>
      <c r="AR161" s="29">
        <v>0</v>
      </c>
      <c r="AS161" s="29">
        <v>0</v>
      </c>
      <c r="AT161" s="29">
        <v>0</v>
      </c>
      <c r="AU161" s="29">
        <v>0</v>
      </c>
      <c r="AV161" s="29">
        <v>0</v>
      </c>
      <c r="AW161" s="29">
        <v>0</v>
      </c>
      <c r="AX161" s="29">
        <v>0</v>
      </c>
      <c r="AY161" s="29">
        <v>0</v>
      </c>
      <c r="AZ161" s="29">
        <v>6.2127675881322258E-2</v>
      </c>
      <c r="BA161" s="29">
        <v>0</v>
      </c>
      <c r="BB161" s="29">
        <v>0</v>
      </c>
      <c r="BC161" s="29">
        <v>0</v>
      </c>
      <c r="BD161" s="29">
        <v>1.942581071841591</v>
      </c>
      <c r="BK161" s="3">
        <v>0</v>
      </c>
      <c r="BL161" s="3">
        <v>12.300000000001035</v>
      </c>
      <c r="BM161" s="3">
        <v>64.479442059887205</v>
      </c>
    </row>
    <row r="162" spans="1:65" ht="15.75" customHeight="1" x14ac:dyDescent="0.25">
      <c r="A162" s="3" t="s">
        <v>1008</v>
      </c>
      <c r="B162" s="3" t="s">
        <v>900</v>
      </c>
      <c r="C162" s="3" t="s">
        <v>987</v>
      </c>
      <c r="D162" s="27" t="s">
        <v>900</v>
      </c>
      <c r="E162" s="27" t="s">
        <v>989</v>
      </c>
      <c r="F162" s="31">
        <v>1981</v>
      </c>
      <c r="G162" s="31">
        <v>1981</v>
      </c>
      <c r="H162" s="31">
        <v>277</v>
      </c>
      <c r="I162" s="27">
        <v>0</v>
      </c>
      <c r="J162" s="27">
        <v>22.349999427795399</v>
      </c>
      <c r="L162" s="27">
        <v>0</v>
      </c>
      <c r="P162" s="29">
        <v>0</v>
      </c>
      <c r="AB162" s="27">
        <v>200</v>
      </c>
      <c r="AC162" s="27">
        <v>0</v>
      </c>
      <c r="AD162" s="27">
        <v>0</v>
      </c>
      <c r="AE162" s="27">
        <v>0</v>
      </c>
      <c r="AF162" s="27">
        <v>5.4628892251776593</v>
      </c>
      <c r="AG162" s="27">
        <v>0.14302892969222183</v>
      </c>
      <c r="AH162" s="27">
        <v>0</v>
      </c>
      <c r="AI162" s="31">
        <v>0</v>
      </c>
      <c r="AJ162" s="29">
        <v>0</v>
      </c>
      <c r="AK162" s="31">
        <v>0</v>
      </c>
      <c r="AL162" s="31">
        <v>7.4000000953674361</v>
      </c>
      <c r="AM162" s="31">
        <v>0</v>
      </c>
      <c r="AN162" s="31">
        <v>0</v>
      </c>
      <c r="AO162" s="31">
        <v>0</v>
      </c>
      <c r="AP162" s="31">
        <v>62.343906967714354</v>
      </c>
      <c r="AQ162" s="31">
        <v>0</v>
      </c>
      <c r="AR162" s="29">
        <v>0</v>
      </c>
      <c r="AS162" s="29">
        <v>0</v>
      </c>
      <c r="AT162" s="29">
        <v>0</v>
      </c>
      <c r="AU162" s="29">
        <v>0</v>
      </c>
      <c r="AV162" s="29">
        <v>0</v>
      </c>
      <c r="AW162" s="29">
        <v>0</v>
      </c>
      <c r="AX162" s="29">
        <v>0</v>
      </c>
      <c r="AY162" s="29">
        <v>0</v>
      </c>
      <c r="AZ162" s="29">
        <v>6.2127675881322258E-2</v>
      </c>
      <c r="BA162" s="29">
        <v>0</v>
      </c>
      <c r="BB162" s="29">
        <v>0</v>
      </c>
      <c r="BC162" s="29">
        <v>0</v>
      </c>
      <c r="BD162" s="29">
        <v>1.942581071841591</v>
      </c>
      <c r="BK162" s="3">
        <v>0</v>
      </c>
      <c r="BL162" s="3">
        <v>12.300000000000724</v>
      </c>
      <c r="BM162" s="3">
        <v>64.336413130195297</v>
      </c>
    </row>
    <row r="163" spans="1:65" ht="15.75" customHeight="1" x14ac:dyDescent="0.25">
      <c r="A163" s="3" t="s">
        <v>1008</v>
      </c>
      <c r="B163" s="3" t="s">
        <v>900</v>
      </c>
      <c r="C163" s="3" t="s">
        <v>987</v>
      </c>
      <c r="D163" s="27" t="s">
        <v>900</v>
      </c>
      <c r="E163" s="27" t="s">
        <v>989</v>
      </c>
      <c r="F163" s="31">
        <v>1981</v>
      </c>
      <c r="G163" s="31">
        <v>1981</v>
      </c>
      <c r="H163" s="31">
        <v>278</v>
      </c>
      <c r="I163" s="27">
        <v>0</v>
      </c>
      <c r="J163" s="27">
        <v>21.550000190734849</v>
      </c>
      <c r="L163" s="27">
        <v>0</v>
      </c>
      <c r="P163" s="29">
        <v>0</v>
      </c>
      <c r="AB163" s="27">
        <v>200</v>
      </c>
      <c r="AC163" s="27">
        <v>0</v>
      </c>
      <c r="AD163" s="27">
        <v>0</v>
      </c>
      <c r="AE163" s="27">
        <v>0</v>
      </c>
      <c r="AF163" s="27">
        <v>5.4033609766126265</v>
      </c>
      <c r="AG163" s="27">
        <v>0.14103439858190869</v>
      </c>
      <c r="AH163" s="27">
        <v>0</v>
      </c>
      <c r="AI163" s="31">
        <v>0</v>
      </c>
      <c r="AJ163" s="29">
        <v>0</v>
      </c>
      <c r="AK163" s="31">
        <v>0</v>
      </c>
      <c r="AL163" s="31">
        <v>7.4000000953674361</v>
      </c>
      <c r="AM163" s="31">
        <v>0</v>
      </c>
      <c r="AN163" s="31">
        <v>0</v>
      </c>
      <c r="AO163" s="31">
        <v>0</v>
      </c>
      <c r="AP163" s="31">
        <v>62.484941366296262</v>
      </c>
      <c r="AQ163" s="31">
        <v>0</v>
      </c>
      <c r="AR163" s="29">
        <v>0</v>
      </c>
      <c r="AS163" s="29">
        <v>0</v>
      </c>
      <c r="AT163" s="29">
        <v>0</v>
      </c>
      <c r="AU163" s="29">
        <v>0</v>
      </c>
      <c r="AV163" s="29">
        <v>0</v>
      </c>
      <c r="AW163" s="29">
        <v>0</v>
      </c>
      <c r="AX163" s="29">
        <v>0</v>
      </c>
      <c r="AY163" s="29">
        <v>0</v>
      </c>
      <c r="AZ163" s="29">
        <v>6.2127675881322258E-2</v>
      </c>
      <c r="BA163" s="29">
        <v>0</v>
      </c>
      <c r="BB163" s="29">
        <v>0</v>
      </c>
      <c r="BC163" s="29">
        <v>0</v>
      </c>
      <c r="BD163" s="29">
        <v>1.942581071841591</v>
      </c>
      <c r="BK163" s="3">
        <v>0</v>
      </c>
      <c r="BL163" s="3">
        <v>12.300000000000507</v>
      </c>
      <c r="BM163" s="3">
        <v>64.195378731613602</v>
      </c>
    </row>
    <row r="164" spans="1:65" ht="15.75" customHeight="1" x14ac:dyDescent="0.25">
      <c r="A164" s="3" t="s">
        <v>1008</v>
      </c>
      <c r="B164" s="3" t="s">
        <v>900</v>
      </c>
      <c r="C164" s="3" t="s">
        <v>987</v>
      </c>
      <c r="D164" s="27" t="s">
        <v>900</v>
      </c>
      <c r="E164" s="27" t="s">
        <v>989</v>
      </c>
      <c r="F164" s="31">
        <v>1981</v>
      </c>
      <c r="G164" s="31">
        <v>1981</v>
      </c>
      <c r="H164" s="31">
        <v>279</v>
      </c>
      <c r="I164" s="27">
        <v>0</v>
      </c>
      <c r="J164" s="27">
        <v>21.500000953674299</v>
      </c>
      <c r="L164" s="27">
        <v>0</v>
      </c>
      <c r="P164" s="29">
        <v>0</v>
      </c>
      <c r="AB164" s="27">
        <v>200</v>
      </c>
      <c r="AC164" s="27">
        <v>0</v>
      </c>
      <c r="AD164" s="27">
        <v>0</v>
      </c>
      <c r="AE164" s="27">
        <v>0</v>
      </c>
      <c r="AF164" s="27">
        <v>5.2435975082126633</v>
      </c>
      <c r="AG164" s="27">
        <v>0.13644518523244756</v>
      </c>
      <c r="AH164" s="27">
        <v>0</v>
      </c>
      <c r="AI164" s="31">
        <v>0</v>
      </c>
      <c r="AJ164" s="29">
        <v>0</v>
      </c>
      <c r="AK164" s="31">
        <v>0</v>
      </c>
      <c r="AL164" s="31">
        <v>7.4000000953674361</v>
      </c>
      <c r="AM164" s="31">
        <v>0</v>
      </c>
      <c r="AN164" s="31">
        <v>0</v>
      </c>
      <c r="AO164" s="31">
        <v>0</v>
      </c>
      <c r="AP164" s="31">
        <v>62.621386551528708</v>
      </c>
      <c r="AQ164" s="31">
        <v>0</v>
      </c>
      <c r="AR164" s="29">
        <v>0</v>
      </c>
      <c r="AS164" s="29">
        <v>0</v>
      </c>
      <c r="AT164" s="29">
        <v>0</v>
      </c>
      <c r="AU164" s="29">
        <v>0</v>
      </c>
      <c r="AV164" s="29">
        <v>0</v>
      </c>
      <c r="AW164" s="29">
        <v>0</v>
      </c>
      <c r="AX164" s="29">
        <v>0</v>
      </c>
      <c r="AY164" s="29">
        <v>0</v>
      </c>
      <c r="AZ164" s="29">
        <v>6.2127675881322258E-2</v>
      </c>
      <c r="BA164" s="29">
        <v>0</v>
      </c>
      <c r="BB164" s="29">
        <v>0</v>
      </c>
      <c r="BC164" s="29">
        <v>0</v>
      </c>
      <c r="BD164" s="29">
        <v>1.942581071841591</v>
      </c>
      <c r="BK164" s="3">
        <v>0</v>
      </c>
      <c r="BL164" s="3">
        <v>12.300000000000356</v>
      </c>
      <c r="BM164" s="3">
        <v>64.058933546381311</v>
      </c>
    </row>
    <row r="165" spans="1:65" ht="15.75" customHeight="1" x14ac:dyDescent="0.25">
      <c r="A165" s="3" t="s">
        <v>1008</v>
      </c>
      <c r="B165" s="3" t="s">
        <v>900</v>
      </c>
      <c r="C165" s="3" t="s">
        <v>987</v>
      </c>
      <c r="D165" s="27" t="s">
        <v>900</v>
      </c>
      <c r="E165" s="27" t="s">
        <v>989</v>
      </c>
      <c r="F165" s="31">
        <v>1981</v>
      </c>
      <c r="G165" s="31">
        <v>1981</v>
      </c>
      <c r="H165" s="31">
        <v>280</v>
      </c>
      <c r="I165" s="27">
        <v>0</v>
      </c>
      <c r="J165" s="27">
        <v>23.70000076293945</v>
      </c>
      <c r="L165" s="27">
        <v>0</v>
      </c>
      <c r="P165" s="29">
        <v>0</v>
      </c>
      <c r="AB165" s="27">
        <v>200</v>
      </c>
      <c r="AC165" s="27">
        <v>0.5</v>
      </c>
      <c r="AD165" s="27">
        <v>0</v>
      </c>
      <c r="AE165" s="27">
        <v>0</v>
      </c>
      <c r="AF165" s="27">
        <v>4.6083286996285828</v>
      </c>
      <c r="AG165" s="27">
        <v>0.11954963007394712</v>
      </c>
      <c r="AH165" s="27">
        <v>0</v>
      </c>
      <c r="AI165" s="31">
        <v>0</v>
      </c>
      <c r="AJ165" s="29">
        <v>0</v>
      </c>
      <c r="AK165" s="31">
        <v>0</v>
      </c>
      <c r="AL165" s="31">
        <v>7.9000000953674361</v>
      </c>
      <c r="AM165" s="31">
        <v>0</v>
      </c>
      <c r="AN165" s="31">
        <v>0</v>
      </c>
      <c r="AO165" s="31">
        <v>0</v>
      </c>
      <c r="AP165" s="31">
        <v>62.740936181602656</v>
      </c>
      <c r="AQ165" s="31">
        <v>0</v>
      </c>
      <c r="AR165" s="29">
        <v>0</v>
      </c>
      <c r="AS165" s="29">
        <v>0</v>
      </c>
      <c r="AT165" s="29">
        <v>0</v>
      </c>
      <c r="AU165" s="29">
        <v>0</v>
      </c>
      <c r="AV165" s="29">
        <v>0</v>
      </c>
      <c r="AW165" s="29">
        <v>0</v>
      </c>
      <c r="AX165" s="29">
        <v>0</v>
      </c>
      <c r="AY165" s="29">
        <v>0</v>
      </c>
      <c r="AZ165" s="29">
        <v>6.2127675881322258E-2</v>
      </c>
      <c r="BA165" s="29">
        <v>0</v>
      </c>
      <c r="BB165" s="29">
        <v>0</v>
      </c>
      <c r="BC165" s="29">
        <v>0</v>
      </c>
      <c r="BD165" s="29">
        <v>1.942581071841591</v>
      </c>
      <c r="BK165" s="3">
        <v>0</v>
      </c>
      <c r="BL165" s="3">
        <v>12.800000000000249</v>
      </c>
      <c r="BM165" s="3">
        <v>63.93938391630747</v>
      </c>
    </row>
    <row r="166" spans="1:65" ht="15.75" customHeight="1" x14ac:dyDescent="0.25">
      <c r="A166" s="3" t="s">
        <v>1008</v>
      </c>
      <c r="B166" s="3" t="s">
        <v>900</v>
      </c>
      <c r="C166" s="3" t="s">
        <v>987</v>
      </c>
      <c r="D166" s="27" t="s">
        <v>900</v>
      </c>
      <c r="E166" s="27" t="s">
        <v>989</v>
      </c>
      <c r="F166" s="31">
        <v>1981</v>
      </c>
      <c r="G166" s="31">
        <v>1981</v>
      </c>
      <c r="H166" s="31">
        <v>281</v>
      </c>
      <c r="I166" s="27">
        <v>0</v>
      </c>
      <c r="J166" s="27">
        <v>22.600000858306899</v>
      </c>
      <c r="L166" s="27">
        <v>0</v>
      </c>
      <c r="P166" s="29">
        <v>0</v>
      </c>
      <c r="AB166" s="27">
        <v>200</v>
      </c>
      <c r="AC166" s="27">
        <v>0</v>
      </c>
      <c r="AD166" s="27">
        <v>0</v>
      </c>
      <c r="AE166" s="27">
        <v>0</v>
      </c>
      <c r="AF166" s="27">
        <v>5.2647437911029042</v>
      </c>
      <c r="AG166" s="27">
        <v>0.13616515198929036</v>
      </c>
      <c r="AH166" s="27">
        <v>0</v>
      </c>
      <c r="AI166" s="31">
        <v>0</v>
      </c>
      <c r="AJ166" s="29">
        <v>0</v>
      </c>
      <c r="AK166" s="31">
        <v>0</v>
      </c>
      <c r="AL166" s="31">
        <v>7.9000000953674361</v>
      </c>
      <c r="AM166" s="31">
        <v>0</v>
      </c>
      <c r="AN166" s="31">
        <v>0</v>
      </c>
      <c r="AO166" s="31">
        <v>0</v>
      </c>
      <c r="AP166" s="31">
        <v>62.877101333591945</v>
      </c>
      <c r="AQ166" s="31">
        <v>0</v>
      </c>
      <c r="AR166" s="29">
        <v>0</v>
      </c>
      <c r="AS166" s="29">
        <v>0</v>
      </c>
      <c r="AT166" s="29">
        <v>0</v>
      </c>
      <c r="AU166" s="29">
        <v>0</v>
      </c>
      <c r="AV166" s="29">
        <v>0</v>
      </c>
      <c r="AW166" s="29">
        <v>0</v>
      </c>
      <c r="AX166" s="29">
        <v>0</v>
      </c>
      <c r="AY166" s="29">
        <v>0</v>
      </c>
      <c r="AZ166" s="29">
        <v>6.2127675881322258E-2</v>
      </c>
      <c r="BA166" s="29">
        <v>0</v>
      </c>
      <c r="BB166" s="29">
        <v>0</v>
      </c>
      <c r="BC166" s="29">
        <v>0</v>
      </c>
      <c r="BD166" s="29">
        <v>1.942581071841591</v>
      </c>
      <c r="BK166" s="3">
        <v>0</v>
      </c>
      <c r="BL166" s="3">
        <v>12.663834848010959</v>
      </c>
      <c r="BM166" s="3">
        <v>63.93938391630747</v>
      </c>
    </row>
    <row r="167" spans="1:65" ht="15.75" customHeight="1" x14ac:dyDescent="0.25">
      <c r="A167" s="3" t="s">
        <v>1008</v>
      </c>
      <c r="B167" s="3" t="s">
        <v>900</v>
      </c>
      <c r="C167" s="3" t="s">
        <v>987</v>
      </c>
      <c r="D167" s="27" t="s">
        <v>900</v>
      </c>
      <c r="E167" s="27" t="s">
        <v>989</v>
      </c>
      <c r="F167" s="31">
        <v>1981</v>
      </c>
      <c r="G167" s="31">
        <v>1981</v>
      </c>
      <c r="H167" s="31">
        <v>282</v>
      </c>
      <c r="I167" s="27">
        <v>0</v>
      </c>
      <c r="J167" s="27">
        <v>22.75</v>
      </c>
      <c r="L167" s="27">
        <v>0</v>
      </c>
      <c r="P167" s="29">
        <v>0</v>
      </c>
      <c r="AB167" s="27">
        <v>200</v>
      </c>
      <c r="AC167" s="27">
        <v>0</v>
      </c>
      <c r="AD167" s="27">
        <v>0</v>
      </c>
      <c r="AE167" s="27">
        <v>0</v>
      </c>
      <c r="AF167" s="27">
        <v>4.9977840851636728</v>
      </c>
      <c r="AG167" s="27">
        <v>0.12887186039255907</v>
      </c>
      <c r="AH167" s="27">
        <v>0</v>
      </c>
      <c r="AI167" s="31">
        <v>0</v>
      </c>
      <c r="AJ167" s="29">
        <v>0</v>
      </c>
      <c r="AK167" s="31">
        <v>0</v>
      </c>
      <c r="AL167" s="31">
        <v>7.9000000953674361</v>
      </c>
      <c r="AM167" s="31">
        <v>0</v>
      </c>
      <c r="AN167" s="31">
        <v>0</v>
      </c>
      <c r="AO167" s="31">
        <v>0</v>
      </c>
      <c r="AP167" s="31">
        <v>63.005973193984502</v>
      </c>
      <c r="AQ167" s="31">
        <v>0</v>
      </c>
      <c r="AR167" s="29">
        <v>0</v>
      </c>
      <c r="AS167" s="29">
        <v>0</v>
      </c>
      <c r="AT167" s="29">
        <v>0</v>
      </c>
      <c r="AU167" s="29">
        <v>0</v>
      </c>
      <c r="AV167" s="29">
        <v>0</v>
      </c>
      <c r="AW167" s="29">
        <v>0</v>
      </c>
      <c r="AX167" s="29">
        <v>0</v>
      </c>
      <c r="AY167" s="29">
        <v>0</v>
      </c>
      <c r="AZ167" s="29">
        <v>6.2127675881322258E-2</v>
      </c>
      <c r="BA167" s="29">
        <v>0</v>
      </c>
      <c r="BB167" s="29">
        <v>0</v>
      </c>
      <c r="BC167" s="29">
        <v>0</v>
      </c>
      <c r="BD167" s="29">
        <v>1.942581071841591</v>
      </c>
      <c r="BK167" s="3">
        <v>0</v>
      </c>
      <c r="BL167" s="3">
        <v>12.554684393607671</v>
      </c>
      <c r="BM167" s="3">
        <v>63.919662510318197</v>
      </c>
    </row>
    <row r="168" spans="1:65" ht="15.75" customHeight="1" x14ac:dyDescent="0.25">
      <c r="A168" s="3" t="s">
        <v>1008</v>
      </c>
      <c r="B168" s="3" t="s">
        <v>900</v>
      </c>
      <c r="C168" s="3" t="s">
        <v>987</v>
      </c>
      <c r="D168" s="27" t="s">
        <v>900</v>
      </c>
      <c r="E168" s="27" t="s">
        <v>989</v>
      </c>
      <c r="F168" s="31">
        <v>1981</v>
      </c>
      <c r="G168" s="31">
        <v>1981</v>
      </c>
      <c r="H168" s="31">
        <v>283</v>
      </c>
      <c r="I168" s="27">
        <v>0</v>
      </c>
      <c r="J168" s="27">
        <v>24.650000572204601</v>
      </c>
      <c r="L168" s="27">
        <v>0</v>
      </c>
      <c r="P168" s="29">
        <v>0</v>
      </c>
      <c r="AB168" s="27">
        <v>200</v>
      </c>
      <c r="AC168" s="27">
        <v>0</v>
      </c>
      <c r="AD168" s="27">
        <v>0</v>
      </c>
      <c r="AE168" s="27">
        <v>0</v>
      </c>
      <c r="AF168" s="27">
        <v>5.2921145871637183</v>
      </c>
      <c r="AG168" s="27">
        <v>0.13605344870849279</v>
      </c>
      <c r="AH168" s="27">
        <v>0</v>
      </c>
      <c r="AI168" s="31">
        <v>0</v>
      </c>
      <c r="AJ168" s="29">
        <v>0</v>
      </c>
      <c r="AK168" s="31">
        <v>0</v>
      </c>
      <c r="AL168" s="31">
        <v>7.9000000953674361</v>
      </c>
      <c r="AM168" s="31">
        <v>0</v>
      </c>
      <c r="AN168" s="31">
        <v>0</v>
      </c>
      <c r="AO168" s="31">
        <v>0</v>
      </c>
      <c r="AP168" s="31">
        <v>63.142026642692997</v>
      </c>
      <c r="AQ168" s="31">
        <v>0</v>
      </c>
      <c r="AR168" s="29">
        <v>0</v>
      </c>
      <c r="AS168" s="29">
        <v>0</v>
      </c>
      <c r="AT168" s="29">
        <v>0</v>
      </c>
      <c r="AU168" s="29">
        <v>0</v>
      </c>
      <c r="AV168" s="29">
        <v>0</v>
      </c>
      <c r="AW168" s="29">
        <v>0</v>
      </c>
      <c r="AX168" s="29">
        <v>0</v>
      </c>
      <c r="AY168" s="29">
        <v>0</v>
      </c>
      <c r="AZ168" s="29">
        <v>6.2127675881322258E-2</v>
      </c>
      <c r="BA168" s="29">
        <v>0</v>
      </c>
      <c r="BB168" s="29">
        <v>0</v>
      </c>
      <c r="BC168" s="29">
        <v>0</v>
      </c>
      <c r="BD168" s="29">
        <v>1.942581071841591</v>
      </c>
      <c r="BK168" s="3">
        <v>0</v>
      </c>
      <c r="BL168" s="3">
        <v>12.47827907552537</v>
      </c>
      <c r="BM168" s="3">
        <v>63.860014379692004</v>
      </c>
    </row>
    <row r="169" spans="1:65" ht="15.75" customHeight="1" x14ac:dyDescent="0.25">
      <c r="A169" s="3" t="s">
        <v>1008</v>
      </c>
      <c r="B169" s="3" t="s">
        <v>900</v>
      </c>
      <c r="C169" s="3" t="s">
        <v>987</v>
      </c>
      <c r="D169" s="27" t="s">
        <v>900</v>
      </c>
      <c r="E169" s="27" t="s">
        <v>989</v>
      </c>
      <c r="F169" s="31">
        <v>1981</v>
      </c>
      <c r="G169" s="31">
        <v>1981</v>
      </c>
      <c r="H169" s="31">
        <v>284</v>
      </c>
      <c r="I169" s="27">
        <v>0</v>
      </c>
      <c r="J169" s="27">
        <v>22.999999523162799</v>
      </c>
      <c r="L169" s="27">
        <v>0</v>
      </c>
      <c r="P169" s="29">
        <v>0</v>
      </c>
      <c r="AB169" s="27">
        <v>200</v>
      </c>
      <c r="AC169" s="27">
        <v>0</v>
      </c>
      <c r="AD169" s="27">
        <v>0</v>
      </c>
      <c r="AE169" s="27">
        <v>0</v>
      </c>
      <c r="AF169" s="27">
        <v>5.1982994288946163</v>
      </c>
      <c r="AG169" s="27">
        <v>0.13324442740462233</v>
      </c>
      <c r="AH169" s="27">
        <v>0</v>
      </c>
      <c r="AI169" s="31">
        <v>0</v>
      </c>
      <c r="AJ169" s="29">
        <v>0</v>
      </c>
      <c r="AK169" s="31">
        <v>0</v>
      </c>
      <c r="AL169" s="31">
        <v>7.9000000953674361</v>
      </c>
      <c r="AM169" s="31">
        <v>0</v>
      </c>
      <c r="AN169" s="31">
        <v>0</v>
      </c>
      <c r="AO169" s="31">
        <v>0</v>
      </c>
      <c r="AP169" s="31">
        <v>63.275271070097617</v>
      </c>
      <c r="AQ169" s="31">
        <v>0</v>
      </c>
      <c r="AR169" s="29">
        <v>0</v>
      </c>
      <c r="AS169" s="29">
        <v>0</v>
      </c>
      <c r="AT169" s="29">
        <v>0</v>
      </c>
      <c r="AU169" s="29">
        <v>0</v>
      </c>
      <c r="AV169" s="29">
        <v>0</v>
      </c>
      <c r="AW169" s="29">
        <v>0</v>
      </c>
      <c r="AX169" s="29">
        <v>0</v>
      </c>
      <c r="AY169" s="29">
        <v>0</v>
      </c>
      <c r="AZ169" s="29">
        <v>6.2127675881322258E-2</v>
      </c>
      <c r="BA169" s="29">
        <v>0</v>
      </c>
      <c r="BB169" s="29">
        <v>0</v>
      </c>
      <c r="BC169" s="29">
        <v>0</v>
      </c>
      <c r="BD169" s="29">
        <v>1.942581071841591</v>
      </c>
      <c r="BK169" s="3">
        <v>0</v>
      </c>
      <c r="BL169" s="3">
        <v>12.424795352867759</v>
      </c>
      <c r="BM169" s="3">
        <v>63.780253674944994</v>
      </c>
    </row>
    <row r="170" spans="1:65" ht="15.75" customHeight="1" x14ac:dyDescent="0.25">
      <c r="A170" s="3" t="s">
        <v>1008</v>
      </c>
      <c r="B170" s="3" t="s">
        <v>900</v>
      </c>
      <c r="C170" s="3" t="s">
        <v>987</v>
      </c>
      <c r="D170" s="27" t="s">
        <v>900</v>
      </c>
      <c r="E170" s="27" t="s">
        <v>989</v>
      </c>
      <c r="F170" s="31">
        <v>1981</v>
      </c>
      <c r="G170" s="31">
        <v>1981</v>
      </c>
      <c r="H170" s="31">
        <v>285</v>
      </c>
      <c r="I170" s="27">
        <v>0</v>
      </c>
      <c r="J170" s="27">
        <v>24.849999427795399</v>
      </c>
      <c r="L170" s="27">
        <v>0</v>
      </c>
      <c r="P170" s="29">
        <v>0</v>
      </c>
      <c r="AB170" s="27">
        <v>200</v>
      </c>
      <c r="AC170" s="27">
        <v>0</v>
      </c>
      <c r="AD170" s="27">
        <v>0</v>
      </c>
      <c r="AE170" s="27">
        <v>0</v>
      </c>
      <c r="AF170" s="27">
        <v>5.5041418810929148</v>
      </c>
      <c r="AG170" s="27">
        <v>0.14066708214816331</v>
      </c>
      <c r="AH170" s="27">
        <v>0</v>
      </c>
      <c r="AI170" s="31">
        <v>0</v>
      </c>
      <c r="AJ170" s="29">
        <v>0</v>
      </c>
      <c r="AK170" s="31">
        <v>0</v>
      </c>
      <c r="AL170" s="31">
        <v>7.9000000953674361</v>
      </c>
      <c r="AM170" s="31">
        <v>0</v>
      </c>
      <c r="AN170" s="31">
        <v>0</v>
      </c>
      <c r="AO170" s="31">
        <v>0</v>
      </c>
      <c r="AP170" s="31">
        <v>63.415938152245779</v>
      </c>
      <c r="AQ170" s="31">
        <v>0</v>
      </c>
      <c r="AR170" s="29">
        <v>0</v>
      </c>
      <c r="AS170" s="29">
        <v>0</v>
      </c>
      <c r="AT170" s="29">
        <v>0</v>
      </c>
      <c r="AU170" s="29">
        <v>0</v>
      </c>
      <c r="AV170" s="29">
        <v>0</v>
      </c>
      <c r="AW170" s="29">
        <v>0</v>
      </c>
      <c r="AX170" s="29">
        <v>0</v>
      </c>
      <c r="AY170" s="29">
        <v>0</v>
      </c>
      <c r="AZ170" s="29">
        <v>6.2127675881322258E-2</v>
      </c>
      <c r="BA170" s="29">
        <v>0</v>
      </c>
      <c r="BB170" s="29">
        <v>0</v>
      </c>
      <c r="BC170" s="29">
        <v>0</v>
      </c>
      <c r="BD170" s="29">
        <v>1.942581071841591</v>
      </c>
      <c r="BK170" s="3">
        <v>0</v>
      </c>
      <c r="BL170" s="3">
        <v>12.387356747007432</v>
      </c>
      <c r="BM170" s="3">
        <v>63.677025198657155</v>
      </c>
    </row>
    <row r="171" spans="1:65" ht="15.75" customHeight="1" x14ac:dyDescent="0.25">
      <c r="A171" s="3" t="s">
        <v>1008</v>
      </c>
      <c r="B171" s="3" t="s">
        <v>900</v>
      </c>
      <c r="C171" s="3" t="s">
        <v>987</v>
      </c>
      <c r="D171" s="27" t="s">
        <v>900</v>
      </c>
      <c r="E171" s="27" t="s">
        <v>989</v>
      </c>
      <c r="F171" s="31">
        <v>1981</v>
      </c>
      <c r="G171" s="31">
        <v>1981</v>
      </c>
      <c r="H171" s="31">
        <v>286</v>
      </c>
      <c r="I171" s="27">
        <v>0</v>
      </c>
      <c r="J171" s="27">
        <v>22.800000190734902</v>
      </c>
      <c r="L171" s="27">
        <v>0</v>
      </c>
      <c r="P171" s="29">
        <v>0</v>
      </c>
      <c r="AB171" s="27">
        <v>200</v>
      </c>
      <c r="AC171" s="27">
        <v>0</v>
      </c>
      <c r="AD171" s="27">
        <v>0</v>
      </c>
      <c r="AE171" s="27">
        <v>0</v>
      </c>
      <c r="AF171" s="27">
        <v>5.1618269503150112</v>
      </c>
      <c r="AG171" s="27">
        <v>0.131531251872123</v>
      </c>
      <c r="AH171" s="27">
        <v>0</v>
      </c>
      <c r="AI171" s="31">
        <v>0</v>
      </c>
      <c r="AJ171" s="29">
        <v>0</v>
      </c>
      <c r="AK171" s="31">
        <v>0</v>
      </c>
      <c r="AL171" s="31">
        <v>7.9000000953674361</v>
      </c>
      <c r="AM171" s="31">
        <v>0</v>
      </c>
      <c r="AN171" s="31">
        <v>0</v>
      </c>
      <c r="AO171" s="31">
        <v>0</v>
      </c>
      <c r="AP171" s="31">
        <v>63.547469404117905</v>
      </c>
      <c r="AQ171" s="31">
        <v>0</v>
      </c>
      <c r="AR171" s="29">
        <v>0</v>
      </c>
      <c r="AS171" s="29">
        <v>0</v>
      </c>
      <c r="AT171" s="29">
        <v>0</v>
      </c>
      <c r="AU171" s="29">
        <v>0</v>
      </c>
      <c r="AV171" s="29">
        <v>0</v>
      </c>
      <c r="AW171" s="29">
        <v>0</v>
      </c>
      <c r="AX171" s="29">
        <v>0</v>
      </c>
      <c r="AY171" s="29">
        <v>0</v>
      </c>
      <c r="AZ171" s="29">
        <v>6.2127675881322258E-2</v>
      </c>
      <c r="BA171" s="29">
        <v>0</v>
      </c>
      <c r="BB171" s="29">
        <v>0</v>
      </c>
      <c r="BC171" s="29">
        <v>0</v>
      </c>
      <c r="BD171" s="29">
        <v>1.942581071841591</v>
      </c>
      <c r="BK171" s="3">
        <v>0</v>
      </c>
      <c r="BL171" s="3">
        <v>12.361149722905203</v>
      </c>
      <c r="BM171" s="3">
        <v>63.571700970887264</v>
      </c>
    </row>
    <row r="172" spans="1:65" ht="15.75" customHeight="1" x14ac:dyDescent="0.25">
      <c r="A172" s="3" t="s">
        <v>1008</v>
      </c>
      <c r="B172" s="3" t="s">
        <v>900</v>
      </c>
      <c r="C172" s="3" t="s">
        <v>987</v>
      </c>
      <c r="D172" s="27" t="s">
        <v>900</v>
      </c>
      <c r="E172" s="27" t="s">
        <v>989</v>
      </c>
      <c r="F172" s="31">
        <v>1981</v>
      </c>
      <c r="G172" s="31">
        <v>1981</v>
      </c>
      <c r="H172" s="31">
        <v>287</v>
      </c>
      <c r="I172" s="27">
        <v>0</v>
      </c>
      <c r="J172" s="27">
        <v>22.20000076293945</v>
      </c>
      <c r="L172" s="27">
        <v>0</v>
      </c>
      <c r="P172" s="29">
        <v>0</v>
      </c>
      <c r="AB172" s="27">
        <v>200</v>
      </c>
      <c r="AC172" s="27">
        <v>0</v>
      </c>
      <c r="AD172" s="27">
        <v>0</v>
      </c>
      <c r="AE172" s="27">
        <v>0</v>
      </c>
      <c r="AF172" s="27">
        <v>5.0209080341860046</v>
      </c>
      <c r="AG172" s="27">
        <v>0.12756687111566567</v>
      </c>
      <c r="AH172" s="27">
        <v>0</v>
      </c>
      <c r="AI172" s="31">
        <v>0</v>
      </c>
      <c r="AJ172" s="29">
        <v>0</v>
      </c>
      <c r="AK172" s="31">
        <v>0</v>
      </c>
      <c r="AL172" s="31">
        <v>7.9000000953674361</v>
      </c>
      <c r="AM172" s="31">
        <v>0</v>
      </c>
      <c r="AN172" s="31">
        <v>0</v>
      </c>
      <c r="AO172" s="31">
        <v>0</v>
      </c>
      <c r="AP172" s="31">
        <v>63.675036275233573</v>
      </c>
      <c r="AQ172" s="31">
        <v>0</v>
      </c>
      <c r="AR172" s="29">
        <v>0</v>
      </c>
      <c r="AS172" s="29">
        <v>0</v>
      </c>
      <c r="AT172" s="29">
        <v>0</v>
      </c>
      <c r="AU172" s="29">
        <v>0</v>
      </c>
      <c r="AV172" s="29">
        <v>0</v>
      </c>
      <c r="AW172" s="29">
        <v>0</v>
      </c>
      <c r="AX172" s="29">
        <v>0</v>
      </c>
      <c r="AY172" s="29">
        <v>0</v>
      </c>
      <c r="AZ172" s="29">
        <v>6.2127675881322258E-2</v>
      </c>
      <c r="BA172" s="29">
        <v>0</v>
      </c>
      <c r="BB172" s="29">
        <v>0</v>
      </c>
      <c r="BC172" s="29">
        <v>0</v>
      </c>
      <c r="BD172" s="29">
        <v>1.942581071841591</v>
      </c>
      <c r="BK172" s="3">
        <v>0</v>
      </c>
      <c r="BL172" s="3">
        <v>12.342804806033643</v>
      </c>
      <c r="BM172" s="3">
        <v>63.462479016643158</v>
      </c>
    </row>
    <row r="173" spans="1:65" ht="15.75" customHeight="1" x14ac:dyDescent="0.25">
      <c r="A173" s="3" t="s">
        <v>1008</v>
      </c>
      <c r="B173" s="3" t="s">
        <v>900</v>
      </c>
      <c r="C173" s="3" t="s">
        <v>987</v>
      </c>
      <c r="D173" s="27" t="s">
        <v>900</v>
      </c>
      <c r="E173" s="27" t="s">
        <v>989</v>
      </c>
      <c r="F173" s="31">
        <v>1981</v>
      </c>
      <c r="G173" s="31">
        <v>1981</v>
      </c>
      <c r="H173" s="31">
        <v>288</v>
      </c>
      <c r="I173" s="27">
        <v>0</v>
      </c>
      <c r="J173" s="27">
        <v>23.20000076293945</v>
      </c>
      <c r="L173" s="27">
        <v>0</v>
      </c>
      <c r="P173" s="29">
        <v>0</v>
      </c>
      <c r="AB173" s="27">
        <v>200</v>
      </c>
      <c r="AC173" s="27">
        <v>0</v>
      </c>
      <c r="AD173" s="27">
        <v>0</v>
      </c>
      <c r="AE173" s="27">
        <v>0</v>
      </c>
      <c r="AF173" s="27">
        <v>4.3926312167814157</v>
      </c>
      <c r="AG173" s="27">
        <v>0.11128019746800272</v>
      </c>
      <c r="AH173" s="27">
        <v>0</v>
      </c>
      <c r="AI173" s="31">
        <v>0</v>
      </c>
      <c r="AJ173" s="29">
        <v>0</v>
      </c>
      <c r="AK173" s="31">
        <v>0</v>
      </c>
      <c r="AL173" s="31">
        <v>7.9000000953674361</v>
      </c>
      <c r="AM173" s="31">
        <v>0</v>
      </c>
      <c r="AN173" s="31">
        <v>0</v>
      </c>
      <c r="AO173" s="31">
        <v>0</v>
      </c>
      <c r="AP173" s="31">
        <v>63.786316472701579</v>
      </c>
      <c r="AQ173" s="31">
        <v>0</v>
      </c>
      <c r="AR173" s="29">
        <v>0</v>
      </c>
      <c r="AS173" s="29">
        <v>0</v>
      </c>
      <c r="AT173" s="29">
        <v>0</v>
      </c>
      <c r="AU173" s="29">
        <v>0</v>
      </c>
      <c r="AV173" s="29">
        <v>0</v>
      </c>
      <c r="AW173" s="29">
        <v>0</v>
      </c>
      <c r="AX173" s="29">
        <v>0</v>
      </c>
      <c r="AY173" s="29">
        <v>0</v>
      </c>
      <c r="AZ173" s="29">
        <v>6.2127675881322258E-2</v>
      </c>
      <c r="BA173" s="29">
        <v>0</v>
      </c>
      <c r="BB173" s="29">
        <v>0</v>
      </c>
      <c r="BC173" s="29">
        <v>0</v>
      </c>
      <c r="BD173" s="29">
        <v>1.942581071841591</v>
      </c>
      <c r="BK173" s="3">
        <v>0</v>
      </c>
      <c r="BL173" s="3">
        <v>12.32996336422355</v>
      </c>
      <c r="BM173" s="3">
        <v>63.364040260985249</v>
      </c>
    </row>
    <row r="174" spans="1:65" ht="15.75" customHeight="1" x14ac:dyDescent="0.25">
      <c r="A174" s="3" t="s">
        <v>1008</v>
      </c>
      <c r="B174" s="3" t="s">
        <v>900</v>
      </c>
      <c r="C174" s="3" t="s">
        <v>987</v>
      </c>
      <c r="D174" s="27" t="s">
        <v>900</v>
      </c>
      <c r="E174" s="27" t="s">
        <v>989</v>
      </c>
      <c r="F174" s="31">
        <v>1981</v>
      </c>
      <c r="G174" s="31">
        <v>1981</v>
      </c>
      <c r="H174" s="31">
        <v>289</v>
      </c>
      <c r="I174" s="27">
        <v>0</v>
      </c>
      <c r="J174" s="27">
        <v>22.399999141693101</v>
      </c>
      <c r="L174" s="27">
        <v>0</v>
      </c>
      <c r="P174" s="29">
        <v>0</v>
      </c>
      <c r="AB174" s="27">
        <v>200</v>
      </c>
      <c r="AC174" s="27">
        <v>0</v>
      </c>
      <c r="AD174" s="27">
        <v>0</v>
      </c>
      <c r="AE174" s="27">
        <v>0</v>
      </c>
      <c r="AF174" s="27">
        <v>4.9541625902072459</v>
      </c>
      <c r="AG174" s="27">
        <v>0.12514347330823036</v>
      </c>
      <c r="AH174" s="27">
        <v>0</v>
      </c>
      <c r="AI174" s="31">
        <v>0</v>
      </c>
      <c r="AJ174" s="29">
        <v>0</v>
      </c>
      <c r="AK174" s="31">
        <v>0</v>
      </c>
      <c r="AL174" s="31">
        <v>7.9000000953674361</v>
      </c>
      <c r="AM174" s="31">
        <v>0</v>
      </c>
      <c r="AN174" s="31">
        <v>0</v>
      </c>
      <c r="AO174" s="31">
        <v>0</v>
      </c>
      <c r="AP174" s="31">
        <v>63.911459946009806</v>
      </c>
      <c r="AQ174" s="31">
        <v>0</v>
      </c>
      <c r="AR174" s="29">
        <v>0</v>
      </c>
      <c r="AS174" s="29">
        <v>0</v>
      </c>
      <c r="AT174" s="29">
        <v>0</v>
      </c>
      <c r="AU174" s="29">
        <v>0</v>
      </c>
      <c r="AV174" s="29">
        <v>0</v>
      </c>
      <c r="AW174" s="29">
        <v>0</v>
      </c>
      <c r="AX174" s="29">
        <v>0</v>
      </c>
      <c r="AY174" s="29">
        <v>0</v>
      </c>
      <c r="AZ174" s="29">
        <v>6.2127675881322258E-2</v>
      </c>
      <c r="BA174" s="29">
        <v>0</v>
      </c>
      <c r="BB174" s="29">
        <v>0</v>
      </c>
      <c r="BC174" s="29">
        <v>0</v>
      </c>
      <c r="BD174" s="29">
        <v>1.942581071841591</v>
      </c>
      <c r="BK174" s="3">
        <v>0</v>
      </c>
      <c r="BL174" s="3">
        <v>12.320974354956485</v>
      </c>
      <c r="BM174" s="3">
        <v>63.247885796944082</v>
      </c>
    </row>
    <row r="175" spans="1:65" ht="15.75" customHeight="1" x14ac:dyDescent="0.25">
      <c r="A175" s="3" t="s">
        <v>1008</v>
      </c>
      <c r="B175" s="3" t="s">
        <v>900</v>
      </c>
      <c r="C175" s="3" t="s">
        <v>987</v>
      </c>
      <c r="D175" s="27" t="s">
        <v>900</v>
      </c>
      <c r="E175" s="27" t="s">
        <v>989</v>
      </c>
      <c r="F175" s="31">
        <v>1981</v>
      </c>
      <c r="G175" s="31">
        <v>1981</v>
      </c>
      <c r="H175" s="31">
        <v>290</v>
      </c>
      <c r="I175" s="27">
        <v>0</v>
      </c>
      <c r="J175" s="27">
        <v>21.699999332428</v>
      </c>
      <c r="L175" s="27">
        <v>0</v>
      </c>
      <c r="P175" s="29">
        <v>0</v>
      </c>
      <c r="AB175" s="27">
        <v>200</v>
      </c>
      <c r="AC175" s="27">
        <v>0</v>
      </c>
      <c r="AD175" s="27">
        <v>0</v>
      </c>
      <c r="AE175" s="27">
        <v>0</v>
      </c>
      <c r="AF175" s="27">
        <v>3.8435827760603227</v>
      </c>
      <c r="AG175" s="27">
        <v>9.681133439350538E-2</v>
      </c>
      <c r="AH175" s="27">
        <v>0</v>
      </c>
      <c r="AI175" s="31">
        <v>0</v>
      </c>
      <c r="AJ175" s="29">
        <v>0</v>
      </c>
      <c r="AK175" s="31">
        <v>0</v>
      </c>
      <c r="AL175" s="31">
        <v>7.9000000953674361</v>
      </c>
      <c r="AM175" s="31">
        <v>0</v>
      </c>
      <c r="AN175" s="31">
        <v>0</v>
      </c>
      <c r="AO175" s="31">
        <v>0</v>
      </c>
      <c r="AP175" s="31">
        <v>64.008271280403306</v>
      </c>
      <c r="AQ175" s="31">
        <v>0</v>
      </c>
      <c r="AR175" s="29">
        <v>0</v>
      </c>
      <c r="AS175" s="29">
        <v>0</v>
      </c>
      <c r="AT175" s="29">
        <v>0</v>
      </c>
      <c r="AU175" s="29">
        <v>0</v>
      </c>
      <c r="AV175" s="29">
        <v>0</v>
      </c>
      <c r="AW175" s="29">
        <v>0</v>
      </c>
      <c r="AX175" s="29">
        <v>0</v>
      </c>
      <c r="AY175" s="29">
        <v>0</v>
      </c>
      <c r="AZ175" s="29">
        <v>6.2127675881322258E-2</v>
      </c>
      <c r="BA175" s="29">
        <v>0</v>
      </c>
      <c r="BB175" s="29">
        <v>0</v>
      </c>
      <c r="BC175" s="29">
        <v>0</v>
      </c>
      <c r="BD175" s="29">
        <v>1.942581071841591</v>
      </c>
      <c r="BK175" s="3">
        <v>0</v>
      </c>
      <c r="BL175" s="3">
        <v>12.314682048469539</v>
      </c>
      <c r="BM175" s="3">
        <v>63.157366769037523</v>
      </c>
    </row>
    <row r="176" spans="1:65" ht="15.75" customHeight="1" x14ac:dyDescent="0.25">
      <c r="A176" s="3" t="s">
        <v>1008</v>
      </c>
      <c r="B176" s="3" t="s">
        <v>900</v>
      </c>
      <c r="C176" s="3" t="s">
        <v>987</v>
      </c>
      <c r="D176" s="27" t="s">
        <v>900</v>
      </c>
      <c r="E176" s="27" t="s">
        <v>989</v>
      </c>
      <c r="F176" s="31">
        <v>1981</v>
      </c>
      <c r="G176" s="31">
        <v>1981</v>
      </c>
      <c r="H176" s="31">
        <v>291</v>
      </c>
      <c r="I176" s="27">
        <v>0</v>
      </c>
      <c r="J176" s="27">
        <v>24.949999809265151</v>
      </c>
      <c r="L176" s="27">
        <v>0</v>
      </c>
      <c r="P176" s="29">
        <v>0</v>
      </c>
      <c r="AB176" s="27">
        <v>200</v>
      </c>
      <c r="AC176" s="27">
        <v>0</v>
      </c>
      <c r="AD176" s="27">
        <v>0</v>
      </c>
      <c r="AE176" s="27">
        <v>0</v>
      </c>
      <c r="AF176" s="27">
        <v>4.2130695939393732</v>
      </c>
      <c r="AG176" s="27">
        <v>0.10581512540871739</v>
      </c>
      <c r="AH176" s="27">
        <v>0</v>
      </c>
      <c r="AI176" s="31">
        <v>0</v>
      </c>
      <c r="AJ176" s="29">
        <v>0</v>
      </c>
      <c r="AK176" s="31">
        <v>0</v>
      </c>
      <c r="AL176" s="31">
        <v>7.9000000953674361</v>
      </c>
      <c r="AM176" s="31">
        <v>0</v>
      </c>
      <c r="AN176" s="31">
        <v>0</v>
      </c>
      <c r="AO176" s="31">
        <v>0</v>
      </c>
      <c r="AP176" s="31">
        <v>64.114086405812017</v>
      </c>
      <c r="AQ176" s="31">
        <v>0</v>
      </c>
      <c r="AR176" s="29">
        <v>0</v>
      </c>
      <c r="AS176" s="29">
        <v>0</v>
      </c>
      <c r="AT176" s="29">
        <v>0</v>
      </c>
      <c r="AU176" s="29">
        <v>0</v>
      </c>
      <c r="AV176" s="29">
        <v>0</v>
      </c>
      <c r="AW176" s="29">
        <v>0</v>
      </c>
      <c r="AX176" s="29">
        <v>0</v>
      </c>
      <c r="AY176" s="29">
        <v>0</v>
      </c>
      <c r="AZ176" s="29">
        <v>6.2127675881322258E-2</v>
      </c>
      <c r="BA176" s="29">
        <v>0</v>
      </c>
      <c r="BB176" s="29">
        <v>0</v>
      </c>
      <c r="BC176" s="29">
        <v>0</v>
      </c>
      <c r="BD176" s="29">
        <v>1.942581071841591</v>
      </c>
      <c r="BK176" s="3">
        <v>0</v>
      </c>
      <c r="BL176" s="3">
        <v>12.310277433928677</v>
      </c>
      <c r="BM176" s="3">
        <v>63.055956258169665</v>
      </c>
    </row>
    <row r="177" spans="1:65" ht="15.75" customHeight="1" x14ac:dyDescent="0.25">
      <c r="A177" s="3" t="s">
        <v>1008</v>
      </c>
      <c r="B177" s="3" t="s">
        <v>900</v>
      </c>
      <c r="C177" s="3" t="s">
        <v>987</v>
      </c>
      <c r="D177" s="27" t="s">
        <v>900</v>
      </c>
      <c r="E177" s="27" t="s">
        <v>989</v>
      </c>
      <c r="F177" s="31">
        <v>1981</v>
      </c>
      <c r="G177" s="31">
        <v>1981</v>
      </c>
      <c r="H177" s="31">
        <v>292</v>
      </c>
      <c r="I177" s="27">
        <v>0</v>
      </c>
      <c r="J177" s="27">
        <v>23.3499999046326</v>
      </c>
      <c r="L177" s="27">
        <v>0</v>
      </c>
      <c r="P177" s="29">
        <v>0</v>
      </c>
      <c r="AB177" s="27">
        <v>200</v>
      </c>
      <c r="AC177" s="27">
        <v>0</v>
      </c>
      <c r="AD177" s="27">
        <v>0</v>
      </c>
      <c r="AE177" s="27">
        <v>0</v>
      </c>
      <c r="AF177" s="27">
        <v>4.1749687585319615</v>
      </c>
      <c r="AG177" s="27">
        <v>0.10456071598117371</v>
      </c>
      <c r="AH177" s="27">
        <v>0</v>
      </c>
      <c r="AI177" s="31">
        <v>0</v>
      </c>
      <c r="AJ177" s="29">
        <v>0</v>
      </c>
      <c r="AK177" s="31">
        <v>0</v>
      </c>
      <c r="AL177" s="31">
        <v>7.9000000953674361</v>
      </c>
      <c r="AM177" s="31">
        <v>0</v>
      </c>
      <c r="AN177" s="31">
        <v>0</v>
      </c>
      <c r="AO177" s="31">
        <v>0</v>
      </c>
      <c r="AP177" s="31">
        <v>64.218647121793197</v>
      </c>
      <c r="AQ177" s="31">
        <v>0</v>
      </c>
      <c r="AR177" s="29">
        <v>0</v>
      </c>
      <c r="AS177" s="29">
        <v>0</v>
      </c>
      <c r="AT177" s="29">
        <v>0</v>
      </c>
      <c r="AU177" s="29">
        <v>0</v>
      </c>
      <c r="AV177" s="29">
        <v>0</v>
      </c>
      <c r="AW177" s="29">
        <v>0</v>
      </c>
      <c r="AX177" s="29">
        <v>0</v>
      </c>
      <c r="AY177" s="29">
        <v>0</v>
      </c>
      <c r="AZ177" s="29">
        <v>6.2127675881322258E-2</v>
      </c>
      <c r="BA177" s="29">
        <v>0</v>
      </c>
      <c r="BB177" s="29">
        <v>0</v>
      </c>
      <c r="BC177" s="29">
        <v>0</v>
      </c>
      <c r="BD177" s="29">
        <v>1.942581071841591</v>
      </c>
      <c r="BK177" s="3">
        <v>0</v>
      </c>
      <c r="BL177" s="3">
        <v>12.307194203750074</v>
      </c>
      <c r="BM177" s="3">
        <v>62.954478772367096</v>
      </c>
    </row>
    <row r="178" spans="1:65" ht="15.75" customHeight="1" x14ac:dyDescent="0.25">
      <c r="A178" s="3" t="s">
        <v>1008</v>
      </c>
      <c r="B178" s="3" t="s">
        <v>900</v>
      </c>
      <c r="C178" s="3" t="s">
        <v>987</v>
      </c>
      <c r="D178" s="27" t="s">
        <v>900</v>
      </c>
      <c r="E178" s="27" t="s">
        <v>989</v>
      </c>
      <c r="F178" s="31">
        <v>1981</v>
      </c>
      <c r="G178" s="31">
        <v>1981</v>
      </c>
      <c r="H178" s="31">
        <v>293</v>
      </c>
      <c r="I178" s="27">
        <v>0</v>
      </c>
      <c r="J178" s="27">
        <v>22.549999713897702</v>
      </c>
      <c r="L178" s="27">
        <v>0</v>
      </c>
      <c r="P178" s="29">
        <v>0</v>
      </c>
      <c r="AB178" s="27">
        <v>200</v>
      </c>
      <c r="AC178" s="27">
        <v>0.60000002384185802</v>
      </c>
      <c r="AD178" s="27">
        <v>0</v>
      </c>
      <c r="AE178" s="27">
        <v>0</v>
      </c>
      <c r="AF178" s="27">
        <v>3.8333030028007467</v>
      </c>
      <c r="AG178" s="27">
        <v>9.5732993468702884E-2</v>
      </c>
      <c r="AH178" s="27">
        <v>0</v>
      </c>
      <c r="AI178" s="31">
        <v>0</v>
      </c>
      <c r="AJ178" s="29">
        <v>0</v>
      </c>
      <c r="AK178" s="31">
        <v>0</v>
      </c>
      <c r="AL178" s="31">
        <v>8.5000001192092949</v>
      </c>
      <c r="AM178" s="31">
        <v>0</v>
      </c>
      <c r="AN178" s="31">
        <v>0</v>
      </c>
      <c r="AO178" s="31">
        <v>0</v>
      </c>
      <c r="AP178" s="31">
        <v>64.314380115261898</v>
      </c>
      <c r="AQ178" s="31">
        <v>0</v>
      </c>
      <c r="AR178" s="29">
        <v>0</v>
      </c>
      <c r="AS178" s="29">
        <v>0</v>
      </c>
      <c r="AT178" s="29">
        <v>0</v>
      </c>
      <c r="AU178" s="29">
        <v>0</v>
      </c>
      <c r="AV178" s="29">
        <v>0</v>
      </c>
      <c r="AW178" s="29">
        <v>0</v>
      </c>
      <c r="AX178" s="29">
        <v>0</v>
      </c>
      <c r="AY178" s="29">
        <v>0</v>
      </c>
      <c r="AZ178" s="29">
        <v>6.2127675881322258E-2</v>
      </c>
      <c r="BA178" s="29">
        <v>0</v>
      </c>
      <c r="BB178" s="29">
        <v>0</v>
      </c>
      <c r="BC178" s="29">
        <v>0</v>
      </c>
      <c r="BD178" s="29">
        <v>1.942581071841591</v>
      </c>
      <c r="BK178" s="3">
        <v>0</v>
      </c>
      <c r="BL178" s="3">
        <v>12.90503596646691</v>
      </c>
      <c r="BM178" s="3">
        <v>62.860904040023414</v>
      </c>
    </row>
    <row r="179" spans="1:65" ht="15.75" customHeight="1" x14ac:dyDescent="0.25">
      <c r="A179" s="3" t="s">
        <v>1008</v>
      </c>
      <c r="B179" s="3" t="s">
        <v>900</v>
      </c>
      <c r="C179" s="3" t="s">
        <v>987</v>
      </c>
      <c r="D179" s="27" t="s">
        <v>900</v>
      </c>
      <c r="E179" s="27" t="s">
        <v>989</v>
      </c>
      <c r="F179" s="31">
        <v>1981</v>
      </c>
      <c r="G179" s="31">
        <v>1981</v>
      </c>
      <c r="H179" s="31">
        <v>294</v>
      </c>
      <c r="I179" s="27">
        <v>0</v>
      </c>
      <c r="J179" s="27">
        <v>23.800000190734899</v>
      </c>
      <c r="L179" s="27">
        <v>0</v>
      </c>
      <c r="P179" s="29">
        <v>0</v>
      </c>
      <c r="AB179" s="27">
        <v>200</v>
      </c>
      <c r="AC179" s="27">
        <v>0</v>
      </c>
      <c r="AD179" s="27">
        <v>0</v>
      </c>
      <c r="AE179" s="27">
        <v>0</v>
      </c>
      <c r="AF179" s="27">
        <v>2.3840990007609615</v>
      </c>
      <c r="AG179" s="27">
        <v>5.9373525733560438E-2</v>
      </c>
      <c r="AH179" s="27">
        <v>0</v>
      </c>
      <c r="AI179" s="31">
        <v>0</v>
      </c>
      <c r="AJ179" s="29">
        <v>0</v>
      </c>
      <c r="AK179" s="31">
        <v>0</v>
      </c>
      <c r="AL179" s="31">
        <v>8.5000001192092949</v>
      </c>
      <c r="AM179" s="31">
        <v>0</v>
      </c>
      <c r="AN179" s="31">
        <v>0</v>
      </c>
      <c r="AO179" s="31">
        <v>0</v>
      </c>
      <c r="AP179" s="31">
        <v>64.37375364099546</v>
      </c>
      <c r="AQ179" s="31">
        <v>0</v>
      </c>
      <c r="AR179" s="29">
        <v>0</v>
      </c>
      <c r="AS179" s="29">
        <v>0</v>
      </c>
      <c r="AT179" s="29">
        <v>0</v>
      </c>
      <c r="AU179" s="29">
        <v>0</v>
      </c>
      <c r="AV179" s="29">
        <v>0</v>
      </c>
      <c r="AW179" s="29">
        <v>0</v>
      </c>
      <c r="AX179" s="29">
        <v>0</v>
      </c>
      <c r="AY179" s="29">
        <v>0</v>
      </c>
      <c r="AZ179" s="29">
        <v>6.2127675881322258E-2</v>
      </c>
      <c r="BA179" s="29">
        <v>0</v>
      </c>
      <c r="BB179" s="29">
        <v>0</v>
      </c>
      <c r="BC179" s="29">
        <v>0</v>
      </c>
      <c r="BD179" s="29">
        <v>1.942581071841591</v>
      </c>
      <c r="BK179" s="3">
        <v>0</v>
      </c>
      <c r="BL179" s="3">
        <v>12.845662440733349</v>
      </c>
      <c r="BM179" s="3">
        <v>62.860904040023414</v>
      </c>
    </row>
    <row r="180" spans="1:65" ht="15.75" customHeight="1" x14ac:dyDescent="0.25">
      <c r="A180" s="3" t="s">
        <v>1008</v>
      </c>
      <c r="B180" s="3" t="s">
        <v>900</v>
      </c>
      <c r="C180" s="3" t="s">
        <v>987</v>
      </c>
      <c r="D180" s="27" t="s">
        <v>900</v>
      </c>
      <c r="E180" s="27" t="s">
        <v>989</v>
      </c>
      <c r="F180" s="31">
        <v>1981</v>
      </c>
      <c r="G180" s="31">
        <v>1981</v>
      </c>
      <c r="H180" s="31">
        <v>295</v>
      </c>
      <c r="I180" s="27">
        <v>0</v>
      </c>
      <c r="J180" s="27">
        <v>22.049999237060501</v>
      </c>
      <c r="L180" s="27">
        <v>0</v>
      </c>
      <c r="P180" s="29">
        <v>0</v>
      </c>
      <c r="AB180" s="27">
        <v>200</v>
      </c>
      <c r="AC180" s="27">
        <v>0</v>
      </c>
      <c r="AD180" s="27">
        <v>0</v>
      </c>
      <c r="AE180" s="27">
        <v>0</v>
      </c>
      <c r="AF180" s="27">
        <v>3.32230354477865</v>
      </c>
      <c r="AG180" s="27">
        <v>8.2507749615361073E-2</v>
      </c>
      <c r="AH180" s="27">
        <v>0</v>
      </c>
      <c r="AI180" s="31">
        <v>0</v>
      </c>
      <c r="AJ180" s="29">
        <v>0</v>
      </c>
      <c r="AK180" s="31">
        <v>0</v>
      </c>
      <c r="AL180" s="31">
        <v>8.5000001192092949</v>
      </c>
      <c r="AM180" s="31">
        <v>0</v>
      </c>
      <c r="AN180" s="31">
        <v>0</v>
      </c>
      <c r="AO180" s="31">
        <v>0</v>
      </c>
      <c r="AP180" s="31">
        <v>64.45626139061082</v>
      </c>
      <c r="AQ180" s="31">
        <v>0</v>
      </c>
      <c r="AR180" s="29">
        <v>0</v>
      </c>
      <c r="AS180" s="29">
        <v>0</v>
      </c>
      <c r="AT180" s="29">
        <v>0</v>
      </c>
      <c r="AU180" s="29">
        <v>0</v>
      </c>
      <c r="AV180" s="29">
        <v>0</v>
      </c>
      <c r="AW180" s="29">
        <v>0</v>
      </c>
      <c r="AX180" s="29">
        <v>0</v>
      </c>
      <c r="AY180" s="29">
        <v>0</v>
      </c>
      <c r="AZ180" s="29">
        <v>6.2127675881322258E-2</v>
      </c>
      <c r="BA180" s="29">
        <v>0</v>
      </c>
      <c r="BB180" s="29">
        <v>0</v>
      </c>
      <c r="BC180" s="29">
        <v>0</v>
      </c>
      <c r="BD180" s="29">
        <v>1.942581071841591</v>
      </c>
      <c r="BK180" s="3">
        <v>0</v>
      </c>
      <c r="BL180" s="3">
        <v>12.763154691117988</v>
      </c>
      <c r="BM180" s="3">
        <v>62.860904040023414</v>
      </c>
    </row>
    <row r="181" spans="1:65" ht="15.75" customHeight="1" x14ac:dyDescent="0.25">
      <c r="A181" s="3" t="s">
        <v>1008</v>
      </c>
      <c r="B181" s="3" t="s">
        <v>900</v>
      </c>
      <c r="C181" s="3" t="s">
        <v>987</v>
      </c>
      <c r="D181" s="27" t="s">
        <v>900</v>
      </c>
      <c r="E181" s="27" t="s">
        <v>989</v>
      </c>
      <c r="F181" s="31">
        <v>1981</v>
      </c>
      <c r="G181" s="31">
        <v>1981</v>
      </c>
      <c r="H181" s="31">
        <v>296</v>
      </c>
      <c r="I181" s="27">
        <v>0</v>
      </c>
      <c r="J181" s="27">
        <v>20.050000190734849</v>
      </c>
      <c r="L181" s="27">
        <v>0</v>
      </c>
      <c r="P181" s="29">
        <v>0</v>
      </c>
      <c r="AB181" s="27">
        <v>200</v>
      </c>
      <c r="AC181" s="27">
        <v>0.20000000298023199</v>
      </c>
      <c r="AD181" s="27">
        <v>0</v>
      </c>
      <c r="AE181" s="27">
        <v>0</v>
      </c>
      <c r="AF181" s="27">
        <v>2.8251539341306957</v>
      </c>
      <c r="AG181" s="27">
        <v>6.9966663994797701E-2</v>
      </c>
      <c r="AH181" s="27">
        <v>0</v>
      </c>
      <c r="AI181" s="31">
        <v>0</v>
      </c>
      <c r="AJ181" s="29">
        <v>0</v>
      </c>
      <c r="AK181" s="31">
        <v>0</v>
      </c>
      <c r="AL181" s="31">
        <v>8.7000001221895271</v>
      </c>
      <c r="AM181" s="31">
        <v>0</v>
      </c>
      <c r="AN181" s="31">
        <v>0</v>
      </c>
      <c r="AO181" s="31">
        <v>0</v>
      </c>
      <c r="AP181" s="31">
        <v>64.52622805460561</v>
      </c>
      <c r="AQ181" s="31">
        <v>0</v>
      </c>
      <c r="AR181" s="29">
        <v>0</v>
      </c>
      <c r="AS181" s="29">
        <v>0</v>
      </c>
      <c r="AT181" s="29">
        <v>0</v>
      </c>
      <c r="AU181" s="29">
        <v>0</v>
      </c>
      <c r="AV181" s="29">
        <v>0</v>
      </c>
      <c r="AW181" s="29">
        <v>0</v>
      </c>
      <c r="AX181" s="29">
        <v>0</v>
      </c>
      <c r="AY181" s="29">
        <v>0</v>
      </c>
      <c r="AZ181" s="29">
        <v>6.2127675881322258E-2</v>
      </c>
      <c r="BA181" s="29">
        <v>0</v>
      </c>
      <c r="BB181" s="29">
        <v>0</v>
      </c>
      <c r="BC181" s="29">
        <v>0</v>
      </c>
      <c r="BD181" s="29">
        <v>1.942581071841591</v>
      </c>
      <c r="BK181" s="3">
        <v>0</v>
      </c>
      <c r="BL181" s="3">
        <v>12.893188030103422</v>
      </c>
      <c r="BM181" s="3">
        <v>62.860904040023414</v>
      </c>
    </row>
    <row r="182" spans="1:65" ht="15.75" customHeight="1" x14ac:dyDescent="0.25">
      <c r="A182" s="3" t="s">
        <v>1008</v>
      </c>
      <c r="B182" s="3" t="s">
        <v>900</v>
      </c>
      <c r="C182" s="3" t="s">
        <v>987</v>
      </c>
      <c r="D182" s="27" t="s">
        <v>900</v>
      </c>
      <c r="E182" s="27" t="s">
        <v>989</v>
      </c>
      <c r="F182" s="31">
        <v>1981</v>
      </c>
      <c r="G182" s="31">
        <v>1981</v>
      </c>
      <c r="H182" s="31">
        <v>297</v>
      </c>
      <c r="I182" s="27">
        <v>0</v>
      </c>
      <c r="J182" s="27">
        <v>20.300000190734849</v>
      </c>
      <c r="L182" s="27">
        <v>0</v>
      </c>
      <c r="P182" s="29">
        <v>0</v>
      </c>
      <c r="AB182" s="27">
        <v>200</v>
      </c>
      <c r="AC182" s="27">
        <v>0.40000000596046398</v>
      </c>
      <c r="AD182" s="27">
        <v>0</v>
      </c>
      <c r="AE182" s="27">
        <v>0</v>
      </c>
      <c r="AF182" s="27">
        <v>3.7454444972814041</v>
      </c>
      <c r="AG182" s="27">
        <v>9.250233608585344E-2</v>
      </c>
      <c r="AH182" s="27">
        <v>0</v>
      </c>
      <c r="AI182" s="31">
        <v>0</v>
      </c>
      <c r="AJ182" s="29">
        <v>0</v>
      </c>
      <c r="AK182" s="31">
        <v>0</v>
      </c>
      <c r="AL182" s="31">
        <v>9.1000001281499916</v>
      </c>
      <c r="AM182" s="31">
        <v>0</v>
      </c>
      <c r="AN182" s="31">
        <v>0</v>
      </c>
      <c r="AO182" s="31">
        <v>0</v>
      </c>
      <c r="AP182" s="31">
        <v>64.618730390691468</v>
      </c>
      <c r="AQ182" s="31">
        <v>0</v>
      </c>
      <c r="AR182" s="29">
        <v>0</v>
      </c>
      <c r="AS182" s="29">
        <v>0</v>
      </c>
      <c r="AT182" s="29">
        <v>0</v>
      </c>
      <c r="AU182" s="29">
        <v>0</v>
      </c>
      <c r="AV182" s="29">
        <v>0</v>
      </c>
      <c r="AW182" s="29">
        <v>0</v>
      </c>
      <c r="AX182" s="29">
        <v>0</v>
      </c>
      <c r="AY182" s="29">
        <v>0</v>
      </c>
      <c r="AZ182" s="29">
        <v>6.2127675881322258E-2</v>
      </c>
      <c r="BA182" s="29">
        <v>0</v>
      </c>
      <c r="BB182" s="29">
        <v>0</v>
      </c>
      <c r="BC182" s="29">
        <v>0</v>
      </c>
      <c r="BD182" s="29">
        <v>1.942581071841591</v>
      </c>
      <c r="BK182" s="3">
        <v>0</v>
      </c>
      <c r="BL182" s="3">
        <v>13.200685699978033</v>
      </c>
      <c r="BM182" s="3">
        <v>62.860904040023414</v>
      </c>
    </row>
    <row r="183" spans="1:65" ht="15.75" customHeight="1" x14ac:dyDescent="0.25">
      <c r="A183" s="3" t="s">
        <v>1008</v>
      </c>
      <c r="B183" s="3" t="s">
        <v>900</v>
      </c>
      <c r="C183" s="3" t="s">
        <v>987</v>
      </c>
      <c r="D183" s="27" t="s">
        <v>900</v>
      </c>
      <c r="E183" s="27" t="s">
        <v>989</v>
      </c>
      <c r="F183" s="31">
        <v>1981</v>
      </c>
      <c r="G183" s="31">
        <v>1981</v>
      </c>
      <c r="H183" s="31">
        <v>298</v>
      </c>
      <c r="I183" s="27">
        <v>0</v>
      </c>
      <c r="J183" s="27">
        <v>18.25</v>
      </c>
      <c r="L183" s="27">
        <v>0</v>
      </c>
      <c r="P183" s="29">
        <v>0</v>
      </c>
      <c r="AB183" s="27">
        <v>200</v>
      </c>
      <c r="AC183" s="27">
        <v>2.0999999046325701</v>
      </c>
      <c r="AD183" s="27">
        <v>0</v>
      </c>
      <c r="AE183" s="27">
        <v>0</v>
      </c>
      <c r="AF183" s="27">
        <v>3.5055290752832637</v>
      </c>
      <c r="AG183" s="27">
        <v>8.6339550692963299E-2</v>
      </c>
      <c r="AH183" s="27">
        <v>0</v>
      </c>
      <c r="AI183" s="31">
        <v>0</v>
      </c>
      <c r="AJ183" s="29">
        <v>0</v>
      </c>
      <c r="AK183" s="31">
        <v>0</v>
      </c>
      <c r="AL183" s="31">
        <v>11.200000032782562</v>
      </c>
      <c r="AM183" s="31">
        <v>0</v>
      </c>
      <c r="AN183" s="31">
        <v>0</v>
      </c>
      <c r="AO183" s="31">
        <v>0</v>
      </c>
      <c r="AP183" s="31">
        <v>64.705069941384437</v>
      </c>
      <c r="AQ183" s="31">
        <v>0</v>
      </c>
      <c r="AR183" s="29">
        <v>0</v>
      </c>
      <c r="AS183" s="29">
        <v>0</v>
      </c>
      <c r="AT183" s="29">
        <v>0</v>
      </c>
      <c r="AU183" s="29">
        <v>0</v>
      </c>
      <c r="AV183" s="29">
        <v>0</v>
      </c>
      <c r="AW183" s="29">
        <v>0</v>
      </c>
      <c r="AX183" s="29">
        <v>0</v>
      </c>
      <c r="AY183" s="29">
        <v>0</v>
      </c>
      <c r="AZ183" s="29">
        <v>6.2127675881322258E-2</v>
      </c>
      <c r="BA183" s="29">
        <v>0</v>
      </c>
      <c r="BB183" s="29">
        <v>0</v>
      </c>
      <c r="BC183" s="29">
        <v>0</v>
      </c>
      <c r="BD183" s="29">
        <v>1.942581071841591</v>
      </c>
      <c r="BK183" s="3">
        <v>0</v>
      </c>
      <c r="BL183" s="3">
        <v>15.214346053917639</v>
      </c>
      <c r="BM183" s="3">
        <v>62.860904040023414</v>
      </c>
    </row>
    <row r="184" spans="1:65" ht="15.75" customHeight="1" x14ac:dyDescent="0.25">
      <c r="A184" s="3" t="s">
        <v>1008</v>
      </c>
      <c r="B184" s="3" t="s">
        <v>900</v>
      </c>
      <c r="C184" s="3" t="s">
        <v>987</v>
      </c>
      <c r="D184" s="27" t="s">
        <v>900</v>
      </c>
      <c r="E184" s="27" t="s">
        <v>989</v>
      </c>
      <c r="F184" s="31">
        <v>1981</v>
      </c>
      <c r="G184" s="31">
        <v>1981</v>
      </c>
      <c r="H184" s="31">
        <v>299</v>
      </c>
      <c r="I184" s="27">
        <v>0</v>
      </c>
      <c r="J184" s="27">
        <v>18.449999809265151</v>
      </c>
      <c r="L184" s="27">
        <v>0</v>
      </c>
      <c r="P184" s="29">
        <v>0</v>
      </c>
      <c r="AB184" s="27">
        <v>200</v>
      </c>
      <c r="AC184" s="27">
        <v>0</v>
      </c>
      <c r="AD184" s="27">
        <v>0</v>
      </c>
      <c r="AE184" s="27">
        <v>0</v>
      </c>
      <c r="AF184" s="27">
        <v>3.7511380225197981</v>
      </c>
      <c r="AG184" s="27">
        <v>9.2136699423716398E-2</v>
      </c>
      <c r="AH184" s="27">
        <v>0</v>
      </c>
      <c r="AI184" s="31">
        <v>0</v>
      </c>
      <c r="AJ184" s="29">
        <v>0</v>
      </c>
      <c r="AK184" s="31">
        <v>0</v>
      </c>
      <c r="AL184" s="31">
        <v>11.200000032782562</v>
      </c>
      <c r="AM184" s="31">
        <v>0</v>
      </c>
      <c r="AN184" s="31">
        <v>0</v>
      </c>
      <c r="AO184" s="31">
        <v>0</v>
      </c>
      <c r="AP184" s="31">
        <v>64.797206640808156</v>
      </c>
      <c r="AQ184" s="31">
        <v>0</v>
      </c>
      <c r="AR184" s="29">
        <v>0</v>
      </c>
      <c r="AS184" s="29">
        <v>0</v>
      </c>
      <c r="AT184" s="29">
        <v>0</v>
      </c>
      <c r="AU184" s="29">
        <v>0</v>
      </c>
      <c r="AV184" s="29">
        <v>0</v>
      </c>
      <c r="AW184" s="29">
        <v>0</v>
      </c>
      <c r="AX184" s="29">
        <v>0</v>
      </c>
      <c r="AY184" s="29">
        <v>0</v>
      </c>
      <c r="AZ184" s="29">
        <v>6.2127675881322258E-2</v>
      </c>
      <c r="BA184" s="29">
        <v>0</v>
      </c>
      <c r="BB184" s="29">
        <v>0</v>
      </c>
      <c r="BC184" s="29">
        <v>0</v>
      </c>
      <c r="BD184" s="29">
        <v>1.942581071841591</v>
      </c>
      <c r="BK184" s="3">
        <v>0</v>
      </c>
      <c r="BL184" s="3">
        <v>15.122209354493922</v>
      </c>
      <c r="BM184" s="3">
        <v>62.860904040023414</v>
      </c>
    </row>
    <row r="185" spans="1:65" ht="15.75" customHeight="1" x14ac:dyDescent="0.25">
      <c r="A185" s="3" t="s">
        <v>1008</v>
      </c>
      <c r="B185" s="3" t="s">
        <v>900</v>
      </c>
      <c r="C185" s="3" t="s">
        <v>987</v>
      </c>
      <c r="D185" s="27" t="s">
        <v>900</v>
      </c>
      <c r="E185" s="27" t="s">
        <v>989</v>
      </c>
      <c r="F185" s="31">
        <v>1981</v>
      </c>
      <c r="G185" s="31">
        <v>1981</v>
      </c>
      <c r="H185" s="31">
        <v>300</v>
      </c>
      <c r="I185" s="27">
        <v>0</v>
      </c>
      <c r="J185" s="27">
        <v>19.5999999046326</v>
      </c>
      <c r="L185" s="27">
        <v>0</v>
      </c>
      <c r="P185" s="29">
        <v>0</v>
      </c>
      <c r="AB185" s="27">
        <v>200</v>
      </c>
      <c r="AC185" s="27">
        <v>0</v>
      </c>
      <c r="AD185" s="27">
        <v>0</v>
      </c>
      <c r="AE185" s="27">
        <v>0</v>
      </c>
      <c r="AF185" s="27">
        <v>4.1402668007176553</v>
      </c>
      <c r="AG185" s="27">
        <v>0.10141863924862819</v>
      </c>
      <c r="AH185" s="27">
        <v>0</v>
      </c>
      <c r="AI185" s="31">
        <v>0</v>
      </c>
      <c r="AJ185" s="29">
        <v>0</v>
      </c>
      <c r="AK185" s="31">
        <v>0</v>
      </c>
      <c r="AL185" s="31">
        <v>11.200000032782562</v>
      </c>
      <c r="AM185" s="31">
        <v>0</v>
      </c>
      <c r="AN185" s="31">
        <v>0</v>
      </c>
      <c r="AO185" s="31">
        <v>0</v>
      </c>
      <c r="AP185" s="31">
        <v>64.898625280056791</v>
      </c>
      <c r="AQ185" s="31">
        <v>0</v>
      </c>
      <c r="AR185" s="29">
        <v>0</v>
      </c>
      <c r="AS185" s="29">
        <v>0</v>
      </c>
      <c r="AT185" s="29">
        <v>0</v>
      </c>
      <c r="AU185" s="29">
        <v>0</v>
      </c>
      <c r="AV185" s="29">
        <v>0</v>
      </c>
      <c r="AW185" s="29">
        <v>0</v>
      </c>
      <c r="AX185" s="29">
        <v>0</v>
      </c>
      <c r="AY185" s="29">
        <v>0</v>
      </c>
      <c r="AZ185" s="29">
        <v>6.2127675881322258E-2</v>
      </c>
      <c r="BA185" s="29">
        <v>0</v>
      </c>
      <c r="BB185" s="29">
        <v>0</v>
      </c>
      <c r="BC185" s="29">
        <v>0</v>
      </c>
      <c r="BD185" s="29">
        <v>1.942581071841591</v>
      </c>
      <c r="BK185" s="3">
        <v>0</v>
      </c>
      <c r="BL185" s="3">
        <v>15.020790715245294</v>
      </c>
      <c r="BM185" s="3">
        <v>62.860904040023414</v>
      </c>
    </row>
    <row r="186" spans="1:65" ht="15.75" customHeight="1" x14ac:dyDescent="0.25">
      <c r="A186" s="3" t="s">
        <v>1008</v>
      </c>
      <c r="B186" s="3" t="s">
        <v>900</v>
      </c>
      <c r="C186" s="3" t="s">
        <v>987</v>
      </c>
      <c r="D186" s="27" t="s">
        <v>900</v>
      </c>
      <c r="E186" s="27" t="s">
        <v>989</v>
      </c>
      <c r="F186" s="31">
        <v>1981</v>
      </c>
      <c r="G186" s="31">
        <v>1981</v>
      </c>
      <c r="H186" s="31">
        <v>301</v>
      </c>
      <c r="I186" s="27">
        <v>0</v>
      </c>
      <c r="J186" s="27">
        <v>19.199999809265101</v>
      </c>
      <c r="L186" s="27">
        <v>0</v>
      </c>
      <c r="P186" s="29">
        <v>0</v>
      </c>
      <c r="AB186" s="27">
        <v>200</v>
      </c>
      <c r="AC186" s="27">
        <v>0</v>
      </c>
      <c r="AD186" s="27">
        <v>0</v>
      </c>
      <c r="AE186" s="27">
        <v>0</v>
      </c>
      <c r="AF186" s="27">
        <v>3.6389454243087056</v>
      </c>
      <c r="AG186" s="27">
        <v>8.8897841739277089E-2</v>
      </c>
      <c r="AH186" s="27">
        <v>0</v>
      </c>
      <c r="AI186" s="31">
        <v>0</v>
      </c>
      <c r="AJ186" s="29">
        <v>0</v>
      </c>
      <c r="AK186" s="31">
        <v>0</v>
      </c>
      <c r="AL186" s="31">
        <v>11.200000032782562</v>
      </c>
      <c r="AM186" s="31">
        <v>0</v>
      </c>
      <c r="AN186" s="31">
        <v>0</v>
      </c>
      <c r="AO186" s="31">
        <v>0</v>
      </c>
      <c r="AP186" s="31">
        <v>64.987523121796073</v>
      </c>
      <c r="AQ186" s="31">
        <v>0</v>
      </c>
      <c r="AR186" s="29">
        <v>0</v>
      </c>
      <c r="AS186" s="29">
        <v>0</v>
      </c>
      <c r="AT186" s="29">
        <v>0</v>
      </c>
      <c r="AU186" s="29">
        <v>0</v>
      </c>
      <c r="AV186" s="29">
        <v>0</v>
      </c>
      <c r="AW186" s="29">
        <v>0</v>
      </c>
      <c r="AX186" s="29">
        <v>0</v>
      </c>
      <c r="AY186" s="29">
        <v>0</v>
      </c>
      <c r="AZ186" s="29">
        <v>6.2127675881322258E-2</v>
      </c>
      <c r="BA186" s="29">
        <v>0</v>
      </c>
      <c r="BB186" s="29">
        <v>0</v>
      </c>
      <c r="BC186" s="29">
        <v>0</v>
      </c>
      <c r="BD186" s="29">
        <v>1.942581071841591</v>
      </c>
      <c r="BK186" s="3">
        <v>0</v>
      </c>
      <c r="BL186" s="3">
        <v>14.931892873506017</v>
      </c>
      <c r="BM186" s="3">
        <v>62.860904040023414</v>
      </c>
    </row>
    <row r="187" spans="1:65" ht="15.75" customHeight="1" x14ac:dyDescent="0.25">
      <c r="A187" s="3" t="s">
        <v>1008</v>
      </c>
      <c r="B187" s="3" t="s">
        <v>900</v>
      </c>
      <c r="C187" s="3" t="s">
        <v>987</v>
      </c>
      <c r="D187" s="27" t="s">
        <v>900</v>
      </c>
      <c r="E187" s="27" t="s">
        <v>989</v>
      </c>
      <c r="F187" s="31">
        <v>1981</v>
      </c>
      <c r="G187" s="31">
        <v>1981</v>
      </c>
      <c r="H187" s="31">
        <v>302</v>
      </c>
      <c r="I187" s="27">
        <v>0</v>
      </c>
      <c r="J187" s="27">
        <v>18</v>
      </c>
      <c r="L187" s="27">
        <v>0</v>
      </c>
      <c r="P187" s="29">
        <v>0</v>
      </c>
      <c r="AB187" s="27">
        <v>200</v>
      </c>
      <c r="AC187" s="27">
        <v>0</v>
      </c>
      <c r="AD187" s="27">
        <v>0</v>
      </c>
      <c r="AE187" s="27">
        <v>0</v>
      </c>
      <c r="AF187" s="27">
        <v>3.7465858358036006</v>
      </c>
      <c r="AG187" s="27">
        <v>9.1281737207942221E-2</v>
      </c>
      <c r="AH187" s="27">
        <v>0</v>
      </c>
      <c r="AI187" s="31">
        <v>0</v>
      </c>
      <c r="AJ187" s="29">
        <v>0</v>
      </c>
      <c r="AK187" s="31">
        <v>0</v>
      </c>
      <c r="AL187" s="31">
        <v>11.200000032782562</v>
      </c>
      <c r="AM187" s="31">
        <v>0</v>
      </c>
      <c r="AN187" s="31">
        <v>0</v>
      </c>
      <c r="AO187" s="31">
        <v>0</v>
      </c>
      <c r="AP187" s="31">
        <v>65.078804859004009</v>
      </c>
      <c r="AQ187" s="31">
        <v>0</v>
      </c>
      <c r="AR187" s="29">
        <v>0</v>
      </c>
      <c r="AS187" s="29">
        <v>0</v>
      </c>
      <c r="AT187" s="29">
        <v>0</v>
      </c>
      <c r="AU187" s="29">
        <v>0</v>
      </c>
      <c r="AV187" s="29">
        <v>0</v>
      </c>
      <c r="AW187" s="29">
        <v>0</v>
      </c>
      <c r="AX187" s="29">
        <v>0</v>
      </c>
      <c r="AY187" s="29">
        <v>0</v>
      </c>
      <c r="AZ187" s="29">
        <v>6.2127675881322258E-2</v>
      </c>
      <c r="BA187" s="29">
        <v>0</v>
      </c>
      <c r="BB187" s="29">
        <v>0</v>
      </c>
      <c r="BC187" s="29">
        <v>0</v>
      </c>
      <c r="BD187" s="29">
        <v>1.942581071841591</v>
      </c>
      <c r="BK187" s="3">
        <v>0</v>
      </c>
      <c r="BL187" s="3">
        <v>14.840611136298074</v>
      </c>
      <c r="BM187" s="3">
        <v>62.860904040023414</v>
      </c>
    </row>
    <row r="188" spans="1:65" ht="15.75" customHeight="1" x14ac:dyDescent="0.25">
      <c r="A188" s="3" t="s">
        <v>1008</v>
      </c>
      <c r="B188" s="3" t="s">
        <v>900</v>
      </c>
      <c r="C188" s="3" t="s">
        <v>987</v>
      </c>
      <c r="D188" s="27" t="s">
        <v>900</v>
      </c>
      <c r="E188" s="27" t="s">
        <v>989</v>
      </c>
      <c r="F188" s="31">
        <v>1981</v>
      </c>
      <c r="G188" s="31">
        <v>1981</v>
      </c>
      <c r="H188" s="31">
        <v>303</v>
      </c>
      <c r="I188" s="27">
        <v>0</v>
      </c>
      <c r="J188" s="27">
        <v>18</v>
      </c>
      <c r="L188" s="27">
        <v>0</v>
      </c>
      <c r="P188" s="29">
        <v>0</v>
      </c>
      <c r="AB188" s="27">
        <v>200</v>
      </c>
      <c r="AC188" s="27">
        <v>0</v>
      </c>
      <c r="AD188" s="27">
        <v>0</v>
      </c>
      <c r="AE188" s="27">
        <v>0</v>
      </c>
      <c r="AF188" s="27">
        <v>3.1670452982057866</v>
      </c>
      <c r="AG188" s="27">
        <v>7.6955783252902282E-2</v>
      </c>
      <c r="AH188" s="27">
        <v>0</v>
      </c>
      <c r="AI188" s="31">
        <v>0</v>
      </c>
      <c r="AJ188" s="29">
        <v>0</v>
      </c>
      <c r="AK188" s="31">
        <v>0</v>
      </c>
      <c r="AL188" s="31">
        <v>11.200000032782562</v>
      </c>
      <c r="AM188" s="31">
        <v>0</v>
      </c>
      <c r="AN188" s="31">
        <v>0</v>
      </c>
      <c r="AO188" s="31">
        <v>0</v>
      </c>
      <c r="AP188" s="31">
        <v>65.155760642256908</v>
      </c>
      <c r="AQ188" s="31">
        <v>0</v>
      </c>
      <c r="AR188" s="29">
        <v>0</v>
      </c>
      <c r="AS188" s="29">
        <v>0</v>
      </c>
      <c r="AT188" s="29">
        <v>0</v>
      </c>
      <c r="AU188" s="29">
        <v>0</v>
      </c>
      <c r="AV188" s="29">
        <v>0</v>
      </c>
      <c r="AW188" s="29">
        <v>0</v>
      </c>
      <c r="AX188" s="29">
        <v>0</v>
      </c>
      <c r="AY188" s="29">
        <v>0</v>
      </c>
      <c r="AZ188" s="29">
        <v>6.2127675881322258E-2</v>
      </c>
      <c r="BA188" s="29">
        <v>0</v>
      </c>
      <c r="BB188" s="29">
        <v>0</v>
      </c>
      <c r="BC188" s="29">
        <v>0</v>
      </c>
      <c r="BD188" s="29">
        <v>1.942581071841591</v>
      </c>
      <c r="BK188" s="3">
        <v>0</v>
      </c>
      <c r="BL188" s="3">
        <v>14.763655353045172</v>
      </c>
      <c r="BM188" s="3">
        <v>62.860904040023414</v>
      </c>
    </row>
    <row r="189" spans="1:65" ht="15.75" customHeight="1" x14ac:dyDescent="0.25">
      <c r="A189" s="3" t="s">
        <v>1008</v>
      </c>
      <c r="B189" s="3" t="s">
        <v>900</v>
      </c>
      <c r="C189" s="3" t="s">
        <v>987</v>
      </c>
      <c r="D189" s="27" t="s">
        <v>900</v>
      </c>
      <c r="E189" s="27" t="s">
        <v>989</v>
      </c>
      <c r="F189" s="31">
        <v>1981</v>
      </c>
      <c r="G189" s="31">
        <v>1981</v>
      </c>
      <c r="H189" s="31">
        <v>304</v>
      </c>
      <c r="I189" s="27">
        <v>0</v>
      </c>
      <c r="J189" s="27">
        <v>17.950000286102298</v>
      </c>
      <c r="L189" s="27">
        <v>0</v>
      </c>
      <c r="P189" s="29">
        <v>0</v>
      </c>
      <c r="AB189" s="27">
        <v>200</v>
      </c>
      <c r="AC189" s="27">
        <v>0</v>
      </c>
      <c r="AD189" s="27">
        <v>0</v>
      </c>
      <c r="AE189" s="27">
        <v>0</v>
      </c>
      <c r="AF189" s="27">
        <v>3.3275886607974896</v>
      </c>
      <c r="AG189" s="27">
        <v>8.0642053453642365E-2</v>
      </c>
      <c r="AH189" s="27">
        <v>0</v>
      </c>
      <c r="AI189" s="31">
        <v>0</v>
      </c>
      <c r="AJ189" s="29">
        <v>0</v>
      </c>
      <c r="AK189" s="31">
        <v>0</v>
      </c>
      <c r="AL189" s="31">
        <v>11.200000032782562</v>
      </c>
      <c r="AM189" s="31">
        <v>0</v>
      </c>
      <c r="AN189" s="31">
        <v>0</v>
      </c>
      <c r="AO189" s="31">
        <v>0</v>
      </c>
      <c r="AP189" s="31">
        <v>65.236402695710552</v>
      </c>
      <c r="AQ189" s="31">
        <v>0</v>
      </c>
      <c r="AR189" s="29">
        <v>0</v>
      </c>
      <c r="AS189" s="29">
        <v>0</v>
      </c>
      <c r="AT189" s="29">
        <v>0</v>
      </c>
      <c r="AU189" s="29">
        <v>0</v>
      </c>
      <c r="AV189" s="29">
        <v>0</v>
      </c>
      <c r="AW189" s="29">
        <v>0</v>
      </c>
      <c r="AX189" s="29">
        <v>0</v>
      </c>
      <c r="AY189" s="29">
        <v>0</v>
      </c>
      <c r="AZ189" s="29">
        <v>6.2127675881322258E-2</v>
      </c>
      <c r="BA189" s="29">
        <v>0</v>
      </c>
      <c r="BB189" s="29">
        <v>0</v>
      </c>
      <c r="BC189" s="29">
        <v>0</v>
      </c>
      <c r="BD189" s="29">
        <v>1.942581071841591</v>
      </c>
      <c r="BK189" s="3">
        <v>0</v>
      </c>
      <c r="BL189" s="3">
        <v>14.683013299591529</v>
      </c>
      <c r="BM189" s="3">
        <v>62.860904040023414</v>
      </c>
    </row>
    <row r="190" spans="1:65" ht="15.75" customHeight="1" x14ac:dyDescent="0.25">
      <c r="A190" s="3" t="s">
        <v>1008</v>
      </c>
      <c r="B190" s="3" t="s">
        <v>900</v>
      </c>
      <c r="C190" s="3" t="s">
        <v>987</v>
      </c>
      <c r="D190" s="27" t="s">
        <v>900</v>
      </c>
      <c r="E190" s="27" t="s">
        <v>989</v>
      </c>
      <c r="F190" s="31">
        <v>1981</v>
      </c>
      <c r="G190" s="31">
        <v>1981</v>
      </c>
      <c r="H190" s="31">
        <v>305</v>
      </c>
      <c r="I190" s="27">
        <v>0</v>
      </c>
      <c r="J190" s="27">
        <v>18.6500000953674</v>
      </c>
      <c r="L190" s="27">
        <v>0</v>
      </c>
      <c r="P190" s="29">
        <v>0</v>
      </c>
      <c r="AB190" s="27">
        <v>200</v>
      </c>
      <c r="AC190" s="27">
        <v>0</v>
      </c>
      <c r="AD190" s="27">
        <v>0</v>
      </c>
      <c r="AE190" s="27">
        <v>0</v>
      </c>
      <c r="AF190" s="27">
        <v>2.3412837032389038</v>
      </c>
      <c r="AG190" s="27">
        <v>5.6589655566051521E-2</v>
      </c>
      <c r="AH190" s="27">
        <v>0</v>
      </c>
      <c r="AI190" s="31">
        <v>0</v>
      </c>
      <c r="AJ190" s="29">
        <v>0</v>
      </c>
      <c r="AK190" s="31">
        <v>0</v>
      </c>
      <c r="AL190" s="31">
        <v>11.200000032782562</v>
      </c>
      <c r="AM190" s="31">
        <v>0</v>
      </c>
      <c r="AN190" s="31">
        <v>0</v>
      </c>
      <c r="AO190" s="31">
        <v>0</v>
      </c>
      <c r="AP190" s="31">
        <v>65.292992351276609</v>
      </c>
      <c r="AQ190" s="31">
        <v>0</v>
      </c>
      <c r="AR190" s="29">
        <v>0</v>
      </c>
      <c r="AS190" s="29">
        <v>0</v>
      </c>
      <c r="AT190" s="29">
        <v>0</v>
      </c>
      <c r="AU190" s="29">
        <v>0</v>
      </c>
      <c r="AV190" s="29">
        <v>0</v>
      </c>
      <c r="AW190" s="29">
        <v>0</v>
      </c>
      <c r="AX190" s="29">
        <v>0</v>
      </c>
      <c r="AY190" s="29">
        <v>0</v>
      </c>
      <c r="AZ190" s="29">
        <v>6.2127675881322258E-2</v>
      </c>
      <c r="BA190" s="29">
        <v>0</v>
      </c>
      <c r="BB190" s="29">
        <v>0</v>
      </c>
      <c r="BC190" s="29">
        <v>0</v>
      </c>
      <c r="BD190" s="29">
        <v>1.942581071841591</v>
      </c>
      <c r="BK190" s="3">
        <v>0</v>
      </c>
      <c r="BL190" s="3">
        <v>14.626423644025477</v>
      </c>
      <c r="BM190" s="3">
        <v>62.860904040023414</v>
      </c>
    </row>
    <row r="191" spans="1:65" ht="15.75" customHeight="1" x14ac:dyDescent="0.25">
      <c r="A191" s="3" t="s">
        <v>1008</v>
      </c>
      <c r="B191" s="3" t="s">
        <v>900</v>
      </c>
      <c r="C191" s="3" t="s">
        <v>987</v>
      </c>
      <c r="D191" s="27" t="s">
        <v>900</v>
      </c>
      <c r="E191" s="27" t="s">
        <v>989</v>
      </c>
      <c r="F191" s="31">
        <v>1981</v>
      </c>
      <c r="G191" s="31">
        <v>1981</v>
      </c>
      <c r="H191" s="31">
        <v>306</v>
      </c>
      <c r="I191" s="27">
        <v>0</v>
      </c>
      <c r="J191" s="27">
        <v>17.949999809265151</v>
      </c>
      <c r="L191" s="27">
        <v>0</v>
      </c>
      <c r="P191" s="29">
        <v>0</v>
      </c>
      <c r="AB191" s="27">
        <v>200</v>
      </c>
      <c r="AC191" s="27">
        <v>0</v>
      </c>
      <c r="AD191" s="27">
        <v>0</v>
      </c>
      <c r="AE191" s="27">
        <v>0</v>
      </c>
      <c r="AF191" s="27">
        <v>2.6184243778103133</v>
      </c>
      <c r="AG191" s="27">
        <v>6.312191371768941E-2</v>
      </c>
      <c r="AH191" s="27">
        <v>0</v>
      </c>
      <c r="AI191" s="31">
        <v>0</v>
      </c>
      <c r="AJ191" s="29">
        <v>0</v>
      </c>
      <c r="AK191" s="31">
        <v>0</v>
      </c>
      <c r="AL191" s="31">
        <v>11.200000032782562</v>
      </c>
      <c r="AM191" s="31">
        <v>0</v>
      </c>
      <c r="AN191" s="31">
        <v>0</v>
      </c>
      <c r="AO191" s="31">
        <v>0</v>
      </c>
      <c r="AP191" s="31">
        <v>65.356114264994304</v>
      </c>
      <c r="AQ191" s="31">
        <v>0</v>
      </c>
      <c r="AR191" s="29">
        <v>0</v>
      </c>
      <c r="AS191" s="29">
        <v>0</v>
      </c>
      <c r="AT191" s="29">
        <v>0</v>
      </c>
      <c r="AU191" s="29">
        <v>0</v>
      </c>
      <c r="AV191" s="29">
        <v>0</v>
      </c>
      <c r="AW191" s="29">
        <v>0</v>
      </c>
      <c r="AX191" s="29">
        <v>0</v>
      </c>
      <c r="AY191" s="29">
        <v>0</v>
      </c>
      <c r="AZ191" s="29">
        <v>6.2127675881322258E-2</v>
      </c>
      <c r="BA191" s="29">
        <v>0</v>
      </c>
      <c r="BB191" s="29">
        <v>0</v>
      </c>
      <c r="BC191" s="29">
        <v>0</v>
      </c>
      <c r="BD191" s="29">
        <v>1.942581071841591</v>
      </c>
      <c r="BK191" s="3">
        <v>0</v>
      </c>
      <c r="BL191" s="3">
        <v>14.563301730307789</v>
      </c>
      <c r="BM191" s="3">
        <v>62.860904040023414</v>
      </c>
    </row>
    <row r="192" spans="1:65" ht="15.75" customHeight="1" x14ac:dyDescent="0.25">
      <c r="A192" s="3" t="s">
        <v>1008</v>
      </c>
      <c r="B192" s="3" t="s">
        <v>900</v>
      </c>
      <c r="C192" s="3" t="s">
        <v>987</v>
      </c>
      <c r="D192" s="27" t="s">
        <v>900</v>
      </c>
      <c r="E192" s="27" t="s">
        <v>989</v>
      </c>
      <c r="F192" s="31">
        <v>1981</v>
      </c>
      <c r="G192" s="31">
        <v>1981</v>
      </c>
      <c r="H192" s="31">
        <v>307</v>
      </c>
      <c r="I192" s="27">
        <v>0</v>
      </c>
      <c r="J192" s="27">
        <v>18.300000190734899</v>
      </c>
      <c r="L192" s="27">
        <v>0</v>
      </c>
      <c r="P192" s="29">
        <v>0</v>
      </c>
      <c r="AB192" s="27">
        <v>200</v>
      </c>
      <c r="AC192" s="27">
        <v>0</v>
      </c>
      <c r="AD192" s="27">
        <v>0</v>
      </c>
      <c r="AE192" s="27">
        <v>0</v>
      </c>
      <c r="AF192" s="27">
        <v>2.7689137394036702</v>
      </c>
      <c r="AG192" s="27">
        <v>6.6575225303184937E-2</v>
      </c>
      <c r="AH192" s="27">
        <v>0</v>
      </c>
      <c r="AI192" s="31">
        <v>0</v>
      </c>
      <c r="AJ192" s="29">
        <v>0</v>
      </c>
      <c r="AK192" s="31">
        <v>0</v>
      </c>
      <c r="AL192" s="31">
        <v>11.200000032782562</v>
      </c>
      <c r="AM192" s="31">
        <v>0</v>
      </c>
      <c r="AN192" s="31">
        <v>0</v>
      </c>
      <c r="AO192" s="31">
        <v>0</v>
      </c>
      <c r="AP192" s="31">
        <v>65.422689490297486</v>
      </c>
      <c r="AQ192" s="31">
        <v>0</v>
      </c>
      <c r="AR192" s="29">
        <v>0</v>
      </c>
      <c r="AS192" s="29">
        <v>0</v>
      </c>
      <c r="AT192" s="29">
        <v>0</v>
      </c>
      <c r="AU192" s="29">
        <v>0</v>
      </c>
      <c r="AV192" s="29">
        <v>0</v>
      </c>
      <c r="AW192" s="29">
        <v>0</v>
      </c>
      <c r="AX192" s="29">
        <v>0</v>
      </c>
      <c r="AY192" s="29">
        <v>0</v>
      </c>
      <c r="AZ192" s="29">
        <v>6.2127675881322258E-2</v>
      </c>
      <c r="BA192" s="29">
        <v>0</v>
      </c>
      <c r="BB192" s="29">
        <v>0</v>
      </c>
      <c r="BC192" s="29">
        <v>0</v>
      </c>
      <c r="BD192" s="29">
        <v>1.942581071841591</v>
      </c>
      <c r="BK192" s="3">
        <v>0</v>
      </c>
      <c r="BL192" s="3">
        <v>14.496726505004604</v>
      </c>
      <c r="BM192" s="3">
        <v>62.860904040023414</v>
      </c>
    </row>
    <row r="193" spans="1:65" ht="15.75" customHeight="1" x14ac:dyDescent="0.25">
      <c r="A193" s="3" t="s">
        <v>1008</v>
      </c>
      <c r="B193" s="3" t="s">
        <v>900</v>
      </c>
      <c r="C193" s="3" t="s">
        <v>987</v>
      </c>
      <c r="D193" s="27" t="s">
        <v>900</v>
      </c>
      <c r="E193" s="27" t="s">
        <v>989</v>
      </c>
      <c r="F193" s="31">
        <v>1981</v>
      </c>
      <c r="G193" s="31">
        <v>1981</v>
      </c>
      <c r="H193" s="31">
        <v>308</v>
      </c>
      <c r="I193" s="27">
        <v>0</v>
      </c>
      <c r="J193" s="27">
        <v>17.699999809265101</v>
      </c>
      <c r="L193" s="27">
        <v>0</v>
      </c>
      <c r="P193" s="29">
        <v>0</v>
      </c>
      <c r="AB193" s="27">
        <v>200</v>
      </c>
      <c r="AC193" s="27">
        <v>0</v>
      </c>
      <c r="AD193" s="27">
        <v>0</v>
      </c>
      <c r="AE193" s="27">
        <v>0</v>
      </c>
      <c r="AF193" s="27">
        <v>2.3997634410640631</v>
      </c>
      <c r="AG193" s="27">
        <v>5.7549382731693736E-2</v>
      </c>
      <c r="AH193" s="27">
        <v>0</v>
      </c>
      <c r="AI193" s="31">
        <v>0</v>
      </c>
      <c r="AJ193" s="29">
        <v>0</v>
      </c>
      <c r="AK193" s="31">
        <v>0</v>
      </c>
      <c r="AL193" s="31">
        <v>11.200000032782562</v>
      </c>
      <c r="AM193" s="31">
        <v>0</v>
      </c>
      <c r="AN193" s="31">
        <v>0</v>
      </c>
      <c r="AO193" s="31">
        <v>0</v>
      </c>
      <c r="AP193" s="31">
        <v>65.48023887302918</v>
      </c>
      <c r="AQ193" s="31">
        <v>0</v>
      </c>
      <c r="AR193" s="29">
        <v>0</v>
      </c>
      <c r="AS193" s="29">
        <v>0</v>
      </c>
      <c r="AT193" s="29">
        <v>0</v>
      </c>
      <c r="AU193" s="29">
        <v>0</v>
      </c>
      <c r="AV193" s="29">
        <v>0</v>
      </c>
      <c r="AW193" s="29">
        <v>0</v>
      </c>
      <c r="AX193" s="29">
        <v>0</v>
      </c>
      <c r="AY193" s="29">
        <v>0</v>
      </c>
      <c r="AZ193" s="29">
        <v>6.2127675881322258E-2</v>
      </c>
      <c r="BA193" s="29">
        <v>0</v>
      </c>
      <c r="BB193" s="29">
        <v>0</v>
      </c>
      <c r="BC193" s="29">
        <v>0</v>
      </c>
      <c r="BD193" s="29">
        <v>1.942581071841591</v>
      </c>
      <c r="BK193" s="3">
        <v>0</v>
      </c>
      <c r="BL193" s="3">
        <v>14.439177122272911</v>
      </c>
      <c r="BM193" s="3">
        <v>62.860904040023414</v>
      </c>
    </row>
    <row r="194" spans="1:65" ht="15.75" customHeight="1" x14ac:dyDescent="0.25">
      <c r="A194" s="3" t="s">
        <v>1008</v>
      </c>
      <c r="B194" s="3" t="s">
        <v>900</v>
      </c>
      <c r="C194" s="3" t="s">
        <v>987</v>
      </c>
      <c r="D194" s="27" t="s">
        <v>900</v>
      </c>
      <c r="E194" s="27" t="s">
        <v>989</v>
      </c>
      <c r="F194" s="31">
        <v>1981</v>
      </c>
      <c r="G194" s="31">
        <v>1981</v>
      </c>
      <c r="H194" s="31">
        <v>309</v>
      </c>
      <c r="I194" s="27">
        <v>0</v>
      </c>
      <c r="J194" s="27">
        <v>17.200000286102302</v>
      </c>
      <c r="L194" s="27">
        <v>0</v>
      </c>
      <c r="P194" s="29">
        <v>0</v>
      </c>
      <c r="AB194" s="27">
        <v>200</v>
      </c>
      <c r="AC194" s="27">
        <v>6.1999998092651403</v>
      </c>
      <c r="AD194" s="27">
        <v>0</v>
      </c>
      <c r="AE194" s="27">
        <v>0</v>
      </c>
      <c r="AF194" s="27">
        <v>2.2169317371518633</v>
      </c>
      <c r="AG194" s="27">
        <v>5.3027290414938817E-2</v>
      </c>
      <c r="AH194" s="27">
        <v>0</v>
      </c>
      <c r="AI194" s="31">
        <v>0</v>
      </c>
      <c r="AJ194" s="29">
        <v>0</v>
      </c>
      <c r="AK194" s="31">
        <v>0</v>
      </c>
      <c r="AL194" s="31">
        <v>17.399999842047702</v>
      </c>
      <c r="AM194" s="31">
        <v>0</v>
      </c>
      <c r="AN194" s="31">
        <v>0</v>
      </c>
      <c r="AO194" s="31">
        <v>0</v>
      </c>
      <c r="AP194" s="31">
        <v>65.533266163444125</v>
      </c>
      <c r="AQ194" s="31">
        <v>0</v>
      </c>
      <c r="AR194" s="29">
        <v>0</v>
      </c>
      <c r="AS194" s="29">
        <v>0</v>
      </c>
      <c r="AT194" s="29">
        <v>0</v>
      </c>
      <c r="AU194" s="29">
        <v>0</v>
      </c>
      <c r="AV194" s="29">
        <v>0</v>
      </c>
      <c r="AW194" s="29">
        <v>0</v>
      </c>
      <c r="AX194" s="29">
        <v>0</v>
      </c>
      <c r="AY194" s="29">
        <v>0</v>
      </c>
      <c r="AZ194" s="29">
        <v>6.2127675881322258E-2</v>
      </c>
      <c r="BA194" s="29">
        <v>0</v>
      </c>
      <c r="BB194" s="29">
        <v>0</v>
      </c>
      <c r="BC194" s="29">
        <v>0</v>
      </c>
      <c r="BD194" s="29">
        <v>1.942581071841591</v>
      </c>
      <c r="BK194" s="3">
        <v>0</v>
      </c>
      <c r="BL194" s="3">
        <v>20.586149641123114</v>
      </c>
      <c r="BM194" s="3">
        <v>62.860904040023414</v>
      </c>
    </row>
    <row r="195" spans="1:65" ht="15.75" customHeight="1" x14ac:dyDescent="0.25">
      <c r="A195" s="3" t="s">
        <v>1008</v>
      </c>
      <c r="B195" s="3" t="s">
        <v>900</v>
      </c>
      <c r="C195" s="3" t="s">
        <v>987</v>
      </c>
      <c r="D195" s="27" t="s">
        <v>900</v>
      </c>
      <c r="E195" s="27" t="s">
        <v>989</v>
      </c>
      <c r="F195" s="31">
        <v>1981</v>
      </c>
      <c r="G195" s="31">
        <v>1981</v>
      </c>
      <c r="H195" s="31">
        <v>310</v>
      </c>
      <c r="I195" s="27">
        <v>0</v>
      </c>
      <c r="J195" s="27">
        <v>17.350000381469748</v>
      </c>
      <c r="L195" s="27">
        <v>0</v>
      </c>
      <c r="P195" s="29">
        <v>0</v>
      </c>
      <c r="AB195" s="27">
        <v>200</v>
      </c>
      <c r="AC195" s="27">
        <v>0.40000000596046398</v>
      </c>
      <c r="AD195" s="27">
        <v>0</v>
      </c>
      <c r="AE195" s="27">
        <v>0</v>
      </c>
      <c r="AF195" s="27">
        <v>2.2962857556269549</v>
      </c>
      <c r="AG195" s="27">
        <v>5.4783998321611994E-2</v>
      </c>
      <c r="AH195" s="27">
        <v>0</v>
      </c>
      <c r="AI195" s="31">
        <v>0</v>
      </c>
      <c r="AJ195" s="29">
        <v>0</v>
      </c>
      <c r="AK195" s="31">
        <v>0</v>
      </c>
      <c r="AL195" s="31">
        <v>17.799999848008166</v>
      </c>
      <c r="AM195" s="31">
        <v>0</v>
      </c>
      <c r="AN195" s="31">
        <v>0</v>
      </c>
      <c r="AO195" s="31">
        <v>0</v>
      </c>
      <c r="AP195" s="31">
        <v>65.588050161765736</v>
      </c>
      <c r="AQ195" s="31">
        <v>0</v>
      </c>
      <c r="AR195" s="29">
        <v>0</v>
      </c>
      <c r="AS195" s="29">
        <v>0</v>
      </c>
      <c r="AT195" s="29">
        <v>0</v>
      </c>
      <c r="AU195" s="29">
        <v>0</v>
      </c>
      <c r="AV195" s="29">
        <v>0</v>
      </c>
      <c r="AW195" s="29">
        <v>0</v>
      </c>
      <c r="AX195" s="29">
        <v>0</v>
      </c>
      <c r="AY195" s="29">
        <v>0</v>
      </c>
      <c r="AZ195" s="29">
        <v>6.2127675881322258E-2</v>
      </c>
      <c r="BA195" s="29">
        <v>0</v>
      </c>
      <c r="BB195" s="29">
        <v>0</v>
      </c>
      <c r="BC195" s="29">
        <v>0</v>
      </c>
      <c r="BD195" s="29">
        <v>1.942581071841591</v>
      </c>
      <c r="BK195" s="3">
        <v>0</v>
      </c>
      <c r="BL195" s="3">
        <v>20.931365648761968</v>
      </c>
      <c r="BM195" s="3">
        <v>62.860904040023414</v>
      </c>
    </row>
    <row r="196" spans="1:65" ht="15.75" customHeight="1" x14ac:dyDescent="0.25">
      <c r="A196" s="3" t="s">
        <v>1008</v>
      </c>
      <c r="B196" s="3" t="s">
        <v>900</v>
      </c>
      <c r="C196" s="3" t="s">
        <v>987</v>
      </c>
      <c r="D196" s="27" t="s">
        <v>900</v>
      </c>
      <c r="E196" s="27" t="s">
        <v>989</v>
      </c>
      <c r="F196" s="31">
        <v>1981</v>
      </c>
      <c r="G196" s="31">
        <v>1981</v>
      </c>
      <c r="H196" s="31">
        <v>311</v>
      </c>
      <c r="I196" s="27">
        <v>0</v>
      </c>
      <c r="J196" s="27">
        <v>18.549999713897698</v>
      </c>
      <c r="L196" s="27">
        <v>0</v>
      </c>
      <c r="P196" s="29">
        <v>0</v>
      </c>
      <c r="AB196" s="27">
        <v>200</v>
      </c>
      <c r="AC196" s="27">
        <v>0.40000000596046398</v>
      </c>
      <c r="AD196" s="27">
        <v>0</v>
      </c>
      <c r="AE196" s="27">
        <v>0</v>
      </c>
      <c r="AF196" s="27">
        <v>2.6986748539642829</v>
      </c>
      <c r="AG196" s="27">
        <v>6.4219182714068332E-2</v>
      </c>
      <c r="AH196" s="27">
        <v>0</v>
      </c>
      <c r="AI196" s="31">
        <v>0</v>
      </c>
      <c r="AJ196" s="29">
        <v>0</v>
      </c>
      <c r="AK196" s="31">
        <v>0</v>
      </c>
      <c r="AL196" s="31">
        <v>18.199999853968631</v>
      </c>
      <c r="AM196" s="31">
        <v>0</v>
      </c>
      <c r="AN196" s="31">
        <v>0</v>
      </c>
      <c r="AO196" s="31">
        <v>0</v>
      </c>
      <c r="AP196" s="31">
        <v>65.652269344479805</v>
      </c>
      <c r="AQ196" s="31">
        <v>0</v>
      </c>
      <c r="AR196" s="29">
        <v>0</v>
      </c>
      <c r="AS196" s="29">
        <v>0</v>
      </c>
      <c r="AT196" s="29">
        <v>0</v>
      </c>
      <c r="AU196" s="29">
        <v>0</v>
      </c>
      <c r="AV196" s="29">
        <v>0</v>
      </c>
      <c r="AW196" s="29">
        <v>0</v>
      </c>
      <c r="AX196" s="29">
        <v>0</v>
      </c>
      <c r="AY196" s="29">
        <v>0</v>
      </c>
      <c r="AZ196" s="29">
        <v>6.2127675881322258E-2</v>
      </c>
      <c r="BA196" s="29">
        <v>0</v>
      </c>
      <c r="BB196" s="29">
        <v>0</v>
      </c>
      <c r="BC196" s="29">
        <v>0</v>
      </c>
      <c r="BD196" s="29">
        <v>1.942581071841591</v>
      </c>
      <c r="BK196" s="3">
        <v>0</v>
      </c>
      <c r="BL196" s="3">
        <v>21.267146472008363</v>
      </c>
      <c r="BM196" s="3">
        <v>62.860904040023414</v>
      </c>
    </row>
    <row r="197" spans="1:65" ht="15.75" customHeight="1" x14ac:dyDescent="0.25">
      <c r="A197" s="3" t="s">
        <v>1008</v>
      </c>
      <c r="B197" s="3" t="s">
        <v>900</v>
      </c>
      <c r="C197" s="3" t="s">
        <v>987</v>
      </c>
      <c r="D197" s="27" t="s">
        <v>900</v>
      </c>
      <c r="E197" s="27" t="s">
        <v>989</v>
      </c>
      <c r="F197" s="31">
        <v>1981</v>
      </c>
      <c r="G197" s="31">
        <v>1981</v>
      </c>
      <c r="H197" s="31">
        <v>312</v>
      </c>
      <c r="I197" s="27">
        <v>0</v>
      </c>
      <c r="J197" s="27">
        <v>18.300000190734849</v>
      </c>
      <c r="L197" s="27">
        <v>0</v>
      </c>
      <c r="P197" s="29">
        <v>0</v>
      </c>
      <c r="AB197" s="27">
        <v>200</v>
      </c>
      <c r="AC197" s="27">
        <v>0</v>
      </c>
      <c r="AD197" s="27">
        <v>0</v>
      </c>
      <c r="AE197" s="27">
        <v>0</v>
      </c>
      <c r="AF197" s="27">
        <v>3.6320163429562142</v>
      </c>
      <c r="AG197" s="27">
        <v>8.6209297435193136E-2</v>
      </c>
      <c r="AH197" s="27">
        <v>0</v>
      </c>
      <c r="AI197" s="31">
        <v>0</v>
      </c>
      <c r="AJ197" s="29">
        <v>0</v>
      </c>
      <c r="AK197" s="31">
        <v>0</v>
      </c>
      <c r="AL197" s="31">
        <v>18.199999853968631</v>
      </c>
      <c r="AM197" s="31">
        <v>0</v>
      </c>
      <c r="AN197" s="31">
        <v>0</v>
      </c>
      <c r="AO197" s="31">
        <v>0</v>
      </c>
      <c r="AP197" s="31">
        <v>65.738478641914995</v>
      </c>
      <c r="AQ197" s="31">
        <v>0</v>
      </c>
      <c r="AR197" s="29">
        <v>0</v>
      </c>
      <c r="AS197" s="29">
        <v>0</v>
      </c>
      <c r="AT197" s="29">
        <v>0</v>
      </c>
      <c r="AU197" s="29">
        <v>0</v>
      </c>
      <c r="AV197" s="29">
        <v>0</v>
      </c>
      <c r="AW197" s="29">
        <v>0</v>
      </c>
      <c r="AX197" s="29">
        <v>0</v>
      </c>
      <c r="AY197" s="29">
        <v>0</v>
      </c>
      <c r="AZ197" s="29">
        <v>6.2127675881322258E-2</v>
      </c>
      <c r="BA197" s="29">
        <v>0</v>
      </c>
      <c r="BB197" s="29">
        <v>0</v>
      </c>
      <c r="BC197" s="29">
        <v>0</v>
      </c>
      <c r="BD197" s="29">
        <v>1.942581071841591</v>
      </c>
      <c r="BK197" s="3">
        <v>0</v>
      </c>
      <c r="BL197" s="3">
        <v>21.18093717457317</v>
      </c>
      <c r="BM197" s="3">
        <v>62.860904040023414</v>
      </c>
    </row>
    <row r="198" spans="1:65" ht="15.75" customHeight="1" x14ac:dyDescent="0.25">
      <c r="A198" s="3" t="s">
        <v>1008</v>
      </c>
      <c r="B198" s="3" t="s">
        <v>900</v>
      </c>
      <c r="C198" s="3" t="s">
        <v>987</v>
      </c>
      <c r="D198" s="27" t="s">
        <v>900</v>
      </c>
      <c r="E198" s="27" t="s">
        <v>989</v>
      </c>
      <c r="F198" s="31">
        <v>1981</v>
      </c>
      <c r="G198" s="31">
        <v>1981</v>
      </c>
      <c r="H198" s="31">
        <v>313</v>
      </c>
      <c r="I198" s="27">
        <v>0</v>
      </c>
      <c r="J198" s="27">
        <v>18.099999904632551</v>
      </c>
      <c r="L198" s="27">
        <v>0</v>
      </c>
      <c r="P198" s="29">
        <v>0</v>
      </c>
      <c r="AB198" s="27">
        <v>200</v>
      </c>
      <c r="AC198" s="27">
        <v>0</v>
      </c>
      <c r="AD198" s="27">
        <v>0</v>
      </c>
      <c r="AE198" s="27">
        <v>0</v>
      </c>
      <c r="AF198" s="27">
        <v>2.620267779177174</v>
      </c>
      <c r="AG198" s="27">
        <v>6.2036846316005416E-2</v>
      </c>
      <c r="AH198" s="27">
        <v>0</v>
      </c>
      <c r="AI198" s="31">
        <v>0</v>
      </c>
      <c r="AJ198" s="29">
        <v>0</v>
      </c>
      <c r="AK198" s="31">
        <v>0</v>
      </c>
      <c r="AL198" s="31">
        <v>18.199999853968631</v>
      </c>
      <c r="AM198" s="31">
        <v>0</v>
      </c>
      <c r="AN198" s="31">
        <v>0</v>
      </c>
      <c r="AO198" s="31">
        <v>0</v>
      </c>
      <c r="AP198" s="31">
        <v>65.800515488230999</v>
      </c>
      <c r="AQ198" s="31">
        <v>0</v>
      </c>
      <c r="AR198" s="29">
        <v>0</v>
      </c>
      <c r="AS198" s="29">
        <v>0</v>
      </c>
      <c r="AT198" s="29">
        <v>0</v>
      </c>
      <c r="AU198" s="29">
        <v>0</v>
      </c>
      <c r="AV198" s="29">
        <v>0</v>
      </c>
      <c r="AW198" s="29">
        <v>0</v>
      </c>
      <c r="AX198" s="29">
        <v>0</v>
      </c>
      <c r="AY198" s="29">
        <v>0</v>
      </c>
      <c r="AZ198" s="29">
        <v>6.2127675881322258E-2</v>
      </c>
      <c r="BA198" s="29">
        <v>0</v>
      </c>
      <c r="BB198" s="29">
        <v>0</v>
      </c>
      <c r="BC198" s="29">
        <v>0</v>
      </c>
      <c r="BD198" s="29">
        <v>1.942581071841591</v>
      </c>
      <c r="BK198" s="3">
        <v>0</v>
      </c>
      <c r="BL198" s="3">
        <v>21.118900328257165</v>
      </c>
      <c r="BM198" s="3">
        <v>62.860904040023414</v>
      </c>
    </row>
    <row r="199" spans="1:65" ht="15.75" customHeight="1" x14ac:dyDescent="0.25">
      <c r="A199" s="3" t="s">
        <v>1008</v>
      </c>
      <c r="B199" s="3" t="s">
        <v>900</v>
      </c>
      <c r="C199" s="3" t="s">
        <v>987</v>
      </c>
      <c r="D199" s="27" t="s">
        <v>900</v>
      </c>
      <c r="E199" s="27" t="s">
        <v>989</v>
      </c>
      <c r="F199" s="31">
        <v>1981</v>
      </c>
      <c r="G199" s="31">
        <v>1981</v>
      </c>
      <c r="H199" s="31">
        <v>314</v>
      </c>
      <c r="I199" s="27">
        <v>0</v>
      </c>
      <c r="J199" s="27">
        <v>19.950000286102302</v>
      </c>
      <c r="L199" s="27">
        <v>0</v>
      </c>
      <c r="P199" s="29">
        <v>0</v>
      </c>
      <c r="AB199" s="27">
        <v>200</v>
      </c>
      <c r="AC199" s="27">
        <v>0</v>
      </c>
      <c r="AD199" s="27">
        <v>0</v>
      </c>
      <c r="AE199" s="27">
        <v>0</v>
      </c>
      <c r="AF199" s="27">
        <v>2.2884113305970741</v>
      </c>
      <c r="AG199" s="27">
        <v>5.4043244728145604E-2</v>
      </c>
      <c r="AH199" s="27">
        <v>0</v>
      </c>
      <c r="AI199" s="31">
        <v>0</v>
      </c>
      <c r="AJ199" s="29">
        <v>0</v>
      </c>
      <c r="AK199" s="31">
        <v>0</v>
      </c>
      <c r="AL199" s="31">
        <v>18.199999853968631</v>
      </c>
      <c r="AM199" s="31">
        <v>0</v>
      </c>
      <c r="AN199" s="31">
        <v>0</v>
      </c>
      <c r="AO199" s="31">
        <v>0</v>
      </c>
      <c r="AP199" s="31">
        <v>65.854558732959148</v>
      </c>
      <c r="AQ199" s="31">
        <v>0</v>
      </c>
      <c r="AR199" s="29">
        <v>0</v>
      </c>
      <c r="AS199" s="29">
        <v>0</v>
      </c>
      <c r="AT199" s="29">
        <v>0</v>
      </c>
      <c r="AU199" s="29">
        <v>0</v>
      </c>
      <c r="AV199" s="29">
        <v>0</v>
      </c>
      <c r="AW199" s="29">
        <v>0</v>
      </c>
      <c r="AX199" s="29">
        <v>0</v>
      </c>
      <c r="AY199" s="29">
        <v>0</v>
      </c>
      <c r="AZ199" s="29">
        <v>6.2127675881322258E-2</v>
      </c>
      <c r="BA199" s="29">
        <v>0</v>
      </c>
      <c r="BB199" s="29">
        <v>0</v>
      </c>
      <c r="BC199" s="29">
        <v>0</v>
      </c>
      <c r="BD199" s="29">
        <v>1.942581071841591</v>
      </c>
      <c r="BK199" s="3">
        <v>0</v>
      </c>
      <c r="BL199" s="3">
        <v>21.06485708352902</v>
      </c>
      <c r="BM199" s="3">
        <v>62.860904040023414</v>
      </c>
    </row>
    <row r="200" spans="1:65" ht="15.75" customHeight="1" x14ac:dyDescent="0.25">
      <c r="A200" s="3" t="s">
        <v>1008</v>
      </c>
      <c r="B200" s="3" t="s">
        <v>900</v>
      </c>
      <c r="C200" s="3" t="s">
        <v>987</v>
      </c>
      <c r="D200" s="27" t="s">
        <v>900</v>
      </c>
      <c r="E200" s="27" t="s">
        <v>989</v>
      </c>
      <c r="F200" s="31">
        <v>1981</v>
      </c>
      <c r="G200" s="31">
        <v>1981</v>
      </c>
      <c r="H200" s="31">
        <v>315</v>
      </c>
      <c r="I200" s="27">
        <v>0</v>
      </c>
      <c r="J200" s="27">
        <v>20.300000190734849</v>
      </c>
      <c r="L200" s="27">
        <v>0</v>
      </c>
      <c r="P200" s="29">
        <v>0</v>
      </c>
      <c r="AB200" s="27">
        <v>200</v>
      </c>
      <c r="AC200" s="27">
        <v>0</v>
      </c>
      <c r="AD200" s="27">
        <v>0</v>
      </c>
      <c r="AE200" s="27">
        <v>0</v>
      </c>
      <c r="AF200" s="27">
        <v>3.0005024810119978</v>
      </c>
      <c r="AG200" s="27">
        <v>7.068220980815984E-2</v>
      </c>
      <c r="AH200" s="27">
        <v>0</v>
      </c>
      <c r="AI200" s="31">
        <v>0</v>
      </c>
      <c r="AJ200" s="29">
        <v>0</v>
      </c>
      <c r="AK200" s="31">
        <v>0</v>
      </c>
      <c r="AL200" s="31">
        <v>18.199999853968631</v>
      </c>
      <c r="AM200" s="31">
        <v>0</v>
      </c>
      <c r="AN200" s="31">
        <v>0</v>
      </c>
      <c r="AO200" s="31">
        <v>0</v>
      </c>
      <c r="AP200" s="31">
        <v>65.925240942767303</v>
      </c>
      <c r="AQ200" s="31">
        <v>0</v>
      </c>
      <c r="AR200" s="29">
        <v>0</v>
      </c>
      <c r="AS200" s="29">
        <v>0</v>
      </c>
      <c r="AT200" s="29">
        <v>0</v>
      </c>
      <c r="AU200" s="29">
        <v>0</v>
      </c>
      <c r="AV200" s="29">
        <v>0</v>
      </c>
      <c r="AW200" s="29">
        <v>0</v>
      </c>
      <c r="AX200" s="29">
        <v>0</v>
      </c>
      <c r="AY200" s="29">
        <v>0</v>
      </c>
      <c r="AZ200" s="29">
        <v>6.2127675881322258E-2</v>
      </c>
      <c r="BA200" s="29">
        <v>0</v>
      </c>
      <c r="BB200" s="29">
        <v>0</v>
      </c>
      <c r="BC200" s="29">
        <v>0</v>
      </c>
      <c r="BD200" s="29">
        <v>1.942581071841591</v>
      </c>
      <c r="BK200" s="3">
        <v>0</v>
      </c>
      <c r="BL200" s="3">
        <v>20.994174873720862</v>
      </c>
      <c r="BM200" s="3">
        <v>62.860904040023414</v>
      </c>
    </row>
    <row r="201" spans="1:65" ht="15.75" customHeight="1" x14ac:dyDescent="0.25">
      <c r="A201" s="3" t="s">
        <v>1008</v>
      </c>
      <c r="B201" s="3" t="s">
        <v>900</v>
      </c>
      <c r="C201" s="3" t="s">
        <v>987</v>
      </c>
      <c r="D201" s="27" t="s">
        <v>900</v>
      </c>
      <c r="E201" s="27" t="s">
        <v>989</v>
      </c>
      <c r="F201" s="31">
        <v>1981</v>
      </c>
      <c r="G201" s="31">
        <v>1981</v>
      </c>
      <c r="H201" s="31">
        <v>316</v>
      </c>
      <c r="I201" s="27">
        <v>0</v>
      </c>
      <c r="J201" s="27">
        <v>20.050000190734849</v>
      </c>
      <c r="L201" s="27">
        <v>0</v>
      </c>
      <c r="P201" s="29">
        <v>0</v>
      </c>
      <c r="AB201" s="27">
        <v>200</v>
      </c>
      <c r="AC201" s="27">
        <v>0</v>
      </c>
      <c r="AD201" s="27">
        <v>0</v>
      </c>
      <c r="AE201" s="27">
        <v>0</v>
      </c>
      <c r="AF201" s="27">
        <v>3.4522292124301539</v>
      </c>
      <c r="AG201" s="27">
        <v>8.1120386267298825E-2</v>
      </c>
      <c r="AH201" s="27">
        <v>0</v>
      </c>
      <c r="AI201" s="31">
        <v>0</v>
      </c>
      <c r="AJ201" s="29">
        <v>0</v>
      </c>
      <c r="AK201" s="31">
        <v>0</v>
      </c>
      <c r="AL201" s="31">
        <v>18.199999853968631</v>
      </c>
      <c r="AM201" s="31">
        <v>0</v>
      </c>
      <c r="AN201" s="31">
        <v>0</v>
      </c>
      <c r="AO201" s="31">
        <v>0</v>
      </c>
      <c r="AP201" s="31">
        <v>66.006361329034604</v>
      </c>
      <c r="AQ201" s="31">
        <v>0</v>
      </c>
      <c r="AR201" s="29">
        <v>0</v>
      </c>
      <c r="AS201" s="29">
        <v>0</v>
      </c>
      <c r="AT201" s="29">
        <v>0</v>
      </c>
      <c r="AU201" s="29">
        <v>0</v>
      </c>
      <c r="AV201" s="29">
        <v>0</v>
      </c>
      <c r="AW201" s="29">
        <v>0</v>
      </c>
      <c r="AX201" s="29">
        <v>0</v>
      </c>
      <c r="AY201" s="29">
        <v>0</v>
      </c>
      <c r="AZ201" s="29">
        <v>6.2127675881322258E-2</v>
      </c>
      <c r="BA201" s="29">
        <v>0</v>
      </c>
      <c r="BB201" s="29">
        <v>0</v>
      </c>
      <c r="BC201" s="29">
        <v>0</v>
      </c>
      <c r="BD201" s="29">
        <v>1.942581071841591</v>
      </c>
      <c r="BK201" s="3">
        <v>0</v>
      </c>
      <c r="BL201" s="3">
        <v>20.913054487453564</v>
      </c>
      <c r="BM201" s="3">
        <v>62.860904040023414</v>
      </c>
    </row>
    <row r="202" spans="1:65" ht="15.75" customHeight="1" x14ac:dyDescent="0.25">
      <c r="A202" s="3" t="s">
        <v>1008</v>
      </c>
      <c r="B202" s="3" t="s">
        <v>900</v>
      </c>
      <c r="C202" s="3" t="s">
        <v>987</v>
      </c>
      <c r="D202" s="27" t="s">
        <v>900</v>
      </c>
      <c r="E202" s="27" t="s">
        <v>989</v>
      </c>
      <c r="F202" s="31">
        <v>1981</v>
      </c>
      <c r="G202" s="31">
        <v>1981</v>
      </c>
      <c r="H202" s="31">
        <v>317</v>
      </c>
      <c r="I202" s="27">
        <v>0</v>
      </c>
      <c r="J202" s="27">
        <v>18.5999999046326</v>
      </c>
      <c r="L202" s="27">
        <v>0</v>
      </c>
      <c r="P202" s="29">
        <v>0</v>
      </c>
      <c r="AB202" s="27">
        <v>200</v>
      </c>
      <c r="AC202" s="27">
        <v>0</v>
      </c>
      <c r="AD202" s="27">
        <v>0</v>
      </c>
      <c r="AE202" s="27">
        <v>0</v>
      </c>
      <c r="AF202" s="27">
        <v>2.8709467447161812</v>
      </c>
      <c r="AG202" s="27">
        <v>6.7293820159364609E-2</v>
      </c>
      <c r="AH202" s="27">
        <v>0</v>
      </c>
      <c r="AI202" s="31">
        <v>0</v>
      </c>
      <c r="AJ202" s="29">
        <v>0</v>
      </c>
      <c r="AK202" s="31">
        <v>0</v>
      </c>
      <c r="AL202" s="31">
        <v>18.199999853968631</v>
      </c>
      <c r="AM202" s="31">
        <v>0</v>
      </c>
      <c r="AN202" s="31">
        <v>0</v>
      </c>
      <c r="AO202" s="31">
        <v>0</v>
      </c>
      <c r="AP202" s="31">
        <v>66.073655149193968</v>
      </c>
      <c r="AQ202" s="31">
        <v>0</v>
      </c>
      <c r="AR202" s="29">
        <v>0</v>
      </c>
      <c r="AS202" s="29">
        <v>0</v>
      </c>
      <c r="AT202" s="29">
        <v>0</v>
      </c>
      <c r="AU202" s="29">
        <v>0</v>
      </c>
      <c r="AV202" s="29">
        <v>0</v>
      </c>
      <c r="AW202" s="29">
        <v>0</v>
      </c>
      <c r="AX202" s="29">
        <v>0</v>
      </c>
      <c r="AY202" s="29">
        <v>0</v>
      </c>
      <c r="AZ202" s="29">
        <v>6.2127675881322258E-2</v>
      </c>
      <c r="BA202" s="29">
        <v>0</v>
      </c>
      <c r="BB202" s="29">
        <v>0</v>
      </c>
      <c r="BC202" s="29">
        <v>0</v>
      </c>
      <c r="BD202" s="29">
        <v>1.942581071841591</v>
      </c>
      <c r="BK202" s="3">
        <v>0</v>
      </c>
      <c r="BL202" s="3">
        <v>20.845760667294201</v>
      </c>
      <c r="BM202" s="3">
        <v>62.860904040023414</v>
      </c>
    </row>
    <row r="203" spans="1:65" ht="15.75" customHeight="1" x14ac:dyDescent="0.25">
      <c r="A203" s="3" t="s">
        <v>1008</v>
      </c>
      <c r="B203" s="3" t="s">
        <v>900</v>
      </c>
      <c r="C203" s="3" t="s">
        <v>987</v>
      </c>
      <c r="D203" s="27" t="s">
        <v>900</v>
      </c>
      <c r="E203" s="27" t="s">
        <v>989</v>
      </c>
      <c r="F203" s="31">
        <v>1981</v>
      </c>
      <c r="G203" s="31">
        <v>1981</v>
      </c>
      <c r="H203" s="31">
        <v>318</v>
      </c>
      <c r="I203" s="27">
        <v>0</v>
      </c>
      <c r="J203" s="27">
        <v>17.149999618530284</v>
      </c>
      <c r="L203" s="27">
        <v>0</v>
      </c>
      <c r="P203" s="29">
        <v>0</v>
      </c>
      <c r="AB203" s="27">
        <v>200</v>
      </c>
      <c r="AC203" s="27">
        <v>0</v>
      </c>
      <c r="AD203" s="27">
        <v>0</v>
      </c>
      <c r="AE203" s="27">
        <v>0</v>
      </c>
      <c r="AF203" s="27">
        <v>3.3852055616232617</v>
      </c>
      <c r="AG203" s="27">
        <v>7.9151673314279219E-2</v>
      </c>
      <c r="AH203" s="27">
        <v>0</v>
      </c>
      <c r="AI203" s="31">
        <v>0</v>
      </c>
      <c r="AJ203" s="29">
        <v>0</v>
      </c>
      <c r="AK203" s="31">
        <v>0</v>
      </c>
      <c r="AL203" s="31">
        <v>18.199999853968631</v>
      </c>
      <c r="AM203" s="31">
        <v>0</v>
      </c>
      <c r="AN203" s="31">
        <v>0</v>
      </c>
      <c r="AO203" s="31">
        <v>0</v>
      </c>
      <c r="AP203" s="31">
        <v>66.152806822508254</v>
      </c>
      <c r="AQ203" s="31">
        <v>0</v>
      </c>
      <c r="AR203" s="29">
        <v>0</v>
      </c>
      <c r="AS203" s="29">
        <v>0</v>
      </c>
      <c r="AT203" s="29">
        <v>0</v>
      </c>
      <c r="AU203" s="29">
        <v>0</v>
      </c>
      <c r="AV203" s="29">
        <v>0</v>
      </c>
      <c r="AW203" s="29">
        <v>0</v>
      </c>
      <c r="AX203" s="29">
        <v>0</v>
      </c>
      <c r="AY203" s="29">
        <v>0</v>
      </c>
      <c r="AZ203" s="29">
        <v>6.2127675881322258E-2</v>
      </c>
      <c r="BA203" s="29">
        <v>0</v>
      </c>
      <c r="BB203" s="29">
        <v>0</v>
      </c>
      <c r="BC203" s="29">
        <v>0</v>
      </c>
      <c r="BD203" s="29">
        <v>1.942581071841591</v>
      </c>
      <c r="BK203" s="3">
        <v>0</v>
      </c>
      <c r="BL203" s="3">
        <v>20.766608993979922</v>
      </c>
      <c r="BM203" s="3">
        <v>62.860904040023414</v>
      </c>
    </row>
    <row r="204" spans="1:65" ht="15.75" customHeight="1" x14ac:dyDescent="0.25">
      <c r="A204" s="3" t="s">
        <v>1008</v>
      </c>
      <c r="B204" s="3" t="s">
        <v>900</v>
      </c>
      <c r="C204" s="3" t="s">
        <v>987</v>
      </c>
      <c r="D204" s="27" t="s">
        <v>900</v>
      </c>
      <c r="E204" s="27" t="s">
        <v>989</v>
      </c>
      <c r="F204" s="31">
        <v>1981</v>
      </c>
      <c r="G204" s="31">
        <v>1981</v>
      </c>
      <c r="H204" s="31">
        <v>319</v>
      </c>
      <c r="I204" s="27">
        <v>0</v>
      </c>
      <c r="J204" s="27">
        <v>16.350000381469748</v>
      </c>
      <c r="L204" s="27">
        <v>0</v>
      </c>
      <c r="P204" s="29">
        <v>0</v>
      </c>
      <c r="AB204" s="27">
        <v>200</v>
      </c>
      <c r="AC204" s="27">
        <v>0</v>
      </c>
      <c r="AD204" s="27">
        <v>0</v>
      </c>
      <c r="AE204" s="27">
        <v>0</v>
      </c>
      <c r="AF204" s="27">
        <v>2.9162482127078779</v>
      </c>
      <c r="AG204" s="27">
        <v>6.8018937582264946E-2</v>
      </c>
      <c r="AH204" s="27">
        <v>0</v>
      </c>
      <c r="AI204" s="31">
        <v>0</v>
      </c>
      <c r="AJ204" s="29">
        <v>0</v>
      </c>
      <c r="AK204" s="31">
        <v>0</v>
      </c>
      <c r="AL204" s="31">
        <v>18.199999853968631</v>
      </c>
      <c r="AM204" s="31">
        <v>0</v>
      </c>
      <c r="AN204" s="31">
        <v>0</v>
      </c>
      <c r="AO204" s="31">
        <v>0</v>
      </c>
      <c r="AP204" s="31">
        <v>66.22082576009052</v>
      </c>
      <c r="AQ204" s="31">
        <v>0</v>
      </c>
      <c r="AR204" s="29">
        <v>0</v>
      </c>
      <c r="AS204" s="29">
        <v>0</v>
      </c>
      <c r="AT204" s="29">
        <v>0</v>
      </c>
      <c r="AU204" s="29">
        <v>0</v>
      </c>
      <c r="AV204" s="29">
        <v>0</v>
      </c>
      <c r="AW204" s="29">
        <v>0</v>
      </c>
      <c r="AX204" s="29">
        <v>0</v>
      </c>
      <c r="AY204" s="29">
        <v>0</v>
      </c>
      <c r="AZ204" s="29">
        <v>6.2127675881322258E-2</v>
      </c>
      <c r="BA204" s="29">
        <v>0</v>
      </c>
      <c r="BB204" s="29">
        <v>0</v>
      </c>
      <c r="BC204" s="29">
        <v>0</v>
      </c>
      <c r="BD204" s="29">
        <v>1.942581071841591</v>
      </c>
      <c r="BK204" s="3">
        <v>0</v>
      </c>
      <c r="BL204" s="3">
        <v>20.698590056397656</v>
      </c>
      <c r="BM204" s="3">
        <v>62.860904040023414</v>
      </c>
    </row>
    <row r="205" spans="1:65" ht="15.75" customHeight="1" x14ac:dyDescent="0.25">
      <c r="A205" s="3" t="s">
        <v>1008</v>
      </c>
      <c r="B205" s="3" t="s">
        <v>900</v>
      </c>
      <c r="C205" s="3" t="s">
        <v>987</v>
      </c>
      <c r="D205" s="27" t="s">
        <v>900</v>
      </c>
      <c r="E205" s="27" t="s">
        <v>989</v>
      </c>
      <c r="F205" s="31">
        <v>1981</v>
      </c>
      <c r="G205" s="31">
        <v>1981</v>
      </c>
      <c r="H205" s="31">
        <v>320</v>
      </c>
      <c r="I205" s="27">
        <v>0</v>
      </c>
      <c r="J205" s="27">
        <v>17</v>
      </c>
      <c r="L205" s="27">
        <v>0</v>
      </c>
      <c r="P205" s="29">
        <v>0</v>
      </c>
      <c r="AB205" s="27">
        <v>200</v>
      </c>
      <c r="AC205" s="27">
        <v>0</v>
      </c>
      <c r="AD205" s="27">
        <v>0</v>
      </c>
      <c r="AE205" s="27">
        <v>0</v>
      </c>
      <c r="AF205" s="27">
        <v>2.6274311342028724</v>
      </c>
      <c r="AG205" s="27">
        <v>6.1132512853826648E-2</v>
      </c>
      <c r="AH205" s="27">
        <v>0</v>
      </c>
      <c r="AI205" s="31">
        <v>0</v>
      </c>
      <c r="AJ205" s="29">
        <v>0</v>
      </c>
      <c r="AK205" s="31">
        <v>0</v>
      </c>
      <c r="AL205" s="31">
        <v>18.199999853968631</v>
      </c>
      <c r="AM205" s="31">
        <v>0</v>
      </c>
      <c r="AN205" s="31">
        <v>0</v>
      </c>
      <c r="AO205" s="31">
        <v>0</v>
      </c>
      <c r="AP205" s="31">
        <v>66.281958272944351</v>
      </c>
      <c r="AQ205" s="31">
        <v>0</v>
      </c>
      <c r="AR205" s="29">
        <v>0</v>
      </c>
      <c r="AS205" s="29">
        <v>0</v>
      </c>
      <c r="AT205" s="29">
        <v>0</v>
      </c>
      <c r="AU205" s="29">
        <v>0</v>
      </c>
      <c r="AV205" s="29">
        <v>0</v>
      </c>
      <c r="AW205" s="29">
        <v>0</v>
      </c>
      <c r="AX205" s="29">
        <v>0</v>
      </c>
      <c r="AY205" s="29">
        <v>0</v>
      </c>
      <c r="AZ205" s="29">
        <v>6.2127675881322258E-2</v>
      </c>
      <c r="BA205" s="29">
        <v>0</v>
      </c>
      <c r="BB205" s="29">
        <v>0</v>
      </c>
      <c r="BC205" s="29">
        <v>0</v>
      </c>
      <c r="BD205" s="29">
        <v>1.942581071841591</v>
      </c>
      <c r="BK205" s="3">
        <v>0</v>
      </c>
      <c r="BL205" s="3">
        <v>20.637457543543828</v>
      </c>
      <c r="BM205" s="3">
        <v>62.860904040023414</v>
      </c>
    </row>
    <row r="206" spans="1:65" ht="15.75" customHeight="1" x14ac:dyDescent="0.25">
      <c r="A206" s="3" t="s">
        <v>1008</v>
      </c>
      <c r="B206" s="3" t="s">
        <v>900</v>
      </c>
      <c r="C206" s="3" t="s">
        <v>987</v>
      </c>
      <c r="D206" s="27" t="s">
        <v>900</v>
      </c>
      <c r="E206" s="27" t="s">
        <v>989</v>
      </c>
      <c r="F206" s="31">
        <v>1981</v>
      </c>
      <c r="G206" s="31">
        <v>1981</v>
      </c>
      <c r="H206" s="31">
        <v>321</v>
      </c>
      <c r="I206" s="27">
        <v>0</v>
      </c>
      <c r="J206" s="27">
        <v>16.799999713897719</v>
      </c>
      <c r="L206" s="27">
        <v>0</v>
      </c>
      <c r="P206" s="29">
        <v>0</v>
      </c>
      <c r="AB206" s="27">
        <v>200</v>
      </c>
      <c r="AC206" s="27">
        <v>0</v>
      </c>
      <c r="AD206" s="27">
        <v>0</v>
      </c>
      <c r="AE206" s="27">
        <v>0</v>
      </c>
      <c r="AF206" s="27">
        <v>3.2797462073852621</v>
      </c>
      <c r="AG206" s="27">
        <v>7.6124049753716519E-2</v>
      </c>
      <c r="AH206" s="27">
        <v>0</v>
      </c>
      <c r="AI206" s="31">
        <v>0</v>
      </c>
      <c r="AJ206" s="29">
        <v>0</v>
      </c>
      <c r="AK206" s="31">
        <v>0</v>
      </c>
      <c r="AL206" s="31">
        <v>18.199999853968631</v>
      </c>
      <c r="AM206" s="31">
        <v>0</v>
      </c>
      <c r="AN206" s="31">
        <v>0</v>
      </c>
      <c r="AO206" s="31">
        <v>0</v>
      </c>
      <c r="AP206" s="31">
        <v>66.358082322698067</v>
      </c>
      <c r="AQ206" s="31">
        <v>0</v>
      </c>
      <c r="AR206" s="29">
        <v>0</v>
      </c>
      <c r="AS206" s="29">
        <v>0</v>
      </c>
      <c r="AT206" s="29">
        <v>0</v>
      </c>
      <c r="AU206" s="29">
        <v>0</v>
      </c>
      <c r="AV206" s="29">
        <v>0</v>
      </c>
      <c r="AW206" s="29">
        <v>0</v>
      </c>
      <c r="AX206" s="29">
        <v>0</v>
      </c>
      <c r="AY206" s="29">
        <v>0</v>
      </c>
      <c r="AZ206" s="29">
        <v>6.2127675881322258E-2</v>
      </c>
      <c r="BA206" s="29">
        <v>0</v>
      </c>
      <c r="BB206" s="29">
        <v>0</v>
      </c>
      <c r="BC206" s="29">
        <v>0</v>
      </c>
      <c r="BD206" s="29">
        <v>1.942581071841591</v>
      </c>
      <c r="BK206" s="3">
        <v>0</v>
      </c>
      <c r="BL206" s="3">
        <v>20.561333493790112</v>
      </c>
      <c r="BM206" s="3">
        <v>62.860904040023414</v>
      </c>
    </row>
    <row r="207" spans="1:65" ht="15.75" customHeight="1" x14ac:dyDescent="0.25">
      <c r="A207" s="3" t="s">
        <v>1008</v>
      </c>
      <c r="B207" s="3" t="s">
        <v>900</v>
      </c>
      <c r="C207" s="3" t="s">
        <v>987</v>
      </c>
      <c r="D207" s="27" t="s">
        <v>900</v>
      </c>
      <c r="E207" s="27" t="s">
        <v>989</v>
      </c>
      <c r="F207" s="31">
        <v>1981</v>
      </c>
      <c r="G207" s="31">
        <v>1981</v>
      </c>
      <c r="H207" s="31">
        <v>322</v>
      </c>
      <c r="I207" s="27">
        <v>0</v>
      </c>
      <c r="J207" s="27">
        <v>19.199999809265151</v>
      </c>
      <c r="L207" s="27">
        <v>0</v>
      </c>
      <c r="P207" s="29">
        <v>0</v>
      </c>
      <c r="AB207" s="27">
        <v>200</v>
      </c>
      <c r="AC207" s="27">
        <v>0</v>
      </c>
      <c r="AD207" s="27">
        <v>0</v>
      </c>
      <c r="AE207" s="27">
        <v>0</v>
      </c>
      <c r="AF207" s="27">
        <v>2.6585881066140726</v>
      </c>
      <c r="AG207" s="27">
        <v>6.1557161482969469E-2</v>
      </c>
      <c r="AH207" s="27">
        <v>0</v>
      </c>
      <c r="AI207" s="31">
        <v>0</v>
      </c>
      <c r="AJ207" s="29">
        <v>0</v>
      </c>
      <c r="AK207" s="31">
        <v>0</v>
      </c>
      <c r="AL207" s="31">
        <v>18.199999853968631</v>
      </c>
      <c r="AM207" s="31">
        <v>0</v>
      </c>
      <c r="AN207" s="31">
        <v>0</v>
      </c>
      <c r="AO207" s="31">
        <v>0</v>
      </c>
      <c r="AP207" s="31">
        <v>66.419639484181033</v>
      </c>
      <c r="AQ207" s="31">
        <v>0</v>
      </c>
      <c r="AR207" s="29">
        <v>0</v>
      </c>
      <c r="AS207" s="29">
        <v>0</v>
      </c>
      <c r="AT207" s="29">
        <v>0</v>
      </c>
      <c r="AU207" s="29">
        <v>0</v>
      </c>
      <c r="AV207" s="29">
        <v>0</v>
      </c>
      <c r="AW207" s="29">
        <v>0</v>
      </c>
      <c r="AX207" s="29">
        <v>0</v>
      </c>
      <c r="AY207" s="29">
        <v>0</v>
      </c>
      <c r="AZ207" s="29">
        <v>6.2127675881322258E-2</v>
      </c>
      <c r="BA207" s="29">
        <v>0</v>
      </c>
      <c r="BB207" s="29">
        <v>0</v>
      </c>
      <c r="BC207" s="29">
        <v>0</v>
      </c>
      <c r="BD207" s="29">
        <v>1.942581071841591</v>
      </c>
      <c r="BK207" s="3">
        <v>0</v>
      </c>
      <c r="BL207" s="3">
        <v>20.499776332307142</v>
      </c>
      <c r="BM207" s="3">
        <v>62.860904040023414</v>
      </c>
    </row>
    <row r="208" spans="1:65" ht="15.75" customHeight="1" x14ac:dyDescent="0.25">
      <c r="A208" s="3" t="s">
        <v>1008</v>
      </c>
      <c r="B208" s="3" t="s">
        <v>900</v>
      </c>
      <c r="C208" s="3" t="s">
        <v>987</v>
      </c>
      <c r="D208" s="27" t="s">
        <v>900</v>
      </c>
      <c r="E208" s="27" t="s">
        <v>989</v>
      </c>
      <c r="F208" s="31">
        <v>1981</v>
      </c>
      <c r="G208" s="31">
        <v>1981</v>
      </c>
      <c r="H208" s="31">
        <v>323</v>
      </c>
      <c r="I208" s="27">
        <v>0</v>
      </c>
      <c r="J208" s="27">
        <v>16.9000000953674</v>
      </c>
      <c r="L208" s="27">
        <v>0</v>
      </c>
      <c r="P208" s="29">
        <v>0</v>
      </c>
      <c r="AB208" s="27">
        <v>200</v>
      </c>
      <c r="AC208" s="27">
        <v>0.30000001192092901</v>
      </c>
      <c r="AD208" s="27">
        <v>0</v>
      </c>
      <c r="AE208" s="27">
        <v>0</v>
      </c>
      <c r="AF208" s="27">
        <v>1.5363483135689382</v>
      </c>
      <c r="AG208" s="27">
        <v>3.5486910431146351E-2</v>
      </c>
      <c r="AH208" s="27">
        <v>0</v>
      </c>
      <c r="AI208" s="31">
        <v>0</v>
      </c>
      <c r="AJ208" s="29">
        <v>0</v>
      </c>
      <c r="AK208" s="31">
        <v>0</v>
      </c>
      <c r="AL208" s="31">
        <v>18.49999986588956</v>
      </c>
      <c r="AM208" s="31">
        <v>0</v>
      </c>
      <c r="AN208" s="31">
        <v>0</v>
      </c>
      <c r="AO208" s="31">
        <v>0</v>
      </c>
      <c r="AP208" s="31">
        <v>66.455126394612179</v>
      </c>
      <c r="AQ208" s="31">
        <v>0</v>
      </c>
      <c r="AR208" s="29">
        <v>0</v>
      </c>
      <c r="AS208" s="29">
        <v>0</v>
      </c>
      <c r="AT208" s="29">
        <v>0</v>
      </c>
      <c r="AU208" s="29">
        <v>0</v>
      </c>
      <c r="AV208" s="29">
        <v>0</v>
      </c>
      <c r="AW208" s="29">
        <v>0</v>
      </c>
      <c r="AX208" s="29">
        <v>0</v>
      </c>
      <c r="AY208" s="29">
        <v>0</v>
      </c>
      <c r="AZ208" s="29">
        <v>6.2127675881322258E-2</v>
      </c>
      <c r="BA208" s="29">
        <v>0</v>
      </c>
      <c r="BB208" s="29">
        <v>0</v>
      </c>
      <c r="BC208" s="29">
        <v>0</v>
      </c>
      <c r="BD208" s="29">
        <v>1.942581071841591</v>
      </c>
      <c r="BK208" s="3">
        <v>0</v>
      </c>
      <c r="BL208" s="3">
        <v>20.764289433796925</v>
      </c>
      <c r="BM208" s="3">
        <v>62.860904040023414</v>
      </c>
    </row>
    <row r="209" spans="1:65" ht="15.75" customHeight="1" x14ac:dyDescent="0.25">
      <c r="A209" s="3" t="s">
        <v>1008</v>
      </c>
      <c r="B209" s="3" t="s">
        <v>900</v>
      </c>
      <c r="C209" s="3" t="s">
        <v>987</v>
      </c>
      <c r="D209" s="27" t="s">
        <v>900</v>
      </c>
      <c r="E209" s="27" t="s">
        <v>989</v>
      </c>
      <c r="F209" s="31">
        <v>1981</v>
      </c>
      <c r="G209" s="31">
        <v>1981</v>
      </c>
      <c r="H209" s="31">
        <v>324</v>
      </c>
      <c r="I209" s="27">
        <v>0</v>
      </c>
      <c r="J209" s="27">
        <v>15.64999961853025</v>
      </c>
      <c r="L209" s="27">
        <v>0</v>
      </c>
      <c r="P209" s="29">
        <v>0</v>
      </c>
      <c r="AB209" s="27">
        <v>200</v>
      </c>
      <c r="AC209" s="27">
        <v>0</v>
      </c>
      <c r="AD209" s="27">
        <v>0</v>
      </c>
      <c r="AE209" s="27">
        <v>0</v>
      </c>
      <c r="AF209" s="27">
        <v>3.0289888422671192</v>
      </c>
      <c r="AG209" s="27">
        <v>6.979626674063899E-2</v>
      </c>
      <c r="AH209" s="27">
        <v>0</v>
      </c>
      <c r="AI209" s="31">
        <v>0</v>
      </c>
      <c r="AJ209" s="29">
        <v>0</v>
      </c>
      <c r="AK209" s="31">
        <v>0</v>
      </c>
      <c r="AL209" s="31">
        <v>18.49999986588956</v>
      </c>
      <c r="AM209" s="31">
        <v>0</v>
      </c>
      <c r="AN209" s="31">
        <v>0</v>
      </c>
      <c r="AO209" s="31">
        <v>0</v>
      </c>
      <c r="AP209" s="31">
        <v>66.524922661352818</v>
      </c>
      <c r="AQ209" s="31">
        <v>0</v>
      </c>
      <c r="AR209" s="29">
        <v>0</v>
      </c>
      <c r="AS209" s="29">
        <v>0</v>
      </c>
      <c r="AT209" s="29">
        <v>0</v>
      </c>
      <c r="AU209" s="29">
        <v>0</v>
      </c>
      <c r="AV209" s="29">
        <v>0</v>
      </c>
      <c r="AW209" s="29">
        <v>0</v>
      </c>
      <c r="AX209" s="29">
        <v>0</v>
      </c>
      <c r="AY209" s="29">
        <v>0</v>
      </c>
      <c r="AZ209" s="29">
        <v>6.2127675881322258E-2</v>
      </c>
      <c r="BA209" s="29">
        <v>0</v>
      </c>
      <c r="BB209" s="29">
        <v>0</v>
      </c>
      <c r="BC209" s="29">
        <v>0</v>
      </c>
      <c r="BD209" s="29">
        <v>1.942581071841591</v>
      </c>
      <c r="BK209" s="3">
        <v>0</v>
      </c>
      <c r="BL209" s="3">
        <v>20.694493167056287</v>
      </c>
      <c r="BM209" s="3">
        <v>62.860904040023414</v>
      </c>
    </row>
    <row r="210" spans="1:65" ht="15.75" customHeight="1" x14ac:dyDescent="0.25">
      <c r="A210" s="3" t="s">
        <v>1008</v>
      </c>
      <c r="B210" s="3" t="s">
        <v>900</v>
      </c>
      <c r="C210" s="3" t="s">
        <v>987</v>
      </c>
      <c r="D210" s="27" t="s">
        <v>900</v>
      </c>
      <c r="E210" s="27" t="s">
        <v>989</v>
      </c>
      <c r="F210" s="31">
        <v>1981</v>
      </c>
      <c r="G210" s="31">
        <v>1981</v>
      </c>
      <c r="H210" s="31">
        <v>325</v>
      </c>
      <c r="I210" s="27">
        <v>0</v>
      </c>
      <c r="J210" s="27">
        <v>15.54999971389768</v>
      </c>
      <c r="L210" s="27">
        <v>0</v>
      </c>
      <c r="P210" s="29">
        <v>0</v>
      </c>
      <c r="AB210" s="27">
        <v>200</v>
      </c>
      <c r="AC210" s="27">
        <v>0</v>
      </c>
      <c r="AD210" s="27">
        <v>0</v>
      </c>
      <c r="AE210" s="27">
        <v>0</v>
      </c>
      <c r="AF210" s="27">
        <v>2.8485298942005062</v>
      </c>
      <c r="AG210" s="27">
        <v>6.5481152525810396E-2</v>
      </c>
      <c r="AH210" s="27">
        <v>0</v>
      </c>
      <c r="AI210" s="31">
        <v>0</v>
      </c>
      <c r="AJ210" s="29">
        <v>0</v>
      </c>
      <c r="AK210" s="31">
        <v>0</v>
      </c>
      <c r="AL210" s="31">
        <v>18.49999986588956</v>
      </c>
      <c r="AM210" s="31">
        <v>0</v>
      </c>
      <c r="AN210" s="31">
        <v>0</v>
      </c>
      <c r="AO210" s="31">
        <v>0</v>
      </c>
      <c r="AP210" s="31">
        <v>66.590403813878623</v>
      </c>
      <c r="AQ210" s="31">
        <v>0</v>
      </c>
      <c r="AR210" s="29">
        <v>0</v>
      </c>
      <c r="AS210" s="29">
        <v>0</v>
      </c>
      <c r="AT210" s="29">
        <v>0</v>
      </c>
      <c r="AU210" s="29">
        <v>0</v>
      </c>
      <c r="AV210" s="29">
        <v>0</v>
      </c>
      <c r="AW210" s="29">
        <v>0</v>
      </c>
      <c r="AX210" s="29">
        <v>0</v>
      </c>
      <c r="AY210" s="29">
        <v>0</v>
      </c>
      <c r="AZ210" s="29">
        <v>6.2127675881322258E-2</v>
      </c>
      <c r="BA210" s="29">
        <v>0</v>
      </c>
      <c r="BB210" s="29">
        <v>0</v>
      </c>
      <c r="BC210" s="29">
        <v>0</v>
      </c>
      <c r="BD210" s="29">
        <v>1.942581071841591</v>
      </c>
      <c r="BK210" s="3">
        <v>0</v>
      </c>
      <c r="BL210" s="3">
        <v>20.629012014530478</v>
      </c>
      <c r="BM210" s="3">
        <v>62.860904040023414</v>
      </c>
    </row>
    <row r="211" spans="1:65" ht="15.75" customHeight="1" x14ac:dyDescent="0.25">
      <c r="A211" s="3" t="s">
        <v>1008</v>
      </c>
      <c r="B211" s="3" t="s">
        <v>900</v>
      </c>
      <c r="C211" s="3" t="s">
        <v>987</v>
      </c>
      <c r="D211" s="27" t="s">
        <v>900</v>
      </c>
      <c r="E211" s="27" t="s">
        <v>989</v>
      </c>
      <c r="F211" s="31">
        <v>1981</v>
      </c>
      <c r="G211" s="31">
        <v>1981</v>
      </c>
      <c r="H211" s="31">
        <v>326</v>
      </c>
      <c r="I211" s="27">
        <v>0</v>
      </c>
      <c r="J211" s="27">
        <v>15.8499999046326</v>
      </c>
      <c r="L211" s="27">
        <v>0</v>
      </c>
      <c r="P211" s="29">
        <v>0</v>
      </c>
      <c r="AB211" s="27">
        <v>200</v>
      </c>
      <c r="AC211" s="27">
        <v>0</v>
      </c>
      <c r="AD211" s="27">
        <v>0</v>
      </c>
      <c r="AE211" s="27">
        <v>0</v>
      </c>
      <c r="AF211" s="27">
        <v>2.7406448357414908</v>
      </c>
      <c r="AG211" s="27">
        <v>6.2851298148368109E-2</v>
      </c>
      <c r="AH211" s="27">
        <v>0</v>
      </c>
      <c r="AI211" s="31">
        <v>0</v>
      </c>
      <c r="AJ211" s="29">
        <v>0</v>
      </c>
      <c r="AK211" s="31">
        <v>0</v>
      </c>
      <c r="AL211" s="31">
        <v>18.49999986588956</v>
      </c>
      <c r="AM211" s="31">
        <v>0</v>
      </c>
      <c r="AN211" s="31">
        <v>0</v>
      </c>
      <c r="AO211" s="31">
        <v>0</v>
      </c>
      <c r="AP211" s="31">
        <v>66.653255112026997</v>
      </c>
      <c r="AQ211" s="31">
        <v>0</v>
      </c>
      <c r="AR211" s="29">
        <v>0</v>
      </c>
      <c r="AS211" s="29">
        <v>0</v>
      </c>
      <c r="AT211" s="29">
        <v>0</v>
      </c>
      <c r="AU211" s="29">
        <v>0</v>
      </c>
      <c r="AV211" s="29">
        <v>0</v>
      </c>
      <c r="AW211" s="29">
        <v>0</v>
      </c>
      <c r="AX211" s="29">
        <v>0</v>
      </c>
      <c r="AY211" s="29">
        <v>0</v>
      </c>
      <c r="AZ211" s="29">
        <v>6.2127675881322258E-2</v>
      </c>
      <c r="BA211" s="29">
        <v>0</v>
      </c>
      <c r="BB211" s="29">
        <v>0</v>
      </c>
      <c r="BC211" s="29">
        <v>0</v>
      </c>
      <c r="BD211" s="29">
        <v>1.942581071841591</v>
      </c>
      <c r="BK211" s="3">
        <v>0</v>
      </c>
      <c r="BL211" s="3">
        <v>20.566160716382111</v>
      </c>
      <c r="BM211" s="3">
        <v>62.860904040023414</v>
      </c>
    </row>
    <row r="212" spans="1:65" ht="15.75" customHeight="1" x14ac:dyDescent="0.25">
      <c r="A212" s="3" t="s">
        <v>1008</v>
      </c>
      <c r="B212" s="3" t="s">
        <v>900</v>
      </c>
      <c r="C212" s="3" t="s">
        <v>987</v>
      </c>
      <c r="D212" s="27" t="s">
        <v>900</v>
      </c>
      <c r="E212" s="27" t="s">
        <v>989</v>
      </c>
      <c r="F212" s="31">
        <v>1981</v>
      </c>
      <c r="G212" s="31">
        <v>1981</v>
      </c>
      <c r="H212" s="31">
        <v>327</v>
      </c>
      <c r="I212" s="27">
        <v>0</v>
      </c>
      <c r="J212" s="27">
        <v>14.04999971389768</v>
      </c>
      <c r="L212" s="27">
        <v>0</v>
      </c>
      <c r="P212" s="29">
        <v>0</v>
      </c>
      <c r="AB212" s="27">
        <v>200</v>
      </c>
      <c r="AC212" s="27">
        <v>0</v>
      </c>
      <c r="AD212" s="27">
        <v>0</v>
      </c>
      <c r="AE212" s="27">
        <v>0</v>
      </c>
      <c r="AF212" s="27">
        <v>2.9909663221691369</v>
      </c>
      <c r="AG212" s="27">
        <v>6.842958058487987E-2</v>
      </c>
      <c r="AH212" s="27">
        <v>0</v>
      </c>
      <c r="AI212" s="31">
        <v>0</v>
      </c>
      <c r="AJ212" s="29">
        <v>0</v>
      </c>
      <c r="AK212" s="31">
        <v>0</v>
      </c>
      <c r="AL212" s="31">
        <v>18.49999986588956</v>
      </c>
      <c r="AM212" s="31">
        <v>0</v>
      </c>
      <c r="AN212" s="31">
        <v>0</v>
      </c>
      <c r="AO212" s="31">
        <v>0</v>
      </c>
      <c r="AP212" s="31">
        <v>66.721684692611873</v>
      </c>
      <c r="AQ212" s="31">
        <v>0</v>
      </c>
      <c r="AR212" s="29">
        <v>0</v>
      </c>
      <c r="AS212" s="29">
        <v>0</v>
      </c>
      <c r="AT212" s="29">
        <v>0</v>
      </c>
      <c r="AU212" s="29">
        <v>0</v>
      </c>
      <c r="AV212" s="29">
        <v>0</v>
      </c>
      <c r="AW212" s="29">
        <v>0</v>
      </c>
      <c r="AX212" s="29">
        <v>0</v>
      </c>
      <c r="AY212" s="29">
        <v>0</v>
      </c>
      <c r="AZ212" s="29">
        <v>6.2127675881322258E-2</v>
      </c>
      <c r="BA212" s="29">
        <v>0</v>
      </c>
      <c r="BB212" s="29">
        <v>0</v>
      </c>
      <c r="BC212" s="29">
        <v>0</v>
      </c>
      <c r="BD212" s="29">
        <v>1.942581071841591</v>
      </c>
      <c r="BK212" s="3">
        <v>0</v>
      </c>
      <c r="BL212" s="3">
        <v>20.497731135797231</v>
      </c>
      <c r="BM212" s="3">
        <v>62.860904040023414</v>
      </c>
    </row>
    <row r="213" spans="1:65" ht="15.75" customHeight="1" x14ac:dyDescent="0.25">
      <c r="A213" s="3" t="s">
        <v>1008</v>
      </c>
      <c r="B213" s="3" t="s">
        <v>900</v>
      </c>
      <c r="C213" s="3" t="s">
        <v>987</v>
      </c>
      <c r="D213" s="27" t="s">
        <v>900</v>
      </c>
      <c r="E213" s="27" t="s">
        <v>989</v>
      </c>
      <c r="F213" s="31">
        <v>1981</v>
      </c>
      <c r="G213" s="31">
        <v>1981</v>
      </c>
      <c r="H213" s="31">
        <v>328</v>
      </c>
      <c r="I213" s="27">
        <v>0</v>
      </c>
      <c r="J213" s="27">
        <v>11.75000035762789</v>
      </c>
      <c r="L213" s="27">
        <v>0</v>
      </c>
      <c r="P213" s="29">
        <v>0</v>
      </c>
      <c r="AB213" s="27">
        <v>200</v>
      </c>
      <c r="AC213" s="27">
        <v>0</v>
      </c>
      <c r="AD213" s="27">
        <v>0</v>
      </c>
      <c r="AE213" s="27">
        <v>0</v>
      </c>
      <c r="AF213" s="27">
        <v>2.8677078439573394</v>
      </c>
      <c r="AG213" s="27">
        <v>6.5455022311754249E-2</v>
      </c>
      <c r="AH213" s="27">
        <v>0</v>
      </c>
      <c r="AI213" s="31">
        <v>0</v>
      </c>
      <c r="AJ213" s="29">
        <v>0</v>
      </c>
      <c r="AK213" s="31">
        <v>0</v>
      </c>
      <c r="AL213" s="31">
        <v>18.49999986588956</v>
      </c>
      <c r="AM213" s="31">
        <v>0</v>
      </c>
      <c r="AN213" s="31">
        <v>0</v>
      </c>
      <c r="AO213" s="31">
        <v>0</v>
      </c>
      <c r="AP213" s="31">
        <v>66.787139714923626</v>
      </c>
      <c r="AQ213" s="31">
        <v>0</v>
      </c>
      <c r="AR213" s="29">
        <v>0</v>
      </c>
      <c r="AS213" s="29">
        <v>0</v>
      </c>
      <c r="AT213" s="29">
        <v>0</v>
      </c>
      <c r="AU213" s="29">
        <v>0</v>
      </c>
      <c r="AV213" s="29">
        <v>0</v>
      </c>
      <c r="AW213" s="29">
        <v>0</v>
      </c>
      <c r="AX213" s="29">
        <v>0</v>
      </c>
      <c r="AY213" s="29">
        <v>0</v>
      </c>
      <c r="AZ213" s="29">
        <v>6.2127675881322258E-2</v>
      </c>
      <c r="BA213" s="29">
        <v>0</v>
      </c>
      <c r="BB213" s="29">
        <v>0</v>
      </c>
      <c r="BC213" s="29">
        <v>0</v>
      </c>
      <c r="BD213" s="29">
        <v>1.942581071841591</v>
      </c>
      <c r="BK213" s="3">
        <v>0</v>
      </c>
      <c r="BL213" s="3">
        <v>20.432276113485479</v>
      </c>
      <c r="BM213" s="3">
        <v>62.860904040023414</v>
      </c>
    </row>
    <row r="214" spans="1:65" ht="15.75" customHeight="1" x14ac:dyDescent="0.25">
      <c r="A214" s="3" t="s">
        <v>1008</v>
      </c>
      <c r="B214" s="3" t="s">
        <v>900</v>
      </c>
      <c r="C214" s="3" t="s">
        <v>987</v>
      </c>
      <c r="D214" s="27" t="s">
        <v>900</v>
      </c>
      <c r="E214" s="27" t="s">
        <v>989</v>
      </c>
      <c r="F214" s="31">
        <v>1981</v>
      </c>
      <c r="G214" s="31">
        <v>1981</v>
      </c>
      <c r="H214" s="31">
        <v>329</v>
      </c>
      <c r="I214" s="27">
        <v>0</v>
      </c>
      <c r="J214" s="27">
        <v>10.60000020265578</v>
      </c>
      <c r="L214" s="27">
        <v>0</v>
      </c>
      <c r="P214" s="29">
        <v>0</v>
      </c>
      <c r="AB214" s="27">
        <v>200</v>
      </c>
      <c r="AC214" s="27">
        <v>0</v>
      </c>
      <c r="AD214" s="27">
        <v>0</v>
      </c>
      <c r="AE214" s="27">
        <v>0</v>
      </c>
      <c r="AF214" s="27">
        <v>2.8006267353490855</v>
      </c>
      <c r="AG214" s="27">
        <v>6.3774024760995848E-2</v>
      </c>
      <c r="AH214" s="27">
        <v>0</v>
      </c>
      <c r="AI214" s="31">
        <v>0</v>
      </c>
      <c r="AJ214" s="29">
        <v>0</v>
      </c>
      <c r="AK214" s="31">
        <v>0</v>
      </c>
      <c r="AL214" s="31">
        <v>18.49999986588956</v>
      </c>
      <c r="AM214" s="31">
        <v>0</v>
      </c>
      <c r="AN214" s="31">
        <v>0</v>
      </c>
      <c r="AO214" s="31">
        <v>0</v>
      </c>
      <c r="AP214" s="31">
        <v>66.850913739684628</v>
      </c>
      <c r="AQ214" s="31">
        <v>0</v>
      </c>
      <c r="AR214" s="29">
        <v>0</v>
      </c>
      <c r="AS214" s="29">
        <v>0</v>
      </c>
      <c r="AT214" s="29">
        <v>0</v>
      </c>
      <c r="AU214" s="29">
        <v>0</v>
      </c>
      <c r="AV214" s="29">
        <v>0</v>
      </c>
      <c r="AW214" s="29">
        <v>0</v>
      </c>
      <c r="AX214" s="29">
        <v>0</v>
      </c>
      <c r="AY214" s="29">
        <v>0</v>
      </c>
      <c r="AZ214" s="29">
        <v>6.2127675881322258E-2</v>
      </c>
      <c r="BA214" s="29">
        <v>0</v>
      </c>
      <c r="BB214" s="29">
        <v>0</v>
      </c>
      <c r="BC214" s="29">
        <v>0</v>
      </c>
      <c r="BD214" s="29">
        <v>1.942581071841591</v>
      </c>
      <c r="BK214" s="3">
        <v>0</v>
      </c>
      <c r="BL214" s="3">
        <v>20.368502088724483</v>
      </c>
      <c r="BM214" s="3">
        <v>62.860904040023414</v>
      </c>
    </row>
    <row r="215" spans="1:65" ht="15.75" customHeight="1" x14ac:dyDescent="0.25">
      <c r="A215" s="3" t="s">
        <v>1008</v>
      </c>
      <c r="B215" s="3" t="s">
        <v>900</v>
      </c>
      <c r="C215" s="3" t="s">
        <v>987</v>
      </c>
      <c r="D215" s="27" t="s">
        <v>900</v>
      </c>
      <c r="E215" s="27" t="s">
        <v>989</v>
      </c>
      <c r="F215" s="31">
        <v>1981</v>
      </c>
      <c r="G215" s="31">
        <v>1981</v>
      </c>
      <c r="H215" s="31">
        <v>330</v>
      </c>
      <c r="I215" s="27">
        <v>0</v>
      </c>
      <c r="J215" s="27">
        <v>11.200000166892991</v>
      </c>
      <c r="L215" s="27">
        <v>0</v>
      </c>
      <c r="P215" s="29">
        <v>0</v>
      </c>
      <c r="AB215" s="27">
        <v>200</v>
      </c>
      <c r="AC215" s="27">
        <v>0</v>
      </c>
      <c r="AD215" s="27">
        <v>0</v>
      </c>
      <c r="AE215" s="27">
        <v>0</v>
      </c>
      <c r="AF215" s="27">
        <v>2.6913188991641568</v>
      </c>
      <c r="AG215" s="27">
        <v>6.114191620093691E-2</v>
      </c>
      <c r="AH215" s="27">
        <v>0</v>
      </c>
      <c r="AI215" s="31">
        <v>0</v>
      </c>
      <c r="AJ215" s="29">
        <v>0</v>
      </c>
      <c r="AK215" s="31">
        <v>0</v>
      </c>
      <c r="AL215" s="31">
        <v>18.49999986588956</v>
      </c>
      <c r="AM215" s="31">
        <v>0</v>
      </c>
      <c r="AN215" s="31">
        <v>0</v>
      </c>
      <c r="AO215" s="31">
        <v>0</v>
      </c>
      <c r="AP215" s="31">
        <v>66.912055655885567</v>
      </c>
      <c r="AQ215" s="31">
        <v>0</v>
      </c>
      <c r="AR215" s="29">
        <v>0</v>
      </c>
      <c r="AS215" s="29">
        <v>0</v>
      </c>
      <c r="AT215" s="29">
        <v>0</v>
      </c>
      <c r="AU215" s="29">
        <v>0</v>
      </c>
      <c r="AV215" s="29">
        <v>0</v>
      </c>
      <c r="AW215" s="29">
        <v>0</v>
      </c>
      <c r="AX215" s="29">
        <v>0</v>
      </c>
      <c r="AY215" s="29">
        <v>0</v>
      </c>
      <c r="AZ215" s="29">
        <v>6.2127675881322258E-2</v>
      </c>
      <c r="BA215" s="29">
        <v>0</v>
      </c>
      <c r="BB215" s="29">
        <v>0</v>
      </c>
      <c r="BC215" s="29">
        <v>0</v>
      </c>
      <c r="BD215" s="29">
        <v>1.942581071841591</v>
      </c>
      <c r="BK215" s="3">
        <v>0</v>
      </c>
      <c r="BL215" s="3">
        <v>20.307360172523545</v>
      </c>
      <c r="BM215" s="3">
        <v>62.860904040023414</v>
      </c>
    </row>
    <row r="216" spans="1:65" ht="15.75" customHeight="1" x14ac:dyDescent="0.25">
      <c r="A216" s="3" t="s">
        <v>1008</v>
      </c>
      <c r="B216" s="3" t="s">
        <v>900</v>
      </c>
      <c r="C216" s="3" t="s">
        <v>987</v>
      </c>
      <c r="D216" s="27" t="s">
        <v>900</v>
      </c>
      <c r="E216" s="27" t="s">
        <v>989</v>
      </c>
      <c r="F216" s="31">
        <v>1981</v>
      </c>
      <c r="G216" s="31">
        <v>1981</v>
      </c>
      <c r="H216" s="31">
        <v>331</v>
      </c>
      <c r="I216" s="27">
        <v>0</v>
      </c>
      <c r="J216" s="27">
        <v>12.79999971389768</v>
      </c>
      <c r="L216" s="27">
        <v>0</v>
      </c>
      <c r="P216" s="29">
        <v>0</v>
      </c>
      <c r="AB216" s="27">
        <v>200</v>
      </c>
      <c r="AC216" s="27">
        <v>0</v>
      </c>
      <c r="AD216" s="27">
        <v>0</v>
      </c>
      <c r="AE216" s="27">
        <v>0</v>
      </c>
      <c r="AF216" s="27">
        <v>2.7843624898750949</v>
      </c>
      <c r="AG216" s="27">
        <v>6.3108762920221259E-2</v>
      </c>
      <c r="AH216" s="27">
        <v>0</v>
      </c>
      <c r="AI216" s="31">
        <v>0</v>
      </c>
      <c r="AJ216" s="29">
        <v>0</v>
      </c>
      <c r="AK216" s="31">
        <v>0</v>
      </c>
      <c r="AL216" s="31">
        <v>18.49999986588956</v>
      </c>
      <c r="AM216" s="31">
        <v>0</v>
      </c>
      <c r="AN216" s="31">
        <v>0</v>
      </c>
      <c r="AO216" s="31">
        <v>0</v>
      </c>
      <c r="AP216" s="31">
        <v>66.97516441880579</v>
      </c>
      <c r="AQ216" s="31">
        <v>0</v>
      </c>
      <c r="AR216" s="29">
        <v>0</v>
      </c>
      <c r="AS216" s="29">
        <v>0</v>
      </c>
      <c r="AT216" s="29">
        <v>0</v>
      </c>
      <c r="AU216" s="29">
        <v>0</v>
      </c>
      <c r="AV216" s="29">
        <v>0</v>
      </c>
      <c r="AW216" s="29">
        <v>0</v>
      </c>
      <c r="AX216" s="29">
        <v>0</v>
      </c>
      <c r="AY216" s="29">
        <v>0</v>
      </c>
      <c r="AZ216" s="29">
        <v>6.2127675881322258E-2</v>
      </c>
      <c r="BA216" s="29">
        <v>0</v>
      </c>
      <c r="BB216" s="29">
        <v>0</v>
      </c>
      <c r="BC216" s="29">
        <v>0</v>
      </c>
      <c r="BD216" s="29">
        <v>1.942581071841591</v>
      </c>
      <c r="BK216" s="3">
        <v>0</v>
      </c>
      <c r="BL216" s="3">
        <v>20.244251409603322</v>
      </c>
      <c r="BM216" s="3">
        <v>62.860904040023414</v>
      </c>
    </row>
    <row r="217" spans="1:65" ht="15.75" customHeight="1" x14ac:dyDescent="0.25">
      <c r="A217" s="3" t="s">
        <v>1008</v>
      </c>
      <c r="B217" s="3" t="s">
        <v>900</v>
      </c>
      <c r="C217" s="3" t="s">
        <v>987</v>
      </c>
      <c r="D217" s="27" t="s">
        <v>900</v>
      </c>
      <c r="E217" s="27" t="s">
        <v>989</v>
      </c>
      <c r="F217" s="31">
        <v>1981</v>
      </c>
      <c r="G217" s="31">
        <v>1981</v>
      </c>
      <c r="H217" s="31">
        <v>332</v>
      </c>
      <c r="I217" s="27">
        <v>0</v>
      </c>
      <c r="J217" s="27">
        <v>11.25000035762789</v>
      </c>
      <c r="L217" s="27">
        <v>0</v>
      </c>
      <c r="P217" s="29">
        <v>0</v>
      </c>
      <c r="AB217" s="27">
        <v>200</v>
      </c>
      <c r="AC217" s="27">
        <v>0</v>
      </c>
      <c r="AD217" s="27">
        <v>0</v>
      </c>
      <c r="AE217" s="27">
        <v>0</v>
      </c>
      <c r="AF217" s="27">
        <v>2.7867867120071068</v>
      </c>
      <c r="AG217" s="27">
        <v>6.3017665104457554E-2</v>
      </c>
      <c r="AH217" s="27">
        <v>0</v>
      </c>
      <c r="AI217" s="31">
        <v>0</v>
      </c>
      <c r="AJ217" s="29">
        <v>0</v>
      </c>
      <c r="AK217" s="31">
        <v>0</v>
      </c>
      <c r="AL217" s="31">
        <v>18.49999986588956</v>
      </c>
      <c r="AM217" s="31">
        <v>0</v>
      </c>
      <c r="AN217" s="31">
        <v>0</v>
      </c>
      <c r="AO217" s="31">
        <v>0</v>
      </c>
      <c r="AP217" s="31">
        <v>67.038182083910243</v>
      </c>
      <c r="AQ217" s="31">
        <v>0</v>
      </c>
      <c r="AR217" s="29">
        <v>0</v>
      </c>
      <c r="AS217" s="29">
        <v>0</v>
      </c>
      <c r="AT217" s="29">
        <v>0</v>
      </c>
      <c r="AU217" s="29">
        <v>0</v>
      </c>
      <c r="AV217" s="29">
        <v>0</v>
      </c>
      <c r="AW217" s="29">
        <v>0</v>
      </c>
      <c r="AX217" s="29">
        <v>0</v>
      </c>
      <c r="AY217" s="29">
        <v>0</v>
      </c>
      <c r="AZ217" s="29">
        <v>6.2127675881322258E-2</v>
      </c>
      <c r="BA217" s="29">
        <v>0</v>
      </c>
      <c r="BB217" s="29">
        <v>0</v>
      </c>
      <c r="BC217" s="29">
        <v>0</v>
      </c>
      <c r="BD217" s="29">
        <v>1.942581071841591</v>
      </c>
      <c r="BK217" s="3">
        <v>0</v>
      </c>
      <c r="BL217" s="3">
        <v>20.181233744498865</v>
      </c>
      <c r="BM217" s="3">
        <v>62.860904040023414</v>
      </c>
    </row>
    <row r="218" spans="1:65" ht="15.75" customHeight="1" x14ac:dyDescent="0.25">
      <c r="A218" s="3" t="s">
        <v>1008</v>
      </c>
      <c r="B218" s="3" t="s">
        <v>900</v>
      </c>
      <c r="C218" s="3" t="s">
        <v>987</v>
      </c>
      <c r="D218" s="27" t="s">
        <v>900</v>
      </c>
      <c r="E218" s="27" t="s">
        <v>989</v>
      </c>
      <c r="F218" s="31">
        <v>1981</v>
      </c>
      <c r="G218" s="31">
        <v>1981</v>
      </c>
      <c r="H218" s="31">
        <v>333</v>
      </c>
      <c r="I218" s="27">
        <v>0</v>
      </c>
      <c r="J218" s="27">
        <v>10.349999815225614</v>
      </c>
      <c r="L218" s="27">
        <v>0</v>
      </c>
      <c r="P218" s="29">
        <v>0</v>
      </c>
      <c r="AB218" s="27">
        <v>200</v>
      </c>
      <c r="AC218" s="27">
        <v>0</v>
      </c>
      <c r="AD218" s="27">
        <v>0</v>
      </c>
      <c r="AE218" s="27">
        <v>0</v>
      </c>
      <c r="AF218" s="27">
        <v>2.7299625695632428</v>
      </c>
      <c r="AG218" s="27">
        <v>6.159062148073853E-2</v>
      </c>
      <c r="AH218" s="27">
        <v>0</v>
      </c>
      <c r="AI218" s="31">
        <v>0</v>
      </c>
      <c r="AJ218" s="29">
        <v>0</v>
      </c>
      <c r="AK218" s="31">
        <v>0</v>
      </c>
      <c r="AL218" s="31">
        <v>18.49999986588956</v>
      </c>
      <c r="AM218" s="31">
        <v>0</v>
      </c>
      <c r="AN218" s="31">
        <v>0</v>
      </c>
      <c r="AO218" s="31">
        <v>0</v>
      </c>
      <c r="AP218" s="31">
        <v>67.099772705390976</v>
      </c>
      <c r="AQ218" s="31">
        <v>0</v>
      </c>
      <c r="AR218" s="29">
        <v>0</v>
      </c>
      <c r="AS218" s="29">
        <v>0</v>
      </c>
      <c r="AT218" s="29">
        <v>0</v>
      </c>
      <c r="AU218" s="29">
        <v>0</v>
      </c>
      <c r="AV218" s="29">
        <v>0</v>
      </c>
      <c r="AW218" s="29">
        <v>0</v>
      </c>
      <c r="AX218" s="29">
        <v>0</v>
      </c>
      <c r="AY218" s="29">
        <v>0</v>
      </c>
      <c r="AZ218" s="29">
        <v>6.2127675881322258E-2</v>
      </c>
      <c r="BA218" s="29">
        <v>0</v>
      </c>
      <c r="BB218" s="29">
        <v>0</v>
      </c>
      <c r="BC218" s="29">
        <v>0</v>
      </c>
      <c r="BD218" s="29">
        <v>1.942581071841591</v>
      </c>
      <c r="BK218" s="3">
        <v>0</v>
      </c>
      <c r="BL218" s="3">
        <v>20.119643123018125</v>
      </c>
      <c r="BM218" s="3">
        <v>62.860904040023414</v>
      </c>
    </row>
    <row r="219" spans="1:65" ht="15.75" customHeight="1" x14ac:dyDescent="0.25">
      <c r="A219" s="3" t="s">
        <v>1008</v>
      </c>
      <c r="B219" s="3" t="s">
        <v>900</v>
      </c>
      <c r="C219" s="3" t="s">
        <v>987</v>
      </c>
      <c r="D219" s="27" t="s">
        <v>900</v>
      </c>
      <c r="E219" s="27" t="s">
        <v>989</v>
      </c>
      <c r="F219" s="31">
        <v>1981</v>
      </c>
      <c r="G219" s="31">
        <v>1981</v>
      </c>
      <c r="H219" s="31">
        <v>334</v>
      </c>
      <c r="I219" s="27">
        <v>0</v>
      </c>
      <c r="J219" s="27">
        <v>11.250000238418565</v>
      </c>
      <c r="L219" s="27">
        <v>0</v>
      </c>
      <c r="P219" s="29">
        <v>0</v>
      </c>
      <c r="AB219" s="27">
        <v>200</v>
      </c>
      <c r="AC219" s="27">
        <v>0</v>
      </c>
      <c r="AD219" s="27">
        <v>0</v>
      </c>
      <c r="AE219" s="27">
        <v>0</v>
      </c>
      <c r="AF219" s="27">
        <v>2.7517721976631457</v>
      </c>
      <c r="AG219" s="27">
        <v>6.1940439093636737E-2</v>
      </c>
      <c r="AH219" s="27">
        <v>0</v>
      </c>
      <c r="AI219" s="31">
        <v>0</v>
      </c>
      <c r="AJ219" s="29">
        <v>0</v>
      </c>
      <c r="AK219" s="31">
        <v>0</v>
      </c>
      <c r="AL219" s="31">
        <v>18.49999986588956</v>
      </c>
      <c r="AM219" s="31">
        <v>0</v>
      </c>
      <c r="AN219" s="31">
        <v>0</v>
      </c>
      <c r="AO219" s="31">
        <v>0</v>
      </c>
      <c r="AP219" s="31">
        <v>67.161713144484608</v>
      </c>
      <c r="AQ219" s="31">
        <v>0</v>
      </c>
      <c r="AR219" s="29">
        <v>0</v>
      </c>
      <c r="AS219" s="29">
        <v>0</v>
      </c>
      <c r="AT219" s="29">
        <v>0</v>
      </c>
      <c r="AU219" s="29">
        <v>0</v>
      </c>
      <c r="AV219" s="29">
        <v>0</v>
      </c>
      <c r="AW219" s="29">
        <v>0</v>
      </c>
      <c r="AX219" s="29">
        <v>0</v>
      </c>
      <c r="AY219" s="29">
        <v>0</v>
      </c>
      <c r="AZ219" s="29">
        <v>6.2127675881322258E-2</v>
      </c>
      <c r="BA219" s="29">
        <v>0</v>
      </c>
      <c r="BB219" s="29">
        <v>0</v>
      </c>
      <c r="BC219" s="29">
        <v>0</v>
      </c>
      <c r="BD219" s="29">
        <v>1.942581071841591</v>
      </c>
      <c r="BK219" s="3">
        <v>0</v>
      </c>
      <c r="BL219" s="3">
        <v>20.057702683924489</v>
      </c>
      <c r="BM219" s="3">
        <v>62.860904040023414</v>
      </c>
    </row>
    <row r="220" spans="1:65" ht="15.75" customHeight="1" x14ac:dyDescent="0.25">
      <c r="A220" s="3" t="s">
        <v>1008</v>
      </c>
      <c r="B220" s="3" t="s">
        <v>900</v>
      </c>
      <c r="C220" s="3" t="s">
        <v>987</v>
      </c>
      <c r="D220" s="27" t="s">
        <v>900</v>
      </c>
      <c r="E220" s="27" t="s">
        <v>989</v>
      </c>
      <c r="F220" s="31">
        <v>1981</v>
      </c>
      <c r="G220" s="31">
        <v>1981</v>
      </c>
      <c r="H220" s="31">
        <v>335</v>
      </c>
      <c r="I220" s="27">
        <v>0</v>
      </c>
      <c r="J220" s="27">
        <v>10.200000405311609</v>
      </c>
      <c r="L220" s="27">
        <v>0</v>
      </c>
      <c r="P220" s="29">
        <v>0</v>
      </c>
      <c r="AB220" s="27">
        <v>200</v>
      </c>
      <c r="AC220" s="27">
        <v>0</v>
      </c>
      <c r="AD220" s="27">
        <v>0</v>
      </c>
      <c r="AE220" s="27">
        <v>0</v>
      </c>
      <c r="AF220" s="27">
        <v>2.6657826905142179</v>
      </c>
      <c r="AG220" s="27">
        <v>5.9868034561494678E-2</v>
      </c>
      <c r="AH220" s="27">
        <v>0</v>
      </c>
      <c r="AI220" s="31">
        <v>0</v>
      </c>
      <c r="AJ220" s="29">
        <v>0</v>
      </c>
      <c r="AK220" s="31">
        <v>0</v>
      </c>
      <c r="AL220" s="31">
        <v>18.49999986588956</v>
      </c>
      <c r="AM220" s="31">
        <v>0</v>
      </c>
      <c r="AN220" s="31">
        <v>0</v>
      </c>
      <c r="AO220" s="31">
        <v>0</v>
      </c>
      <c r="AP220" s="31">
        <v>67.221581179046098</v>
      </c>
      <c r="AQ220" s="31">
        <v>0</v>
      </c>
      <c r="AR220" s="29">
        <v>0</v>
      </c>
      <c r="AS220" s="29">
        <v>0</v>
      </c>
      <c r="AT220" s="29">
        <v>0</v>
      </c>
      <c r="AU220" s="29">
        <v>0</v>
      </c>
      <c r="AV220" s="29">
        <v>0</v>
      </c>
      <c r="AW220" s="29">
        <v>0</v>
      </c>
      <c r="AX220" s="29">
        <v>0</v>
      </c>
      <c r="AY220" s="29">
        <v>0</v>
      </c>
      <c r="AZ220" s="29">
        <v>6.2127675881322258E-2</v>
      </c>
      <c r="BA220" s="29">
        <v>0</v>
      </c>
      <c r="BB220" s="29">
        <v>0</v>
      </c>
      <c r="BC220" s="29">
        <v>0</v>
      </c>
      <c r="BD220" s="29">
        <v>1.942581071841591</v>
      </c>
      <c r="BK220" s="3">
        <v>0</v>
      </c>
      <c r="BL220" s="3">
        <v>19.997834649362996</v>
      </c>
      <c r="BM220" s="3">
        <v>62.860904040023414</v>
      </c>
    </row>
    <row r="221" spans="1:65" ht="15.75" customHeight="1" x14ac:dyDescent="0.25">
      <c r="A221" s="3" t="s">
        <v>1008</v>
      </c>
      <c r="B221" s="3" t="s">
        <v>900</v>
      </c>
      <c r="C221" s="3" t="s">
        <v>987</v>
      </c>
      <c r="D221" s="27" t="s">
        <v>900</v>
      </c>
      <c r="E221" s="27" t="s">
        <v>989</v>
      </c>
      <c r="F221" s="31">
        <v>1981</v>
      </c>
      <c r="G221" s="31">
        <v>1981</v>
      </c>
      <c r="H221" s="31">
        <v>336</v>
      </c>
      <c r="I221" s="27">
        <v>0</v>
      </c>
      <c r="J221" s="27">
        <v>10.149999797344218</v>
      </c>
      <c r="L221" s="27">
        <v>0</v>
      </c>
      <c r="P221" s="29">
        <v>0</v>
      </c>
      <c r="AB221" s="27">
        <v>200</v>
      </c>
      <c r="AC221" s="27">
        <v>0</v>
      </c>
      <c r="AD221" s="27">
        <v>0</v>
      </c>
      <c r="AE221" s="27">
        <v>0</v>
      </c>
      <c r="AF221" s="27">
        <v>2.6387872735234001</v>
      </c>
      <c r="AG221" s="27">
        <v>5.9127239142952003E-2</v>
      </c>
      <c r="AH221" s="27">
        <v>0</v>
      </c>
      <c r="AI221" s="31">
        <v>0</v>
      </c>
      <c r="AJ221" s="29">
        <v>0</v>
      </c>
      <c r="AK221" s="31">
        <v>0</v>
      </c>
      <c r="AL221" s="31">
        <v>18.49999986588956</v>
      </c>
      <c r="AM221" s="31">
        <v>0</v>
      </c>
      <c r="AN221" s="31">
        <v>0</v>
      </c>
      <c r="AO221" s="31">
        <v>0</v>
      </c>
      <c r="AP221" s="31">
        <v>67.28070841818905</v>
      </c>
      <c r="AQ221" s="31">
        <v>0</v>
      </c>
      <c r="AR221" s="29">
        <v>0</v>
      </c>
      <c r="AS221" s="29">
        <v>0</v>
      </c>
      <c r="AT221" s="29">
        <v>0</v>
      </c>
      <c r="AU221" s="29">
        <v>0</v>
      </c>
      <c r="AV221" s="29">
        <v>0</v>
      </c>
      <c r="AW221" s="29">
        <v>0</v>
      </c>
      <c r="AX221" s="29">
        <v>0</v>
      </c>
      <c r="AY221" s="29">
        <v>0</v>
      </c>
      <c r="AZ221" s="29">
        <v>6.2127675881322258E-2</v>
      </c>
      <c r="BA221" s="29">
        <v>0</v>
      </c>
      <c r="BB221" s="29">
        <v>0</v>
      </c>
      <c r="BC221" s="29">
        <v>0</v>
      </c>
      <c r="BD221" s="29">
        <v>1.942581071841591</v>
      </c>
      <c r="BK221" s="3">
        <v>0</v>
      </c>
      <c r="BL221" s="3">
        <v>19.938707410220044</v>
      </c>
      <c r="BM221" s="3">
        <v>62.860904040023414</v>
      </c>
    </row>
    <row r="222" spans="1:65" ht="15.75" customHeight="1" x14ac:dyDescent="0.25">
      <c r="A222" s="3" t="s">
        <v>1008</v>
      </c>
      <c r="B222" s="3" t="s">
        <v>900</v>
      </c>
      <c r="C222" s="3" t="s">
        <v>987</v>
      </c>
      <c r="D222" s="27" t="s">
        <v>900</v>
      </c>
      <c r="E222" s="27" t="s">
        <v>989</v>
      </c>
      <c r="F222" s="31">
        <v>1981</v>
      </c>
      <c r="G222" s="31">
        <v>1981</v>
      </c>
      <c r="H222" s="31">
        <v>337</v>
      </c>
      <c r="I222" s="27">
        <v>0</v>
      </c>
      <c r="J222" s="27">
        <v>9.7500001788139219</v>
      </c>
      <c r="L222" s="27">
        <v>0</v>
      </c>
      <c r="P222" s="29">
        <v>0</v>
      </c>
      <c r="AB222" s="27">
        <v>200</v>
      </c>
      <c r="AC222" s="27">
        <v>0</v>
      </c>
      <c r="AD222" s="27">
        <v>0</v>
      </c>
      <c r="AE222" s="27">
        <v>0</v>
      </c>
      <c r="AF222" s="27">
        <v>2.6569611391580903</v>
      </c>
      <c r="AG222" s="27">
        <v>5.939991881718748E-2</v>
      </c>
      <c r="AH222" s="27">
        <v>0</v>
      </c>
      <c r="AI222" s="31">
        <v>0</v>
      </c>
      <c r="AJ222" s="29">
        <v>0</v>
      </c>
      <c r="AK222" s="31">
        <v>0</v>
      </c>
      <c r="AL222" s="31">
        <v>18.49999986588956</v>
      </c>
      <c r="AM222" s="31">
        <v>0</v>
      </c>
      <c r="AN222" s="31">
        <v>0</v>
      </c>
      <c r="AO222" s="31">
        <v>0</v>
      </c>
      <c r="AP222" s="31">
        <v>67.340108337006242</v>
      </c>
      <c r="AQ222" s="31">
        <v>0</v>
      </c>
      <c r="AR222" s="29">
        <v>0</v>
      </c>
      <c r="AS222" s="29">
        <v>0</v>
      </c>
      <c r="AT222" s="29">
        <v>0</v>
      </c>
      <c r="AU222" s="29">
        <v>0</v>
      </c>
      <c r="AV222" s="29">
        <v>0</v>
      </c>
      <c r="AW222" s="29">
        <v>0</v>
      </c>
      <c r="AX222" s="29">
        <v>0</v>
      </c>
      <c r="AY222" s="29">
        <v>0</v>
      </c>
      <c r="AZ222" s="29">
        <v>6.2127675881322258E-2</v>
      </c>
      <c r="BA222" s="29">
        <v>0</v>
      </c>
      <c r="BB222" s="29">
        <v>0</v>
      </c>
      <c r="BC222" s="29">
        <v>0</v>
      </c>
      <c r="BD222" s="29">
        <v>1.942581071841591</v>
      </c>
      <c r="BK222" s="3">
        <v>0</v>
      </c>
      <c r="BL222" s="3">
        <v>19.879307491402855</v>
      </c>
      <c r="BM222" s="3">
        <v>62.860904040023414</v>
      </c>
    </row>
    <row r="223" spans="1:65" ht="15.75" customHeight="1" x14ac:dyDescent="0.25">
      <c r="A223" s="3" t="s">
        <v>1008</v>
      </c>
      <c r="B223" s="3" t="s">
        <v>900</v>
      </c>
      <c r="C223" s="3" t="s">
        <v>987</v>
      </c>
      <c r="D223" s="27" t="s">
        <v>900</v>
      </c>
      <c r="E223" s="27" t="s">
        <v>989</v>
      </c>
      <c r="F223" s="31">
        <v>1981</v>
      </c>
      <c r="G223" s="31">
        <v>1981</v>
      </c>
      <c r="H223" s="31">
        <v>338</v>
      </c>
      <c r="I223" s="27">
        <v>0</v>
      </c>
      <c r="J223" s="27">
        <v>9.550000011920929</v>
      </c>
      <c r="L223" s="27">
        <v>0</v>
      </c>
      <c r="P223" s="29">
        <v>0</v>
      </c>
      <c r="AB223" s="27">
        <v>200</v>
      </c>
      <c r="AC223" s="27">
        <v>0</v>
      </c>
      <c r="AD223" s="27">
        <v>0</v>
      </c>
      <c r="AE223" s="27">
        <v>0</v>
      </c>
      <c r="AF223" s="27">
        <v>2.6240500454596156</v>
      </c>
      <c r="AG223" s="27">
        <v>5.8532168977248659E-2</v>
      </c>
      <c r="AH223" s="27">
        <v>0</v>
      </c>
      <c r="AI223" s="31">
        <v>0</v>
      </c>
      <c r="AJ223" s="29">
        <v>0</v>
      </c>
      <c r="AK223" s="31">
        <v>0</v>
      </c>
      <c r="AL223" s="31">
        <v>18.49999986588956</v>
      </c>
      <c r="AM223" s="31">
        <v>0</v>
      </c>
      <c r="AN223" s="31">
        <v>0</v>
      </c>
      <c r="AO223" s="31">
        <v>0</v>
      </c>
      <c r="AP223" s="31">
        <v>67.398640505983494</v>
      </c>
      <c r="AQ223" s="31">
        <v>0</v>
      </c>
      <c r="AR223" s="29">
        <v>0</v>
      </c>
      <c r="AS223" s="29">
        <v>0</v>
      </c>
      <c r="AT223" s="29">
        <v>0</v>
      </c>
      <c r="AU223" s="29">
        <v>0</v>
      </c>
      <c r="AV223" s="29">
        <v>0</v>
      </c>
      <c r="AW223" s="29">
        <v>0</v>
      </c>
      <c r="AX223" s="29">
        <v>0</v>
      </c>
      <c r="AY223" s="29">
        <v>0</v>
      </c>
      <c r="AZ223" s="29">
        <v>6.2127675881322258E-2</v>
      </c>
      <c r="BA223" s="29">
        <v>0</v>
      </c>
      <c r="BB223" s="29">
        <v>0</v>
      </c>
      <c r="BC223" s="29">
        <v>0</v>
      </c>
      <c r="BD223" s="29">
        <v>1.942581071841591</v>
      </c>
      <c r="BK223" s="3">
        <v>0</v>
      </c>
      <c r="BL223" s="3">
        <v>19.820775322425607</v>
      </c>
      <c r="BM223" s="3">
        <v>62.860904040023414</v>
      </c>
    </row>
    <row r="224" spans="1:65" ht="15.75" customHeight="1" x14ac:dyDescent="0.25">
      <c r="A224" s="3" t="s">
        <v>1008</v>
      </c>
      <c r="B224" s="3" t="s">
        <v>900</v>
      </c>
      <c r="C224" s="3" t="s">
        <v>987</v>
      </c>
      <c r="D224" s="27" t="s">
        <v>900</v>
      </c>
      <c r="E224" s="27" t="s">
        <v>989</v>
      </c>
      <c r="F224" s="31">
        <v>1981</v>
      </c>
      <c r="G224" s="31">
        <v>1981</v>
      </c>
      <c r="H224" s="31">
        <v>339</v>
      </c>
      <c r="I224" s="27">
        <v>0</v>
      </c>
      <c r="J224" s="27">
        <v>8.5500003695488189</v>
      </c>
      <c r="L224" s="27">
        <v>0</v>
      </c>
      <c r="P224" s="29">
        <v>0</v>
      </c>
      <c r="AB224" s="27">
        <v>200</v>
      </c>
      <c r="AC224" s="27">
        <v>0</v>
      </c>
      <c r="AD224" s="27">
        <v>0</v>
      </c>
      <c r="AE224" s="27">
        <v>0</v>
      </c>
      <c r="AF224" s="27">
        <v>2.5729764820030514</v>
      </c>
      <c r="AG224" s="27">
        <v>5.7264379897323775E-2</v>
      </c>
      <c r="AH224" s="27">
        <v>0</v>
      </c>
      <c r="AI224" s="31">
        <v>0</v>
      </c>
      <c r="AJ224" s="29">
        <v>0</v>
      </c>
      <c r="AK224" s="31">
        <v>0</v>
      </c>
      <c r="AL224" s="31">
        <v>18.49999986588956</v>
      </c>
      <c r="AM224" s="31">
        <v>0</v>
      </c>
      <c r="AN224" s="31">
        <v>0</v>
      </c>
      <c r="AO224" s="31">
        <v>0</v>
      </c>
      <c r="AP224" s="31">
        <v>67.455904885880813</v>
      </c>
      <c r="AQ224" s="31">
        <v>0</v>
      </c>
      <c r="AR224" s="29">
        <v>0</v>
      </c>
      <c r="AS224" s="29">
        <v>0</v>
      </c>
      <c r="AT224" s="29">
        <v>0</v>
      </c>
      <c r="AU224" s="29">
        <v>0</v>
      </c>
      <c r="AV224" s="29">
        <v>0</v>
      </c>
      <c r="AW224" s="29">
        <v>0</v>
      </c>
      <c r="AX224" s="29">
        <v>0</v>
      </c>
      <c r="AY224" s="29">
        <v>0</v>
      </c>
      <c r="AZ224" s="29">
        <v>6.2127675881322258E-2</v>
      </c>
      <c r="BA224" s="29">
        <v>0</v>
      </c>
      <c r="BB224" s="29">
        <v>0</v>
      </c>
      <c r="BC224" s="29">
        <v>0</v>
      </c>
      <c r="BD224" s="29">
        <v>1.942581071841591</v>
      </c>
      <c r="BK224" s="3">
        <v>0</v>
      </c>
      <c r="BL224" s="3">
        <v>19.763510942528285</v>
      </c>
      <c r="BM224" s="3">
        <v>62.860904040023414</v>
      </c>
    </row>
    <row r="225" spans="1:65" ht="15.75" customHeight="1" x14ac:dyDescent="0.25">
      <c r="A225" s="3" t="s">
        <v>1008</v>
      </c>
      <c r="B225" s="3" t="s">
        <v>900</v>
      </c>
      <c r="C225" s="3" t="s">
        <v>987</v>
      </c>
      <c r="D225" s="27" t="s">
        <v>900</v>
      </c>
      <c r="E225" s="27" t="s">
        <v>989</v>
      </c>
      <c r="F225" s="31">
        <v>1981</v>
      </c>
      <c r="G225" s="31">
        <v>1981</v>
      </c>
      <c r="H225" s="31">
        <v>340</v>
      </c>
      <c r="I225" s="27">
        <v>0</v>
      </c>
      <c r="J225" s="27">
        <v>9.25</v>
      </c>
      <c r="L225" s="27">
        <v>0</v>
      </c>
      <c r="P225" s="29">
        <v>0</v>
      </c>
      <c r="AB225" s="27">
        <v>200</v>
      </c>
      <c r="AC225" s="27">
        <v>0</v>
      </c>
      <c r="AD225" s="27">
        <v>0</v>
      </c>
      <c r="AE225" s="27">
        <v>0</v>
      </c>
      <c r="AF225" s="27">
        <v>2.4918185713854668</v>
      </c>
      <c r="AG225" s="27">
        <v>5.5334469738165387E-2</v>
      </c>
      <c r="AH225" s="27">
        <v>0</v>
      </c>
      <c r="AI225" s="31">
        <v>0</v>
      </c>
      <c r="AJ225" s="29">
        <v>0</v>
      </c>
      <c r="AK225" s="31">
        <v>0</v>
      </c>
      <c r="AL225" s="31">
        <v>18.49999986588956</v>
      </c>
      <c r="AM225" s="31">
        <v>0</v>
      </c>
      <c r="AN225" s="31">
        <v>0</v>
      </c>
      <c r="AO225" s="31">
        <v>0</v>
      </c>
      <c r="AP225" s="31">
        <v>67.511239355618983</v>
      </c>
      <c r="AQ225" s="31">
        <v>0</v>
      </c>
      <c r="AR225" s="29">
        <v>0</v>
      </c>
      <c r="AS225" s="29">
        <v>0</v>
      </c>
      <c r="AT225" s="29">
        <v>0</v>
      </c>
      <c r="AU225" s="29">
        <v>0</v>
      </c>
      <c r="AV225" s="29">
        <v>0</v>
      </c>
      <c r="AW225" s="29">
        <v>0</v>
      </c>
      <c r="AX225" s="29">
        <v>0</v>
      </c>
      <c r="AY225" s="29">
        <v>0</v>
      </c>
      <c r="AZ225" s="29">
        <v>6.2127675881322258E-2</v>
      </c>
      <c r="BA225" s="29">
        <v>0</v>
      </c>
      <c r="BB225" s="29">
        <v>0</v>
      </c>
      <c r="BC225" s="29">
        <v>0</v>
      </c>
      <c r="BD225" s="29">
        <v>1.942581071841591</v>
      </c>
      <c r="BK225" s="3">
        <v>0</v>
      </c>
      <c r="BL225" s="3">
        <v>19.708176472790118</v>
      </c>
      <c r="BM225" s="3">
        <v>62.860904040023414</v>
      </c>
    </row>
    <row r="226" spans="1:65" ht="15.75" customHeight="1" x14ac:dyDescent="0.25">
      <c r="A226" s="3" t="s">
        <v>1008</v>
      </c>
      <c r="B226" s="3" t="s">
        <v>900</v>
      </c>
      <c r="C226" s="3" t="s">
        <v>987</v>
      </c>
      <c r="D226" s="27" t="s">
        <v>900</v>
      </c>
      <c r="E226" s="27" t="s">
        <v>989</v>
      </c>
      <c r="F226" s="31">
        <v>1981</v>
      </c>
      <c r="G226" s="31">
        <v>1981</v>
      </c>
      <c r="H226" s="31">
        <v>341</v>
      </c>
      <c r="I226" s="27">
        <v>0</v>
      </c>
      <c r="J226" s="27">
        <v>10.050000190734849</v>
      </c>
      <c r="L226" s="27">
        <v>0</v>
      </c>
      <c r="P226" s="29">
        <v>0</v>
      </c>
      <c r="AB226" s="27">
        <v>200</v>
      </c>
      <c r="AC226" s="27">
        <v>0</v>
      </c>
      <c r="AD226" s="27">
        <v>0</v>
      </c>
      <c r="AE226" s="27">
        <v>0</v>
      </c>
      <c r="AF226" s="27">
        <v>2.3383195429824317</v>
      </c>
      <c r="AG226" s="27">
        <v>5.1810536662234813E-2</v>
      </c>
      <c r="AH226" s="27">
        <v>0</v>
      </c>
      <c r="AI226" s="31">
        <v>0</v>
      </c>
      <c r="AJ226" s="29">
        <v>0</v>
      </c>
      <c r="AK226" s="31">
        <v>0</v>
      </c>
      <c r="AL226" s="31">
        <v>18.49999986588956</v>
      </c>
      <c r="AM226" s="31">
        <v>0</v>
      </c>
      <c r="AN226" s="31">
        <v>0</v>
      </c>
      <c r="AO226" s="31">
        <v>0</v>
      </c>
      <c r="AP226" s="31">
        <v>67.563049892281214</v>
      </c>
      <c r="AQ226" s="31">
        <v>0</v>
      </c>
      <c r="AR226" s="29">
        <v>0</v>
      </c>
      <c r="AS226" s="29">
        <v>0</v>
      </c>
      <c r="AT226" s="29">
        <v>0</v>
      </c>
      <c r="AU226" s="29">
        <v>0</v>
      </c>
      <c r="AV226" s="29">
        <v>0</v>
      </c>
      <c r="AW226" s="29">
        <v>0</v>
      </c>
      <c r="AX226" s="29">
        <v>0</v>
      </c>
      <c r="AY226" s="29">
        <v>0</v>
      </c>
      <c r="AZ226" s="29">
        <v>6.2127675881322258E-2</v>
      </c>
      <c r="BA226" s="29">
        <v>0</v>
      </c>
      <c r="BB226" s="29">
        <v>0</v>
      </c>
      <c r="BC226" s="29">
        <v>0</v>
      </c>
      <c r="BD226" s="29">
        <v>1.942581071841591</v>
      </c>
      <c r="BK226" s="3">
        <v>0</v>
      </c>
      <c r="BL226" s="3">
        <v>19.656365936127884</v>
      </c>
      <c r="BM226" s="3">
        <v>62.860904040023414</v>
      </c>
    </row>
    <row r="227" spans="1:65" ht="15.75" customHeight="1" x14ac:dyDescent="0.25">
      <c r="A227" s="3" t="s">
        <v>1008</v>
      </c>
      <c r="B227" s="3" t="s">
        <v>900</v>
      </c>
      <c r="C227" s="3" t="s">
        <v>987</v>
      </c>
      <c r="D227" s="27" t="s">
        <v>900</v>
      </c>
      <c r="E227" s="27" t="s">
        <v>989</v>
      </c>
      <c r="F227" s="31">
        <v>1981</v>
      </c>
      <c r="G227" s="31">
        <v>1981</v>
      </c>
      <c r="H227" s="31">
        <v>342</v>
      </c>
      <c r="I227" s="27">
        <v>0</v>
      </c>
      <c r="J227" s="27">
        <v>8.7999998033046847</v>
      </c>
      <c r="L227" s="27">
        <v>0</v>
      </c>
      <c r="P227" s="29">
        <v>0</v>
      </c>
      <c r="AB227" s="27">
        <v>200</v>
      </c>
      <c r="AC227" s="27">
        <v>0</v>
      </c>
      <c r="AD227" s="27">
        <v>0</v>
      </c>
      <c r="AE227" s="27">
        <v>0</v>
      </c>
      <c r="AF227" s="27">
        <v>2.5087807492593455</v>
      </c>
      <c r="AG227" s="27">
        <v>5.5464628383250378E-2</v>
      </c>
      <c r="AH227" s="27">
        <v>0</v>
      </c>
      <c r="AI227" s="31">
        <v>0</v>
      </c>
      <c r="AJ227" s="29">
        <v>0</v>
      </c>
      <c r="AK227" s="31">
        <v>0</v>
      </c>
      <c r="AL227" s="31">
        <v>18.49999986588956</v>
      </c>
      <c r="AM227" s="31">
        <v>0</v>
      </c>
      <c r="AN227" s="31">
        <v>0</v>
      </c>
      <c r="AO227" s="31">
        <v>0</v>
      </c>
      <c r="AP227" s="31">
        <v>67.618514520664462</v>
      </c>
      <c r="AQ227" s="31">
        <v>0</v>
      </c>
      <c r="AR227" s="29">
        <v>0</v>
      </c>
      <c r="AS227" s="29">
        <v>0</v>
      </c>
      <c r="AT227" s="29">
        <v>0</v>
      </c>
      <c r="AU227" s="29">
        <v>0</v>
      </c>
      <c r="AV227" s="29">
        <v>0</v>
      </c>
      <c r="AW227" s="29">
        <v>0</v>
      </c>
      <c r="AX227" s="29">
        <v>0</v>
      </c>
      <c r="AY227" s="29">
        <v>0</v>
      </c>
      <c r="AZ227" s="29">
        <v>6.2127675881322258E-2</v>
      </c>
      <c r="BA227" s="29">
        <v>0</v>
      </c>
      <c r="BB227" s="29">
        <v>0</v>
      </c>
      <c r="BC227" s="29">
        <v>0</v>
      </c>
      <c r="BD227" s="29">
        <v>1.942581071841591</v>
      </c>
      <c r="BK227" s="3">
        <v>0</v>
      </c>
      <c r="BL227" s="3">
        <v>19.600901307744632</v>
      </c>
      <c r="BM227" s="3">
        <v>62.860904040023414</v>
      </c>
    </row>
    <row r="228" spans="1:65" ht="15.75" customHeight="1" x14ac:dyDescent="0.25">
      <c r="A228" s="3" t="s">
        <v>1008</v>
      </c>
      <c r="B228" s="3" t="s">
        <v>900</v>
      </c>
      <c r="C228" s="3" t="s">
        <v>987</v>
      </c>
      <c r="D228" s="27" t="s">
        <v>900</v>
      </c>
      <c r="E228" s="27" t="s">
        <v>989</v>
      </c>
      <c r="F228" s="31">
        <v>1981</v>
      </c>
      <c r="G228" s="31">
        <v>1981</v>
      </c>
      <c r="H228" s="31">
        <v>343</v>
      </c>
      <c r="I228" s="27">
        <v>0</v>
      </c>
      <c r="J228" s="27">
        <v>10.200000166892991</v>
      </c>
      <c r="L228" s="27">
        <v>0</v>
      </c>
      <c r="P228" s="29">
        <v>0</v>
      </c>
      <c r="AB228" s="27">
        <v>200</v>
      </c>
      <c r="AC228" s="27">
        <v>0</v>
      </c>
      <c r="AD228" s="27">
        <v>0</v>
      </c>
      <c r="AE228" s="27">
        <v>0</v>
      </c>
      <c r="AF228" s="27">
        <v>2.548115995572497</v>
      </c>
      <c r="AG228" s="27">
        <v>5.6210311687278858E-2</v>
      </c>
      <c r="AH228" s="27">
        <v>0</v>
      </c>
      <c r="AI228" s="31">
        <v>0</v>
      </c>
      <c r="AJ228" s="29">
        <v>0</v>
      </c>
      <c r="AK228" s="31">
        <v>0</v>
      </c>
      <c r="AL228" s="31">
        <v>18.49999986588956</v>
      </c>
      <c r="AM228" s="31">
        <v>0</v>
      </c>
      <c r="AN228" s="31">
        <v>0</v>
      </c>
      <c r="AO228" s="31">
        <v>0</v>
      </c>
      <c r="AP228" s="31">
        <v>67.674724832351743</v>
      </c>
      <c r="AQ228" s="31">
        <v>0</v>
      </c>
      <c r="AR228" s="29">
        <v>0</v>
      </c>
      <c r="AS228" s="29">
        <v>0</v>
      </c>
      <c r="AT228" s="29">
        <v>0</v>
      </c>
      <c r="AU228" s="29">
        <v>0</v>
      </c>
      <c r="AV228" s="29">
        <v>0</v>
      </c>
      <c r="AW228" s="29">
        <v>0</v>
      </c>
      <c r="AX228" s="29">
        <v>0</v>
      </c>
      <c r="AY228" s="29">
        <v>0</v>
      </c>
      <c r="AZ228" s="29">
        <v>6.2127675881322258E-2</v>
      </c>
      <c r="BA228" s="29">
        <v>0</v>
      </c>
      <c r="BB228" s="29">
        <v>0</v>
      </c>
      <c r="BC228" s="29">
        <v>0</v>
      </c>
      <c r="BD228" s="29">
        <v>1.942581071841591</v>
      </c>
      <c r="BK228" s="3">
        <v>0</v>
      </c>
      <c r="BL228" s="3">
        <v>19.544690996057351</v>
      </c>
      <c r="BM228" s="3">
        <v>62.860904040023414</v>
      </c>
    </row>
    <row r="229" spans="1:65" ht="15.75" customHeight="1" x14ac:dyDescent="0.25">
      <c r="A229" s="3" t="s">
        <v>1008</v>
      </c>
      <c r="B229" s="3" t="s">
        <v>900</v>
      </c>
      <c r="C229" s="3" t="s">
        <v>987</v>
      </c>
      <c r="D229" s="27" t="s">
        <v>900</v>
      </c>
      <c r="E229" s="27" t="s">
        <v>989</v>
      </c>
      <c r="F229" s="31">
        <v>1981</v>
      </c>
      <c r="G229" s="31">
        <v>1981</v>
      </c>
      <c r="H229" s="31">
        <v>344</v>
      </c>
      <c r="I229" s="27">
        <v>0</v>
      </c>
      <c r="J229" s="27">
        <v>9.300000011920929</v>
      </c>
      <c r="L229" s="27">
        <v>0</v>
      </c>
      <c r="P229" s="29">
        <v>0</v>
      </c>
      <c r="AB229" s="27">
        <v>200</v>
      </c>
      <c r="AC229" s="27">
        <v>0</v>
      </c>
      <c r="AD229" s="27">
        <v>0</v>
      </c>
      <c r="AE229" s="27">
        <v>0</v>
      </c>
      <c r="AF229" s="27">
        <v>2.5256271656646625</v>
      </c>
      <c r="AG229" s="27">
        <v>5.5592171128016912E-2</v>
      </c>
      <c r="AH229" s="27">
        <v>0</v>
      </c>
      <c r="AI229" s="31">
        <v>0</v>
      </c>
      <c r="AJ229" s="29">
        <v>0</v>
      </c>
      <c r="AK229" s="31">
        <v>0</v>
      </c>
      <c r="AL229" s="31">
        <v>18.49999986588956</v>
      </c>
      <c r="AM229" s="31">
        <v>0</v>
      </c>
      <c r="AN229" s="31">
        <v>0</v>
      </c>
      <c r="AO229" s="31">
        <v>0</v>
      </c>
      <c r="AP229" s="31">
        <v>67.730317003479755</v>
      </c>
      <c r="AQ229" s="31">
        <v>0</v>
      </c>
      <c r="AR229" s="29">
        <v>0</v>
      </c>
      <c r="AS229" s="29">
        <v>0</v>
      </c>
      <c r="AT229" s="29">
        <v>0</v>
      </c>
      <c r="AU229" s="29">
        <v>0</v>
      </c>
      <c r="AV229" s="29">
        <v>0</v>
      </c>
      <c r="AW229" s="29">
        <v>0</v>
      </c>
      <c r="AX229" s="29">
        <v>0</v>
      </c>
      <c r="AY229" s="29">
        <v>0</v>
      </c>
      <c r="AZ229" s="29">
        <v>6.2127675881322258E-2</v>
      </c>
      <c r="BA229" s="29">
        <v>0</v>
      </c>
      <c r="BB229" s="29">
        <v>0</v>
      </c>
      <c r="BC229" s="29">
        <v>0</v>
      </c>
      <c r="BD229" s="29">
        <v>1.942581071841591</v>
      </c>
      <c r="BK229" s="3">
        <v>0</v>
      </c>
      <c r="BL229" s="3">
        <v>19.489098824929336</v>
      </c>
      <c r="BM229" s="3">
        <v>62.860904040023414</v>
      </c>
    </row>
    <row r="230" spans="1:65" ht="15.75" customHeight="1" x14ac:dyDescent="0.25">
      <c r="A230" s="3" t="s">
        <v>1008</v>
      </c>
      <c r="B230" s="3" t="s">
        <v>900</v>
      </c>
      <c r="C230" s="3" t="s">
        <v>987</v>
      </c>
      <c r="D230" s="27" t="s">
        <v>900</v>
      </c>
      <c r="E230" s="27" t="s">
        <v>989</v>
      </c>
      <c r="F230" s="31">
        <v>1981</v>
      </c>
      <c r="G230" s="31">
        <v>1981</v>
      </c>
      <c r="H230" s="31">
        <v>345</v>
      </c>
      <c r="I230" s="27">
        <v>0</v>
      </c>
      <c r="J230" s="27">
        <v>11.299999594688391</v>
      </c>
      <c r="L230" s="27">
        <v>0</v>
      </c>
      <c r="P230" s="29">
        <v>0</v>
      </c>
      <c r="AB230" s="27">
        <v>200</v>
      </c>
      <c r="AC230" s="27">
        <v>0</v>
      </c>
      <c r="AD230" s="27">
        <v>0</v>
      </c>
      <c r="AE230" s="27">
        <v>0</v>
      </c>
      <c r="AF230" s="27">
        <v>2.5843998914844835</v>
      </c>
      <c r="AG230" s="27">
        <v>5.676176149440882E-2</v>
      </c>
      <c r="AH230" s="27">
        <v>0</v>
      </c>
      <c r="AI230" s="31">
        <v>0</v>
      </c>
      <c r="AJ230" s="29">
        <v>0</v>
      </c>
      <c r="AK230" s="31">
        <v>0</v>
      </c>
      <c r="AL230" s="31">
        <v>18.49999986588956</v>
      </c>
      <c r="AM230" s="31">
        <v>0</v>
      </c>
      <c r="AN230" s="31">
        <v>0</v>
      </c>
      <c r="AO230" s="31">
        <v>0</v>
      </c>
      <c r="AP230" s="31">
        <v>67.787078764974169</v>
      </c>
      <c r="AQ230" s="31">
        <v>0</v>
      </c>
      <c r="AR230" s="29">
        <v>0</v>
      </c>
      <c r="AS230" s="29">
        <v>0</v>
      </c>
      <c r="AT230" s="29">
        <v>0</v>
      </c>
      <c r="AU230" s="29">
        <v>0</v>
      </c>
      <c r="AV230" s="29">
        <v>0</v>
      </c>
      <c r="AW230" s="29">
        <v>0</v>
      </c>
      <c r="AX230" s="29">
        <v>0</v>
      </c>
      <c r="AY230" s="29">
        <v>0</v>
      </c>
      <c r="AZ230" s="29">
        <v>6.2127675881322258E-2</v>
      </c>
      <c r="BA230" s="29">
        <v>0</v>
      </c>
      <c r="BB230" s="29">
        <v>0</v>
      </c>
      <c r="BC230" s="29">
        <v>0</v>
      </c>
      <c r="BD230" s="29">
        <v>1.942581071841591</v>
      </c>
      <c r="BK230" s="3">
        <v>0</v>
      </c>
      <c r="BL230" s="3">
        <v>19.432337063434925</v>
      </c>
      <c r="BM230" s="3">
        <v>62.860904040023414</v>
      </c>
    </row>
    <row r="231" spans="1:65" ht="15.75" customHeight="1" x14ac:dyDescent="0.25">
      <c r="A231" s="3" t="s">
        <v>1008</v>
      </c>
      <c r="B231" s="3" t="s">
        <v>900</v>
      </c>
      <c r="C231" s="3" t="s">
        <v>987</v>
      </c>
      <c r="D231" s="27" t="s">
        <v>900</v>
      </c>
      <c r="E231" s="27" t="s">
        <v>989</v>
      </c>
      <c r="F231" s="31">
        <v>1981</v>
      </c>
      <c r="G231" s="31">
        <v>1981</v>
      </c>
      <c r="H231" s="31">
        <v>346</v>
      </c>
      <c r="I231" s="27">
        <v>0</v>
      </c>
      <c r="J231" s="27">
        <v>12.39999997615814</v>
      </c>
      <c r="L231" s="27">
        <v>0</v>
      </c>
      <c r="P231" s="29">
        <v>0</v>
      </c>
      <c r="AB231" s="27">
        <v>200</v>
      </c>
      <c r="AC231" s="27">
        <v>0</v>
      </c>
      <c r="AD231" s="27">
        <v>0</v>
      </c>
      <c r="AE231" s="27">
        <v>0</v>
      </c>
      <c r="AF231" s="27">
        <v>2.6640159472857117</v>
      </c>
      <c r="AG231" s="27">
        <v>5.8383328164997327E-2</v>
      </c>
      <c r="AH231" s="27">
        <v>0</v>
      </c>
      <c r="AI231" s="31">
        <v>0</v>
      </c>
      <c r="AJ231" s="29">
        <v>0</v>
      </c>
      <c r="AK231" s="31">
        <v>0</v>
      </c>
      <c r="AL231" s="31">
        <v>18.49999986588956</v>
      </c>
      <c r="AM231" s="31">
        <v>0</v>
      </c>
      <c r="AN231" s="31">
        <v>0</v>
      </c>
      <c r="AO231" s="31">
        <v>0</v>
      </c>
      <c r="AP231" s="31">
        <v>67.845462093139162</v>
      </c>
      <c r="AQ231" s="31">
        <v>0</v>
      </c>
      <c r="AR231" s="29">
        <v>0</v>
      </c>
      <c r="AS231" s="29">
        <v>0</v>
      </c>
      <c r="AT231" s="29">
        <v>0</v>
      </c>
      <c r="AU231" s="29">
        <v>0</v>
      </c>
      <c r="AV231" s="29">
        <v>0</v>
      </c>
      <c r="AW231" s="29">
        <v>0</v>
      </c>
      <c r="AX231" s="29">
        <v>0</v>
      </c>
      <c r="AY231" s="29">
        <v>0</v>
      </c>
      <c r="AZ231" s="29">
        <v>6.2127675881322258E-2</v>
      </c>
      <c r="BA231" s="29">
        <v>0</v>
      </c>
      <c r="BB231" s="29">
        <v>0</v>
      </c>
      <c r="BC231" s="29">
        <v>0</v>
      </c>
      <c r="BD231" s="29">
        <v>1.942581071841591</v>
      </c>
      <c r="BK231" s="3">
        <v>0</v>
      </c>
      <c r="BL231" s="3">
        <v>19.373953735269929</v>
      </c>
      <c r="BM231" s="3">
        <v>62.860904040023414</v>
      </c>
    </row>
    <row r="232" spans="1:65" ht="15.75" customHeight="1" x14ac:dyDescent="0.25">
      <c r="A232" s="3" t="s">
        <v>1008</v>
      </c>
      <c r="B232" s="3" t="s">
        <v>900</v>
      </c>
      <c r="C232" s="3" t="s">
        <v>987</v>
      </c>
      <c r="D232" s="27" t="s">
        <v>900</v>
      </c>
      <c r="E232" s="27" t="s">
        <v>989</v>
      </c>
      <c r="F232" s="31">
        <v>1981</v>
      </c>
      <c r="G232" s="31">
        <v>1981</v>
      </c>
      <c r="H232" s="31">
        <v>347</v>
      </c>
      <c r="I232" s="27">
        <v>0</v>
      </c>
      <c r="J232" s="27">
        <v>12.450000047683716</v>
      </c>
      <c r="L232" s="27">
        <v>0</v>
      </c>
      <c r="P232" s="29">
        <v>0</v>
      </c>
      <c r="AB232" s="27">
        <v>200</v>
      </c>
      <c r="AC232" s="27">
        <v>0</v>
      </c>
      <c r="AD232" s="27">
        <v>0</v>
      </c>
      <c r="AE232" s="27">
        <v>0</v>
      </c>
      <c r="AF232" s="27">
        <v>2.6950440760147836</v>
      </c>
      <c r="AG232" s="27">
        <v>5.8935621192467036E-2</v>
      </c>
      <c r="AH232" s="27">
        <v>0</v>
      </c>
      <c r="AI232" s="31">
        <v>0</v>
      </c>
      <c r="AJ232" s="29">
        <v>0</v>
      </c>
      <c r="AK232" s="31">
        <v>0</v>
      </c>
      <c r="AL232" s="31">
        <v>18.49999986588956</v>
      </c>
      <c r="AM232" s="31">
        <v>0</v>
      </c>
      <c r="AN232" s="31">
        <v>0</v>
      </c>
      <c r="AO232" s="31">
        <v>0</v>
      </c>
      <c r="AP232" s="31">
        <v>67.904397714331623</v>
      </c>
      <c r="AQ232" s="31">
        <v>0</v>
      </c>
      <c r="AR232" s="29">
        <v>0</v>
      </c>
      <c r="AS232" s="29">
        <v>0</v>
      </c>
      <c r="AT232" s="29">
        <v>0</v>
      </c>
      <c r="AU232" s="29">
        <v>0</v>
      </c>
      <c r="AV232" s="29">
        <v>0</v>
      </c>
      <c r="AW232" s="29">
        <v>0</v>
      </c>
      <c r="AX232" s="29">
        <v>0</v>
      </c>
      <c r="AY232" s="29">
        <v>0</v>
      </c>
      <c r="AZ232" s="29">
        <v>6.2127675881322258E-2</v>
      </c>
      <c r="BA232" s="29">
        <v>0</v>
      </c>
      <c r="BB232" s="29">
        <v>0</v>
      </c>
      <c r="BC232" s="29">
        <v>0</v>
      </c>
      <c r="BD232" s="29">
        <v>1.942581071841591</v>
      </c>
      <c r="BK232" s="3">
        <v>0</v>
      </c>
      <c r="BL232" s="3">
        <v>19.315018114077461</v>
      </c>
      <c r="BM232" s="3">
        <v>62.860904040023414</v>
      </c>
    </row>
    <row r="233" spans="1:65" ht="15.75" customHeight="1" x14ac:dyDescent="0.25">
      <c r="A233" s="3" t="s">
        <v>1008</v>
      </c>
      <c r="B233" s="3" t="s">
        <v>900</v>
      </c>
      <c r="C233" s="3" t="s">
        <v>987</v>
      </c>
      <c r="D233" s="27" t="s">
        <v>900</v>
      </c>
      <c r="E233" s="27" t="s">
        <v>989</v>
      </c>
      <c r="F233" s="31">
        <v>1981</v>
      </c>
      <c r="G233" s="31">
        <v>1981</v>
      </c>
      <c r="H233" s="31">
        <v>348</v>
      </c>
      <c r="I233" s="27">
        <v>0</v>
      </c>
      <c r="J233" s="27">
        <v>11.64999961853025</v>
      </c>
      <c r="L233" s="27">
        <v>0</v>
      </c>
      <c r="P233" s="29">
        <v>0</v>
      </c>
      <c r="AB233" s="27">
        <v>200</v>
      </c>
      <c r="AC233" s="27">
        <v>0</v>
      </c>
      <c r="AD233" s="27">
        <v>0</v>
      </c>
      <c r="AE233" s="27">
        <v>0</v>
      </c>
      <c r="AF233" s="27">
        <v>2.6165676534037972</v>
      </c>
      <c r="AG233" s="27">
        <v>5.7096301666344343E-2</v>
      </c>
      <c r="AH233" s="27">
        <v>0</v>
      </c>
      <c r="AI233" s="31">
        <v>0</v>
      </c>
      <c r="AJ233" s="29">
        <v>0</v>
      </c>
      <c r="AK233" s="31">
        <v>0</v>
      </c>
      <c r="AL233" s="31">
        <v>18.49999986588956</v>
      </c>
      <c r="AM233" s="31">
        <v>0</v>
      </c>
      <c r="AN233" s="31">
        <v>0</v>
      </c>
      <c r="AO233" s="31">
        <v>0</v>
      </c>
      <c r="AP233" s="31">
        <v>67.961494015997971</v>
      </c>
      <c r="AQ233" s="31">
        <v>0</v>
      </c>
      <c r="AR233" s="29">
        <v>0</v>
      </c>
      <c r="AS233" s="29">
        <v>0</v>
      </c>
      <c r="AT233" s="29">
        <v>0</v>
      </c>
      <c r="AU233" s="29">
        <v>0</v>
      </c>
      <c r="AV233" s="29">
        <v>0</v>
      </c>
      <c r="AW233" s="29">
        <v>0</v>
      </c>
      <c r="AX233" s="29">
        <v>0</v>
      </c>
      <c r="AY233" s="29">
        <v>0</v>
      </c>
      <c r="AZ233" s="29">
        <v>6.2127675881322258E-2</v>
      </c>
      <c r="BA233" s="29">
        <v>0</v>
      </c>
      <c r="BB233" s="29">
        <v>0</v>
      </c>
      <c r="BC233" s="29">
        <v>0</v>
      </c>
      <c r="BD233" s="29">
        <v>1.942581071841591</v>
      </c>
      <c r="BK233" s="3">
        <v>0</v>
      </c>
      <c r="BL233" s="3">
        <v>19.257921812411116</v>
      </c>
      <c r="BM233" s="3">
        <v>62.860904040023414</v>
      </c>
    </row>
    <row r="234" spans="1:65" ht="15.75" customHeight="1" x14ac:dyDescent="0.25">
      <c r="A234" s="3" t="s">
        <v>1008</v>
      </c>
      <c r="B234" s="3" t="s">
        <v>900</v>
      </c>
      <c r="C234" s="3" t="s">
        <v>987</v>
      </c>
      <c r="D234" s="27" t="s">
        <v>900</v>
      </c>
      <c r="E234" s="27" t="s">
        <v>989</v>
      </c>
      <c r="F234" s="31">
        <v>1981</v>
      </c>
      <c r="G234" s="31">
        <v>1981</v>
      </c>
      <c r="H234" s="31">
        <v>349</v>
      </c>
      <c r="I234" s="27">
        <v>0</v>
      </c>
      <c r="J234" s="27">
        <v>13.749999761581435</v>
      </c>
      <c r="L234" s="27">
        <v>0</v>
      </c>
      <c r="P234" s="29">
        <v>0</v>
      </c>
      <c r="AB234" s="27">
        <v>200</v>
      </c>
      <c r="AC234" s="27">
        <v>0</v>
      </c>
      <c r="AD234" s="27">
        <v>0</v>
      </c>
      <c r="AE234" s="27">
        <v>0</v>
      </c>
      <c r="AF234" s="27">
        <v>2.7712246354997192</v>
      </c>
      <c r="AG234" s="27">
        <v>6.0341454613783478E-2</v>
      </c>
      <c r="AH234" s="27">
        <v>0</v>
      </c>
      <c r="AI234" s="31">
        <v>0</v>
      </c>
      <c r="AJ234" s="29">
        <v>0</v>
      </c>
      <c r="AK234" s="31">
        <v>0</v>
      </c>
      <c r="AL234" s="31">
        <v>18.49999986588956</v>
      </c>
      <c r="AM234" s="31">
        <v>0</v>
      </c>
      <c r="AN234" s="31">
        <v>0</v>
      </c>
      <c r="AO234" s="31">
        <v>0</v>
      </c>
      <c r="AP234" s="31">
        <v>68.021835470611748</v>
      </c>
      <c r="AQ234" s="31">
        <v>0</v>
      </c>
      <c r="AR234" s="29">
        <v>0</v>
      </c>
      <c r="AS234" s="29">
        <v>0</v>
      </c>
      <c r="AT234" s="29">
        <v>0</v>
      </c>
      <c r="AU234" s="29">
        <v>0</v>
      </c>
      <c r="AV234" s="29">
        <v>0</v>
      </c>
      <c r="AW234" s="29">
        <v>0</v>
      </c>
      <c r="AX234" s="29">
        <v>0</v>
      </c>
      <c r="AY234" s="29">
        <v>0</v>
      </c>
      <c r="AZ234" s="29">
        <v>6.2127675881322258E-2</v>
      </c>
      <c r="BA234" s="29">
        <v>0</v>
      </c>
      <c r="BB234" s="29">
        <v>0</v>
      </c>
      <c r="BC234" s="29">
        <v>0</v>
      </c>
      <c r="BD234" s="29">
        <v>1.942581071841591</v>
      </c>
      <c r="BK234" s="3">
        <v>0</v>
      </c>
      <c r="BL234" s="3">
        <v>19.197580357797332</v>
      </c>
      <c r="BM234" s="3">
        <v>62.860904040023414</v>
      </c>
    </row>
    <row r="235" spans="1:65" ht="15.75" customHeight="1" x14ac:dyDescent="0.25">
      <c r="A235" s="3" t="s">
        <v>1008</v>
      </c>
      <c r="B235" s="3" t="s">
        <v>900</v>
      </c>
      <c r="C235" s="3" t="s">
        <v>987</v>
      </c>
      <c r="D235" s="27" t="s">
        <v>900</v>
      </c>
      <c r="E235" s="27" t="s">
        <v>989</v>
      </c>
      <c r="F235" s="31">
        <v>1981</v>
      </c>
      <c r="G235" s="31">
        <v>1981</v>
      </c>
      <c r="H235" s="31">
        <v>350</v>
      </c>
      <c r="I235" s="27">
        <v>0</v>
      </c>
      <c r="J235" s="27">
        <v>13.39999961853025</v>
      </c>
      <c r="L235" s="27">
        <v>0</v>
      </c>
      <c r="P235" s="29">
        <v>0</v>
      </c>
      <c r="AB235" s="27">
        <v>200</v>
      </c>
      <c r="AC235" s="27">
        <v>0</v>
      </c>
      <c r="AD235" s="27">
        <v>0</v>
      </c>
      <c r="AE235" s="27">
        <v>0</v>
      </c>
      <c r="AF235" s="27">
        <v>2.7723046532734767</v>
      </c>
      <c r="AG235" s="27">
        <v>6.0236123471609476E-2</v>
      </c>
      <c r="AH235" s="27">
        <v>0</v>
      </c>
      <c r="AI235" s="31">
        <v>0</v>
      </c>
      <c r="AJ235" s="29">
        <v>0</v>
      </c>
      <c r="AK235" s="31">
        <v>0</v>
      </c>
      <c r="AL235" s="31">
        <v>18.49999986588956</v>
      </c>
      <c r="AM235" s="31">
        <v>0</v>
      </c>
      <c r="AN235" s="31">
        <v>0</v>
      </c>
      <c r="AO235" s="31">
        <v>0</v>
      </c>
      <c r="AP235" s="31">
        <v>68.082071594083359</v>
      </c>
      <c r="AQ235" s="31">
        <v>0</v>
      </c>
      <c r="AR235" s="29">
        <v>0</v>
      </c>
      <c r="AS235" s="29">
        <v>0</v>
      </c>
      <c r="AT235" s="29">
        <v>0</v>
      </c>
      <c r="AU235" s="29">
        <v>0</v>
      </c>
      <c r="AV235" s="29">
        <v>0</v>
      </c>
      <c r="AW235" s="29">
        <v>0</v>
      </c>
      <c r="AX235" s="29">
        <v>0</v>
      </c>
      <c r="AY235" s="29">
        <v>0</v>
      </c>
      <c r="AZ235" s="29">
        <v>6.2127675881322258E-2</v>
      </c>
      <c r="BA235" s="29">
        <v>0</v>
      </c>
      <c r="BB235" s="29">
        <v>0</v>
      </c>
      <c r="BC235" s="29">
        <v>0</v>
      </c>
      <c r="BD235" s="29">
        <v>1.942581071841591</v>
      </c>
      <c r="BK235" s="3">
        <v>0</v>
      </c>
      <c r="BL235" s="3">
        <v>19.137344234325724</v>
      </c>
      <c r="BM235" s="3">
        <v>62.860904040023414</v>
      </c>
    </row>
    <row r="236" spans="1:65" ht="15.75" customHeight="1" x14ac:dyDescent="0.25">
      <c r="A236" s="3" t="s">
        <v>1008</v>
      </c>
      <c r="B236" s="3" t="s">
        <v>900</v>
      </c>
      <c r="C236" s="3" t="s">
        <v>987</v>
      </c>
      <c r="D236" s="27" t="s">
        <v>900</v>
      </c>
      <c r="E236" s="27" t="s">
        <v>989</v>
      </c>
      <c r="F236" s="31">
        <v>1981</v>
      </c>
      <c r="G236" s="31">
        <v>1981</v>
      </c>
      <c r="H236" s="31">
        <v>351</v>
      </c>
      <c r="I236" s="27">
        <v>0</v>
      </c>
      <c r="J236" s="27">
        <v>13.550000429153464</v>
      </c>
      <c r="L236" s="27">
        <v>0</v>
      </c>
      <c r="P236" s="29">
        <v>0</v>
      </c>
      <c r="AB236" s="27">
        <v>200</v>
      </c>
      <c r="AC236" s="27">
        <v>0</v>
      </c>
      <c r="AD236" s="27">
        <v>0</v>
      </c>
      <c r="AE236" s="27">
        <v>0</v>
      </c>
      <c r="AF236" s="27">
        <v>2.4134374228721365</v>
      </c>
      <c r="AG236" s="27">
        <v>5.2327269009997297E-2</v>
      </c>
      <c r="AH236" s="27">
        <v>0</v>
      </c>
      <c r="AI236" s="31">
        <v>0</v>
      </c>
      <c r="AJ236" s="29">
        <v>0</v>
      </c>
      <c r="AK236" s="31">
        <v>0</v>
      </c>
      <c r="AL236" s="31">
        <v>18.49999986588956</v>
      </c>
      <c r="AM236" s="31">
        <v>0</v>
      </c>
      <c r="AN236" s="31">
        <v>0</v>
      </c>
      <c r="AO236" s="31">
        <v>0</v>
      </c>
      <c r="AP236" s="31">
        <v>68.134398863093352</v>
      </c>
      <c r="AQ236" s="31">
        <v>0</v>
      </c>
      <c r="AR236" s="29">
        <v>0</v>
      </c>
      <c r="AS236" s="29">
        <v>0</v>
      </c>
      <c r="AT236" s="29">
        <v>0</v>
      </c>
      <c r="AU236" s="29">
        <v>0</v>
      </c>
      <c r="AV236" s="29">
        <v>0</v>
      </c>
      <c r="AW236" s="29">
        <v>0</v>
      </c>
      <c r="AX236" s="29">
        <v>0</v>
      </c>
      <c r="AY236" s="29">
        <v>0</v>
      </c>
      <c r="AZ236" s="29">
        <v>6.2127675881322258E-2</v>
      </c>
      <c r="BA236" s="29">
        <v>0</v>
      </c>
      <c r="BB236" s="29">
        <v>0</v>
      </c>
      <c r="BC236" s="29">
        <v>0</v>
      </c>
      <c r="BD236" s="29">
        <v>1.942581071841591</v>
      </c>
      <c r="BK236" s="3">
        <v>0</v>
      </c>
      <c r="BL236" s="3">
        <v>19.085016965315727</v>
      </c>
      <c r="BM236" s="3">
        <v>62.860904040023414</v>
      </c>
    </row>
    <row r="237" spans="1:65" ht="15.75" customHeight="1" x14ac:dyDescent="0.25">
      <c r="A237" s="3" t="s">
        <v>1008</v>
      </c>
      <c r="B237" s="3" t="s">
        <v>900</v>
      </c>
      <c r="C237" s="3" t="s">
        <v>987</v>
      </c>
      <c r="D237" s="27" t="s">
        <v>900</v>
      </c>
      <c r="E237" s="27" t="s">
        <v>989</v>
      </c>
      <c r="F237" s="31">
        <v>1981</v>
      </c>
      <c r="G237" s="31">
        <v>1981</v>
      </c>
      <c r="H237" s="31">
        <v>352</v>
      </c>
      <c r="I237" s="27">
        <v>0</v>
      </c>
      <c r="J237" s="27">
        <v>12.60000038146975</v>
      </c>
      <c r="L237" s="27">
        <v>0</v>
      </c>
      <c r="P237" s="29">
        <v>0</v>
      </c>
      <c r="AB237" s="27">
        <v>200</v>
      </c>
      <c r="AC237" s="27">
        <v>0</v>
      </c>
      <c r="AD237" s="27">
        <v>0</v>
      </c>
      <c r="AE237" s="27">
        <v>0</v>
      </c>
      <c r="AF237" s="27">
        <v>2.5865900064437892</v>
      </c>
      <c r="AG237" s="27">
        <v>5.5962808700972623E-2</v>
      </c>
      <c r="AH237" s="27">
        <v>0</v>
      </c>
      <c r="AI237" s="31">
        <v>0</v>
      </c>
      <c r="AJ237" s="29">
        <v>0</v>
      </c>
      <c r="AK237" s="31">
        <v>0</v>
      </c>
      <c r="AL237" s="31">
        <v>18.49999986588956</v>
      </c>
      <c r="AM237" s="31">
        <v>0</v>
      </c>
      <c r="AN237" s="31">
        <v>0</v>
      </c>
      <c r="AO237" s="31">
        <v>0</v>
      </c>
      <c r="AP237" s="31">
        <v>68.190361671794321</v>
      </c>
      <c r="AQ237" s="31">
        <v>0</v>
      </c>
      <c r="AR237" s="29">
        <v>0</v>
      </c>
      <c r="AS237" s="29">
        <v>0</v>
      </c>
      <c r="AT237" s="29">
        <v>0</v>
      </c>
      <c r="AU237" s="29">
        <v>0</v>
      </c>
      <c r="AV237" s="29">
        <v>0</v>
      </c>
      <c r="AW237" s="29">
        <v>0</v>
      </c>
      <c r="AX237" s="29">
        <v>0</v>
      </c>
      <c r="AY237" s="29">
        <v>0</v>
      </c>
      <c r="AZ237" s="29">
        <v>6.2127675881322258E-2</v>
      </c>
      <c r="BA237" s="29">
        <v>0</v>
      </c>
      <c r="BB237" s="29">
        <v>0</v>
      </c>
      <c r="BC237" s="29">
        <v>0</v>
      </c>
      <c r="BD237" s="29">
        <v>1.942581071841591</v>
      </c>
      <c r="BK237" s="3">
        <v>0</v>
      </c>
      <c r="BL237" s="3">
        <v>19.029054156614755</v>
      </c>
      <c r="BM237" s="3">
        <v>62.860904040023414</v>
      </c>
    </row>
    <row r="238" spans="1:65" ht="15.75" customHeight="1" x14ac:dyDescent="0.25">
      <c r="A238" s="3" t="s">
        <v>1008</v>
      </c>
      <c r="B238" s="3" t="s">
        <v>900</v>
      </c>
      <c r="C238" s="3" t="s">
        <v>987</v>
      </c>
      <c r="D238" s="27" t="s">
        <v>900</v>
      </c>
      <c r="E238" s="27" t="s">
        <v>989</v>
      </c>
      <c r="F238" s="31">
        <v>1981</v>
      </c>
      <c r="G238" s="31">
        <v>1981</v>
      </c>
      <c r="H238" s="31">
        <v>353</v>
      </c>
      <c r="I238" s="27">
        <v>0</v>
      </c>
      <c r="J238" s="27">
        <v>9.0000002384185649</v>
      </c>
      <c r="L238" s="27">
        <v>0</v>
      </c>
      <c r="P238" s="29">
        <v>0</v>
      </c>
      <c r="AB238" s="27">
        <v>200</v>
      </c>
      <c r="AC238" s="27">
        <v>0</v>
      </c>
      <c r="AD238" s="27">
        <v>0</v>
      </c>
      <c r="AE238" s="27">
        <v>0</v>
      </c>
      <c r="AF238" s="27">
        <v>2.4168901812450034</v>
      </c>
      <c r="AG238" s="27">
        <v>5.2181022941375568E-2</v>
      </c>
      <c r="AH238" s="27">
        <v>0</v>
      </c>
      <c r="AI238" s="31">
        <v>0</v>
      </c>
      <c r="AJ238" s="29">
        <v>0</v>
      </c>
      <c r="AK238" s="31">
        <v>0</v>
      </c>
      <c r="AL238" s="31">
        <v>18.49999986588956</v>
      </c>
      <c r="AM238" s="31">
        <v>0</v>
      </c>
      <c r="AN238" s="31">
        <v>0</v>
      </c>
      <c r="AO238" s="31">
        <v>0</v>
      </c>
      <c r="AP238" s="31">
        <v>68.24254269473569</v>
      </c>
      <c r="AQ238" s="31">
        <v>0</v>
      </c>
      <c r="AR238" s="29">
        <v>0</v>
      </c>
      <c r="AS238" s="29">
        <v>0</v>
      </c>
      <c r="AT238" s="29">
        <v>0</v>
      </c>
      <c r="AU238" s="29">
        <v>0</v>
      </c>
      <c r="AV238" s="29">
        <v>0</v>
      </c>
      <c r="AW238" s="29">
        <v>0</v>
      </c>
      <c r="AX238" s="29">
        <v>0</v>
      </c>
      <c r="AY238" s="29">
        <v>0</v>
      </c>
      <c r="AZ238" s="29">
        <v>6.2127675881322258E-2</v>
      </c>
      <c r="BA238" s="29">
        <v>0</v>
      </c>
      <c r="BB238" s="29">
        <v>0</v>
      </c>
      <c r="BC238" s="29">
        <v>0</v>
      </c>
      <c r="BD238" s="29">
        <v>1.942581071841591</v>
      </c>
      <c r="BK238" s="3">
        <v>0</v>
      </c>
      <c r="BL238" s="3">
        <v>18.976873133673379</v>
      </c>
      <c r="BM238" s="3">
        <v>62.860904040023414</v>
      </c>
    </row>
    <row r="239" spans="1:65" ht="15.75" customHeight="1" x14ac:dyDescent="0.25">
      <c r="A239" s="3" t="s">
        <v>1008</v>
      </c>
      <c r="B239" s="3" t="s">
        <v>900</v>
      </c>
      <c r="C239" s="3" t="s">
        <v>987</v>
      </c>
      <c r="D239" s="27" t="s">
        <v>900</v>
      </c>
      <c r="E239" s="27" t="s">
        <v>989</v>
      </c>
      <c r="F239" s="31">
        <v>1981</v>
      </c>
      <c r="G239" s="31">
        <v>1981</v>
      </c>
      <c r="H239" s="31">
        <v>354</v>
      </c>
      <c r="I239" s="27">
        <v>0</v>
      </c>
      <c r="J239" s="27">
        <v>7.44999980926515</v>
      </c>
      <c r="L239" s="27">
        <v>0</v>
      </c>
      <c r="P239" s="29">
        <v>0</v>
      </c>
      <c r="AB239" s="27">
        <v>200</v>
      </c>
      <c r="AC239" s="27">
        <v>0</v>
      </c>
      <c r="AD239" s="27">
        <v>0</v>
      </c>
      <c r="AE239" s="27">
        <v>0</v>
      </c>
      <c r="AF239" s="27">
        <v>2.3769085676720239</v>
      </c>
      <c r="AG239" s="27">
        <v>5.1210116122055685E-2</v>
      </c>
      <c r="AH239" s="27">
        <v>0</v>
      </c>
      <c r="AI239" s="31">
        <v>0</v>
      </c>
      <c r="AJ239" s="29">
        <v>0</v>
      </c>
      <c r="AK239" s="31">
        <v>0</v>
      </c>
      <c r="AL239" s="31">
        <v>18.49999986588956</v>
      </c>
      <c r="AM239" s="31">
        <v>0</v>
      </c>
      <c r="AN239" s="31">
        <v>0</v>
      </c>
      <c r="AO239" s="31">
        <v>0</v>
      </c>
      <c r="AP239" s="31">
        <v>68.29375281085774</v>
      </c>
      <c r="AQ239" s="31">
        <v>0</v>
      </c>
      <c r="AR239" s="29">
        <v>0</v>
      </c>
      <c r="AS239" s="29">
        <v>0</v>
      </c>
      <c r="AT239" s="29">
        <v>0</v>
      </c>
      <c r="AU239" s="29">
        <v>0</v>
      </c>
      <c r="AV239" s="29">
        <v>0</v>
      </c>
      <c r="AW239" s="29">
        <v>0</v>
      </c>
      <c r="AX239" s="29">
        <v>0</v>
      </c>
      <c r="AY239" s="29">
        <v>0</v>
      </c>
      <c r="AZ239" s="29">
        <v>6.2127675881322258E-2</v>
      </c>
      <c r="BA239" s="29">
        <v>0</v>
      </c>
      <c r="BB239" s="29">
        <v>0</v>
      </c>
      <c r="BC239" s="29">
        <v>0</v>
      </c>
      <c r="BD239" s="29">
        <v>1.942581071841591</v>
      </c>
      <c r="BK239" s="3">
        <v>0</v>
      </c>
      <c r="BL239" s="3">
        <v>18.925663017551322</v>
      </c>
      <c r="BM239" s="3">
        <v>62.860904040023414</v>
      </c>
    </row>
    <row r="240" spans="1:65" ht="15.75" customHeight="1" x14ac:dyDescent="0.25">
      <c r="A240" s="3" t="s">
        <v>1008</v>
      </c>
      <c r="B240" s="3" t="s">
        <v>900</v>
      </c>
      <c r="C240" s="3" t="s">
        <v>987</v>
      </c>
      <c r="D240" s="27" t="s">
        <v>900</v>
      </c>
      <c r="E240" s="27" t="s">
        <v>989</v>
      </c>
      <c r="F240" s="31">
        <v>1981</v>
      </c>
      <c r="G240" s="31">
        <v>1981</v>
      </c>
      <c r="H240" s="31">
        <v>355</v>
      </c>
      <c r="I240" s="27">
        <v>0</v>
      </c>
      <c r="J240" s="27">
        <v>10.000000238418565</v>
      </c>
      <c r="L240" s="27">
        <v>0</v>
      </c>
      <c r="P240" s="29">
        <v>0</v>
      </c>
      <c r="AB240" s="27">
        <v>200</v>
      </c>
      <c r="AC240" s="27">
        <v>0</v>
      </c>
      <c r="AD240" s="27">
        <v>0</v>
      </c>
      <c r="AE240" s="27">
        <v>0</v>
      </c>
      <c r="AF240" s="27">
        <v>2.4464130451231982</v>
      </c>
      <c r="AG240" s="27">
        <v>5.2597426965653712E-2</v>
      </c>
      <c r="AH240" s="27">
        <v>0</v>
      </c>
      <c r="AI240" s="31">
        <v>0</v>
      </c>
      <c r="AJ240" s="29">
        <v>0</v>
      </c>
      <c r="AK240" s="31">
        <v>0</v>
      </c>
      <c r="AL240" s="31">
        <v>18.49999986588956</v>
      </c>
      <c r="AM240" s="31">
        <v>0</v>
      </c>
      <c r="AN240" s="31">
        <v>0</v>
      </c>
      <c r="AO240" s="31">
        <v>0</v>
      </c>
      <c r="AP240" s="31">
        <v>68.346350237823387</v>
      </c>
      <c r="AQ240" s="31">
        <v>0</v>
      </c>
      <c r="AR240" s="29">
        <v>0</v>
      </c>
      <c r="AS240" s="29">
        <v>0</v>
      </c>
      <c r="AT240" s="29">
        <v>0</v>
      </c>
      <c r="AU240" s="29">
        <v>0</v>
      </c>
      <c r="AV240" s="29">
        <v>0</v>
      </c>
      <c r="AW240" s="29">
        <v>0</v>
      </c>
      <c r="AX240" s="29">
        <v>0</v>
      </c>
      <c r="AY240" s="29">
        <v>0</v>
      </c>
      <c r="AZ240" s="29">
        <v>6.2127675881322258E-2</v>
      </c>
      <c r="BA240" s="29">
        <v>0</v>
      </c>
      <c r="BB240" s="29">
        <v>0</v>
      </c>
      <c r="BC240" s="29">
        <v>0</v>
      </c>
      <c r="BD240" s="29">
        <v>1.942581071841591</v>
      </c>
      <c r="BK240" s="3">
        <v>0</v>
      </c>
      <c r="BL240" s="3">
        <v>18.873065590585668</v>
      </c>
      <c r="BM240" s="3">
        <v>62.860904040023414</v>
      </c>
    </row>
    <row r="241" spans="1:65" ht="15.75" customHeight="1" x14ac:dyDescent="0.25">
      <c r="A241" s="3" t="s">
        <v>1008</v>
      </c>
      <c r="B241" s="3" t="s">
        <v>900</v>
      </c>
      <c r="C241" s="3" t="s">
        <v>987</v>
      </c>
      <c r="D241" s="27" t="s">
        <v>900</v>
      </c>
      <c r="E241" s="27" t="s">
        <v>989</v>
      </c>
      <c r="F241" s="31">
        <v>1981</v>
      </c>
      <c r="G241" s="31">
        <v>1981</v>
      </c>
      <c r="H241" s="31">
        <v>356</v>
      </c>
      <c r="I241" s="27">
        <v>0</v>
      </c>
      <c r="J241" s="27">
        <v>12.10000038146975</v>
      </c>
      <c r="L241" s="27">
        <v>0</v>
      </c>
      <c r="P241" s="29">
        <v>0</v>
      </c>
      <c r="AB241" s="27">
        <v>200</v>
      </c>
      <c r="AC241" s="27">
        <v>0</v>
      </c>
      <c r="AD241" s="27">
        <v>0</v>
      </c>
      <c r="AE241" s="27">
        <v>0</v>
      </c>
      <c r="AF241" s="27">
        <v>2.5593720987930082</v>
      </c>
      <c r="AG241" s="27">
        <v>5.4911507043700958E-2</v>
      </c>
      <c r="AH241" s="27">
        <v>0</v>
      </c>
      <c r="AI241" s="31">
        <v>0</v>
      </c>
      <c r="AJ241" s="29">
        <v>0</v>
      </c>
      <c r="AK241" s="31">
        <v>0</v>
      </c>
      <c r="AL241" s="31">
        <v>18.49999986588956</v>
      </c>
      <c r="AM241" s="31">
        <v>0</v>
      </c>
      <c r="AN241" s="31">
        <v>0</v>
      </c>
      <c r="AO241" s="31">
        <v>0</v>
      </c>
      <c r="AP241" s="31">
        <v>68.401261744867085</v>
      </c>
      <c r="AQ241" s="31">
        <v>0</v>
      </c>
      <c r="AR241" s="29">
        <v>0</v>
      </c>
      <c r="AS241" s="29">
        <v>0</v>
      </c>
      <c r="AT241" s="29">
        <v>0</v>
      </c>
      <c r="AU241" s="29">
        <v>0</v>
      </c>
      <c r="AV241" s="29">
        <v>0</v>
      </c>
      <c r="AW241" s="29">
        <v>0</v>
      </c>
      <c r="AX241" s="29">
        <v>0</v>
      </c>
      <c r="AY241" s="29">
        <v>0</v>
      </c>
      <c r="AZ241" s="29">
        <v>6.2127675881322258E-2</v>
      </c>
      <c r="BA241" s="29">
        <v>0</v>
      </c>
      <c r="BB241" s="29">
        <v>0</v>
      </c>
      <c r="BC241" s="29">
        <v>0</v>
      </c>
      <c r="BD241" s="29">
        <v>1.942581071841591</v>
      </c>
      <c r="BK241" s="3">
        <v>0</v>
      </c>
      <c r="BL241" s="3">
        <v>18.818154083541966</v>
      </c>
      <c r="BM241" s="3">
        <v>62.860904040023414</v>
      </c>
    </row>
    <row r="242" spans="1:65" ht="15.75" customHeight="1" x14ac:dyDescent="0.25">
      <c r="A242" s="3" t="s">
        <v>1008</v>
      </c>
      <c r="B242" s="3" t="s">
        <v>900</v>
      </c>
      <c r="C242" s="3" t="s">
        <v>987</v>
      </c>
      <c r="D242" s="27" t="s">
        <v>900</v>
      </c>
      <c r="E242" s="27" t="s">
        <v>989</v>
      </c>
      <c r="F242" s="31">
        <v>1981</v>
      </c>
      <c r="G242" s="31">
        <v>1981</v>
      </c>
      <c r="H242" s="31">
        <v>357</v>
      </c>
      <c r="I242" s="27">
        <v>0</v>
      </c>
      <c r="J242" s="27">
        <v>13.999999761581435</v>
      </c>
      <c r="L242" s="27">
        <v>0</v>
      </c>
      <c r="P242" s="29">
        <v>0</v>
      </c>
      <c r="AB242" s="27">
        <v>200</v>
      </c>
      <c r="AC242" s="27">
        <v>0</v>
      </c>
      <c r="AD242" s="27">
        <v>0</v>
      </c>
      <c r="AE242" s="27">
        <v>0</v>
      </c>
      <c r="AF242" s="27">
        <v>2.6284787769474756</v>
      </c>
      <c r="AG242" s="27">
        <v>5.6277316108796285E-2</v>
      </c>
      <c r="AH242" s="27">
        <v>0</v>
      </c>
      <c r="AI242" s="31">
        <v>0</v>
      </c>
      <c r="AJ242" s="29">
        <v>0</v>
      </c>
      <c r="AK242" s="31">
        <v>0</v>
      </c>
      <c r="AL242" s="31">
        <v>18.49999986588956</v>
      </c>
      <c r="AM242" s="31">
        <v>0</v>
      </c>
      <c r="AN242" s="31">
        <v>0</v>
      </c>
      <c r="AO242" s="31">
        <v>0</v>
      </c>
      <c r="AP242" s="31">
        <v>68.457539060975876</v>
      </c>
      <c r="AQ242" s="31">
        <v>0</v>
      </c>
      <c r="AR242" s="29">
        <v>0</v>
      </c>
      <c r="AS242" s="29">
        <v>0</v>
      </c>
      <c r="AT242" s="29">
        <v>0</v>
      </c>
      <c r="AU242" s="29">
        <v>0</v>
      </c>
      <c r="AV242" s="29">
        <v>0</v>
      </c>
      <c r="AW242" s="29">
        <v>0</v>
      </c>
      <c r="AX242" s="29">
        <v>0</v>
      </c>
      <c r="AY242" s="29">
        <v>0</v>
      </c>
      <c r="AZ242" s="29">
        <v>6.2127675881322258E-2</v>
      </c>
      <c r="BA242" s="29">
        <v>0</v>
      </c>
      <c r="BB242" s="29">
        <v>0</v>
      </c>
      <c r="BC242" s="29">
        <v>0</v>
      </c>
      <c r="BD242" s="29">
        <v>1.942581071841591</v>
      </c>
      <c r="BK242" s="3">
        <v>0</v>
      </c>
      <c r="BL242" s="3">
        <v>18.761876767433169</v>
      </c>
      <c r="BM242" s="3">
        <v>62.860904040023414</v>
      </c>
    </row>
    <row r="243" spans="1:65" ht="15.75" customHeight="1" x14ac:dyDescent="0.25">
      <c r="A243" s="3" t="s">
        <v>1008</v>
      </c>
      <c r="B243" s="3" t="s">
        <v>900</v>
      </c>
      <c r="C243" s="3" t="s">
        <v>987</v>
      </c>
      <c r="D243" s="27" t="s">
        <v>900</v>
      </c>
      <c r="E243" s="27" t="s">
        <v>989</v>
      </c>
      <c r="F243" s="31">
        <v>1981</v>
      </c>
      <c r="G243" s="31">
        <v>1981</v>
      </c>
      <c r="H243" s="31">
        <v>358</v>
      </c>
      <c r="I243" s="27">
        <v>0</v>
      </c>
      <c r="J243" s="27">
        <v>12.75</v>
      </c>
      <c r="L243" s="27">
        <v>0</v>
      </c>
      <c r="P243" s="29">
        <v>0</v>
      </c>
      <c r="AB243" s="27">
        <v>200</v>
      </c>
      <c r="AC243" s="27">
        <v>0</v>
      </c>
      <c r="AD243" s="27">
        <v>0</v>
      </c>
      <c r="AE243" s="27">
        <v>0</v>
      </c>
      <c r="AF243" s="27">
        <v>2.3528309800542226</v>
      </c>
      <c r="AG243" s="27">
        <v>5.0271555911270041E-2</v>
      </c>
      <c r="AH243" s="27">
        <v>0</v>
      </c>
      <c r="AI243" s="31">
        <v>0</v>
      </c>
      <c r="AJ243" s="29">
        <v>0</v>
      </c>
      <c r="AK243" s="31">
        <v>0</v>
      </c>
      <c r="AL243" s="31">
        <v>18.49999986588956</v>
      </c>
      <c r="AM243" s="31">
        <v>0</v>
      </c>
      <c r="AN243" s="31">
        <v>0</v>
      </c>
      <c r="AO243" s="31">
        <v>0</v>
      </c>
      <c r="AP243" s="31">
        <v>68.507810616887141</v>
      </c>
      <c r="AQ243" s="31">
        <v>0</v>
      </c>
      <c r="AR243" s="29">
        <v>0</v>
      </c>
      <c r="AS243" s="29">
        <v>0</v>
      </c>
      <c r="AT243" s="29">
        <v>0</v>
      </c>
      <c r="AU243" s="29">
        <v>0</v>
      </c>
      <c r="AV243" s="29">
        <v>0</v>
      </c>
      <c r="AW243" s="29">
        <v>0</v>
      </c>
      <c r="AX243" s="29">
        <v>0</v>
      </c>
      <c r="AY243" s="29">
        <v>0</v>
      </c>
      <c r="AZ243" s="29">
        <v>6.2127675881322258E-2</v>
      </c>
      <c r="BA243" s="29">
        <v>0</v>
      </c>
      <c r="BB243" s="29">
        <v>0</v>
      </c>
      <c r="BC243" s="29">
        <v>0</v>
      </c>
      <c r="BD243" s="29">
        <v>1.942581071841591</v>
      </c>
      <c r="BK243" s="3">
        <v>0</v>
      </c>
      <c r="BL243" s="3">
        <v>18.711605211521899</v>
      </c>
      <c r="BM243" s="3">
        <v>62.860904040023414</v>
      </c>
    </row>
    <row r="244" spans="1:65" ht="15.75" customHeight="1" x14ac:dyDescent="0.25">
      <c r="A244" s="3" t="s">
        <v>1008</v>
      </c>
      <c r="B244" s="3" t="s">
        <v>900</v>
      </c>
      <c r="C244" s="3" t="s">
        <v>987</v>
      </c>
      <c r="D244" s="27" t="s">
        <v>900</v>
      </c>
      <c r="E244" s="27" t="s">
        <v>989</v>
      </c>
      <c r="F244" s="31">
        <v>1981</v>
      </c>
      <c r="G244" s="31">
        <v>1981</v>
      </c>
      <c r="H244" s="31">
        <v>359</v>
      </c>
      <c r="I244" s="27">
        <v>0</v>
      </c>
      <c r="J244" s="27">
        <v>12.250000238418565</v>
      </c>
      <c r="L244" s="27">
        <v>0</v>
      </c>
      <c r="P244" s="29">
        <v>0</v>
      </c>
      <c r="AB244" s="27">
        <v>200</v>
      </c>
      <c r="AC244" s="27">
        <v>0</v>
      </c>
      <c r="AD244" s="27">
        <v>0</v>
      </c>
      <c r="AE244" s="27">
        <v>0</v>
      </c>
      <c r="AF244" s="27">
        <v>2.3495807547333114</v>
      </c>
      <c r="AG244" s="27">
        <v>5.0098919570636752E-2</v>
      </c>
      <c r="AH244" s="27">
        <v>0</v>
      </c>
      <c r="AI244" s="31">
        <v>0</v>
      </c>
      <c r="AJ244" s="29">
        <v>0</v>
      </c>
      <c r="AK244" s="31">
        <v>0</v>
      </c>
      <c r="AL244" s="31">
        <v>18.49999986588956</v>
      </c>
      <c r="AM244" s="31">
        <v>0</v>
      </c>
      <c r="AN244" s="31">
        <v>0</v>
      </c>
      <c r="AO244" s="31">
        <v>0</v>
      </c>
      <c r="AP244" s="31">
        <v>68.557909536457785</v>
      </c>
      <c r="AQ244" s="31">
        <v>0</v>
      </c>
      <c r="AR244" s="29">
        <v>0</v>
      </c>
      <c r="AS244" s="29">
        <v>0</v>
      </c>
      <c r="AT244" s="29">
        <v>0</v>
      </c>
      <c r="AU244" s="29">
        <v>0</v>
      </c>
      <c r="AV244" s="29">
        <v>0</v>
      </c>
      <c r="AW244" s="29">
        <v>0</v>
      </c>
      <c r="AX244" s="29">
        <v>0</v>
      </c>
      <c r="AY244" s="29">
        <v>0</v>
      </c>
      <c r="AZ244" s="29">
        <v>6.2127675881322258E-2</v>
      </c>
      <c r="BA244" s="29">
        <v>0</v>
      </c>
      <c r="BB244" s="29">
        <v>0</v>
      </c>
      <c r="BC244" s="29">
        <v>0</v>
      </c>
      <c r="BD244" s="29">
        <v>1.942581071841591</v>
      </c>
      <c r="BK244" s="3">
        <v>0</v>
      </c>
      <c r="BL244" s="3">
        <v>18.661506291951262</v>
      </c>
      <c r="BM244" s="3">
        <v>62.860904040023414</v>
      </c>
    </row>
    <row r="245" spans="1:65" ht="15.75" customHeight="1" x14ac:dyDescent="0.25">
      <c r="A245" s="3" t="s">
        <v>1008</v>
      </c>
      <c r="B245" s="3" t="s">
        <v>900</v>
      </c>
      <c r="C245" s="3" t="s">
        <v>987</v>
      </c>
      <c r="D245" s="27" t="s">
        <v>900</v>
      </c>
      <c r="E245" s="27" t="s">
        <v>989</v>
      </c>
      <c r="F245" s="31">
        <v>1981</v>
      </c>
      <c r="G245" s="31">
        <v>1981</v>
      </c>
      <c r="H245" s="31">
        <v>360</v>
      </c>
      <c r="I245" s="27">
        <v>0</v>
      </c>
      <c r="J245" s="27">
        <v>11.5</v>
      </c>
      <c r="L245" s="27">
        <v>0</v>
      </c>
      <c r="P245" s="29">
        <v>0</v>
      </c>
      <c r="AB245" s="27">
        <v>200</v>
      </c>
      <c r="AC245" s="27">
        <v>0</v>
      </c>
      <c r="AD245" s="27">
        <v>0</v>
      </c>
      <c r="AE245" s="27">
        <v>0</v>
      </c>
      <c r="AF245" s="27">
        <v>2.6358181370685467</v>
      </c>
      <c r="AG245" s="27">
        <v>5.6087163243517084E-2</v>
      </c>
      <c r="AH245" s="27">
        <v>0</v>
      </c>
      <c r="AI245" s="31">
        <v>0</v>
      </c>
      <c r="AJ245" s="29">
        <v>0</v>
      </c>
      <c r="AK245" s="31">
        <v>0</v>
      </c>
      <c r="AL245" s="31">
        <v>18.49999986588956</v>
      </c>
      <c r="AM245" s="31">
        <v>0</v>
      </c>
      <c r="AN245" s="31">
        <v>0</v>
      </c>
      <c r="AO245" s="31">
        <v>0</v>
      </c>
      <c r="AP245" s="31">
        <v>68.613996699701303</v>
      </c>
      <c r="AQ245" s="31">
        <v>0</v>
      </c>
      <c r="AR245" s="29">
        <v>0</v>
      </c>
      <c r="AS245" s="29">
        <v>0</v>
      </c>
      <c r="AT245" s="29">
        <v>0</v>
      </c>
      <c r="AU245" s="29">
        <v>0</v>
      </c>
      <c r="AV245" s="29">
        <v>0</v>
      </c>
      <c r="AW245" s="29">
        <v>0</v>
      </c>
      <c r="AX245" s="29">
        <v>0</v>
      </c>
      <c r="AY245" s="29">
        <v>0</v>
      </c>
      <c r="AZ245" s="29">
        <v>6.2127675881322258E-2</v>
      </c>
      <c r="BA245" s="29">
        <v>0</v>
      </c>
      <c r="BB245" s="29">
        <v>0</v>
      </c>
      <c r="BC245" s="29">
        <v>0</v>
      </c>
      <c r="BD245" s="29">
        <v>1.942581071841591</v>
      </c>
      <c r="BK245" s="3">
        <v>0</v>
      </c>
      <c r="BL245" s="3">
        <v>18.605419128707744</v>
      </c>
      <c r="BM245" s="3">
        <v>62.860904040023414</v>
      </c>
    </row>
    <row r="246" spans="1:65" ht="15.75" customHeight="1" x14ac:dyDescent="0.25">
      <c r="A246" s="3" t="s">
        <v>1008</v>
      </c>
      <c r="B246" s="3" t="s">
        <v>900</v>
      </c>
      <c r="C246" s="3" t="s">
        <v>987</v>
      </c>
      <c r="D246" s="27" t="s">
        <v>900</v>
      </c>
      <c r="E246" s="27" t="s">
        <v>989</v>
      </c>
      <c r="F246" s="31">
        <v>1981</v>
      </c>
      <c r="G246" s="31">
        <v>1981</v>
      </c>
      <c r="H246" s="31">
        <v>361</v>
      </c>
      <c r="I246" s="27">
        <v>0</v>
      </c>
      <c r="J246" s="27">
        <v>10.10000038146975</v>
      </c>
      <c r="L246" s="27">
        <v>0</v>
      </c>
      <c r="P246" s="29">
        <v>0</v>
      </c>
      <c r="AB246" s="27">
        <v>200</v>
      </c>
      <c r="AC246" s="27">
        <v>0</v>
      </c>
      <c r="AD246" s="27">
        <v>0</v>
      </c>
      <c r="AE246" s="27">
        <v>0</v>
      </c>
      <c r="AF246" s="27">
        <v>2.4416491857255083</v>
      </c>
      <c r="AG246" s="27">
        <v>5.1849548575034633E-2</v>
      </c>
      <c r="AH246" s="27">
        <v>0</v>
      </c>
      <c r="AI246" s="31">
        <v>0</v>
      </c>
      <c r="AJ246" s="29">
        <v>0</v>
      </c>
      <c r="AK246" s="31">
        <v>0</v>
      </c>
      <c r="AL246" s="31">
        <v>18.49999986588956</v>
      </c>
      <c r="AM246" s="31">
        <v>0</v>
      </c>
      <c r="AN246" s="31">
        <v>0</v>
      </c>
      <c r="AO246" s="31">
        <v>0</v>
      </c>
      <c r="AP246" s="31">
        <v>68.665846248276338</v>
      </c>
      <c r="AQ246" s="31">
        <v>0</v>
      </c>
      <c r="AR246" s="29">
        <v>0</v>
      </c>
      <c r="AS246" s="29">
        <v>0</v>
      </c>
      <c r="AT246" s="29">
        <v>0</v>
      </c>
      <c r="AU246" s="29">
        <v>0</v>
      </c>
      <c r="AV246" s="29">
        <v>0</v>
      </c>
      <c r="AW246" s="29">
        <v>0</v>
      </c>
      <c r="AX246" s="29">
        <v>0</v>
      </c>
      <c r="AY246" s="29">
        <v>0</v>
      </c>
      <c r="AZ246" s="29">
        <v>6.2127675881322258E-2</v>
      </c>
      <c r="BA246" s="29">
        <v>0</v>
      </c>
      <c r="BB246" s="29">
        <v>0</v>
      </c>
      <c r="BC246" s="29">
        <v>0</v>
      </c>
      <c r="BD246" s="29">
        <v>1.942581071841591</v>
      </c>
      <c r="BK246" s="3">
        <v>0</v>
      </c>
      <c r="BL246" s="3">
        <v>18.553569580132709</v>
      </c>
      <c r="BM246" s="3">
        <v>62.860904040023414</v>
      </c>
    </row>
    <row r="247" spans="1:65" ht="15.75" customHeight="1" x14ac:dyDescent="0.25">
      <c r="A247" s="3" t="s">
        <v>1008</v>
      </c>
      <c r="B247" s="3" t="s">
        <v>900</v>
      </c>
      <c r="C247" s="3" t="s">
        <v>987</v>
      </c>
      <c r="D247" s="27" t="s">
        <v>900</v>
      </c>
      <c r="E247" s="27" t="s">
        <v>989</v>
      </c>
      <c r="F247" s="31">
        <v>1981</v>
      </c>
      <c r="G247" s="31">
        <v>1981</v>
      </c>
      <c r="H247" s="31">
        <v>362</v>
      </c>
      <c r="I247" s="27">
        <v>0</v>
      </c>
      <c r="J247" s="27">
        <v>11.750000238418565</v>
      </c>
      <c r="L247" s="27">
        <v>0</v>
      </c>
      <c r="P247" s="29">
        <v>0</v>
      </c>
      <c r="AB247" s="27">
        <v>200</v>
      </c>
      <c r="AC247" s="27">
        <v>0</v>
      </c>
      <c r="AD247" s="27">
        <v>0</v>
      </c>
      <c r="AE247" s="27">
        <v>0</v>
      </c>
      <c r="AF247" s="27">
        <v>2.5343048058057782</v>
      </c>
      <c r="AG247" s="27">
        <v>5.3707859771459684E-2</v>
      </c>
      <c r="AH247" s="27">
        <v>0</v>
      </c>
      <c r="AI247" s="31">
        <v>0</v>
      </c>
      <c r="AJ247" s="29">
        <v>0</v>
      </c>
      <c r="AK247" s="31">
        <v>0</v>
      </c>
      <c r="AL247" s="31">
        <v>18.49999986588956</v>
      </c>
      <c r="AM247" s="31">
        <v>0</v>
      </c>
      <c r="AN247" s="31">
        <v>0</v>
      </c>
      <c r="AO247" s="31">
        <v>0</v>
      </c>
      <c r="AP247" s="31">
        <v>68.719554108047802</v>
      </c>
      <c r="AQ247" s="31">
        <v>0</v>
      </c>
      <c r="AR247" s="29">
        <v>0</v>
      </c>
      <c r="AS247" s="29">
        <v>0</v>
      </c>
      <c r="AT247" s="29">
        <v>0</v>
      </c>
      <c r="AU247" s="29">
        <v>0</v>
      </c>
      <c r="AV247" s="29">
        <v>0</v>
      </c>
      <c r="AW247" s="29">
        <v>0</v>
      </c>
      <c r="AX247" s="29">
        <v>0</v>
      </c>
      <c r="AY247" s="29">
        <v>0</v>
      </c>
      <c r="AZ247" s="29">
        <v>6.2127675881322258E-2</v>
      </c>
      <c r="BA247" s="29">
        <v>0</v>
      </c>
      <c r="BB247" s="29">
        <v>0</v>
      </c>
      <c r="BC247" s="29">
        <v>0</v>
      </c>
      <c r="BD247" s="29">
        <v>1.942581071841591</v>
      </c>
      <c r="BK247" s="3">
        <v>0</v>
      </c>
      <c r="BL247" s="3">
        <v>18.499861720361249</v>
      </c>
      <c r="BM247" s="3">
        <v>62.860904040023414</v>
      </c>
    </row>
    <row r="248" spans="1:65" ht="15.75" customHeight="1" x14ac:dyDescent="0.25">
      <c r="A248" s="3" t="s">
        <v>1008</v>
      </c>
      <c r="B248" s="3" t="s">
        <v>900</v>
      </c>
      <c r="C248" s="3" t="s">
        <v>987</v>
      </c>
      <c r="D248" s="27" t="s">
        <v>900</v>
      </c>
      <c r="E248" s="27" t="s">
        <v>989</v>
      </c>
      <c r="F248" s="31">
        <v>1981</v>
      </c>
      <c r="G248" s="31">
        <v>1981</v>
      </c>
      <c r="H248" s="31">
        <v>363</v>
      </c>
      <c r="I248" s="27">
        <v>0</v>
      </c>
      <c r="J248" s="27">
        <v>14.100000381469716</v>
      </c>
      <c r="L248" s="27">
        <v>0</v>
      </c>
      <c r="P248" s="29">
        <v>0</v>
      </c>
      <c r="AB248" s="27">
        <v>200</v>
      </c>
      <c r="AC248" s="27">
        <v>0</v>
      </c>
      <c r="AD248" s="27">
        <v>0</v>
      </c>
      <c r="AE248" s="27">
        <v>0</v>
      </c>
      <c r="AF248" s="27">
        <v>2.6210716587278546</v>
      </c>
      <c r="AG248" s="27">
        <v>5.5434323515783257E-2</v>
      </c>
      <c r="AH248" s="27">
        <v>0</v>
      </c>
      <c r="AI248" s="31">
        <v>0</v>
      </c>
      <c r="AJ248" s="29">
        <v>0</v>
      </c>
      <c r="AK248" s="31">
        <v>0</v>
      </c>
      <c r="AL248" s="31">
        <v>18.49999986588956</v>
      </c>
      <c r="AM248" s="31">
        <v>0</v>
      </c>
      <c r="AN248" s="31">
        <v>0</v>
      </c>
      <c r="AO248" s="31">
        <v>0</v>
      </c>
      <c r="AP248" s="31">
        <v>68.774988431563585</v>
      </c>
      <c r="AQ248" s="31">
        <v>0</v>
      </c>
      <c r="AR248" s="29">
        <v>0</v>
      </c>
      <c r="AS248" s="29">
        <v>0</v>
      </c>
      <c r="AT248" s="29">
        <v>0</v>
      </c>
      <c r="AU248" s="29">
        <v>0</v>
      </c>
      <c r="AV248" s="29">
        <v>0</v>
      </c>
      <c r="AW248" s="29">
        <v>0</v>
      </c>
      <c r="AX248" s="29">
        <v>0</v>
      </c>
      <c r="AY248" s="29">
        <v>0</v>
      </c>
      <c r="AZ248" s="29">
        <v>6.2127675881322258E-2</v>
      </c>
      <c r="BA248" s="29">
        <v>0</v>
      </c>
      <c r="BB248" s="29">
        <v>0</v>
      </c>
      <c r="BC248" s="29">
        <v>0</v>
      </c>
      <c r="BD248" s="29">
        <v>1.942581071841591</v>
      </c>
      <c r="BK248" s="3">
        <v>0</v>
      </c>
      <c r="BL248" s="3">
        <v>18.444427396845466</v>
      </c>
      <c r="BM248" s="3">
        <v>62.860904040023414</v>
      </c>
    </row>
    <row r="249" spans="1:65" ht="15.75" customHeight="1" x14ac:dyDescent="0.25">
      <c r="A249" s="3" t="s">
        <v>1008</v>
      </c>
      <c r="B249" s="3" t="s">
        <v>900</v>
      </c>
      <c r="C249" s="3" t="s">
        <v>987</v>
      </c>
      <c r="D249" s="27" t="s">
        <v>900</v>
      </c>
      <c r="E249" s="27" t="s">
        <v>989</v>
      </c>
      <c r="F249" s="31">
        <v>1981</v>
      </c>
      <c r="G249" s="31">
        <v>1981</v>
      </c>
      <c r="H249" s="31">
        <v>364</v>
      </c>
      <c r="I249" s="27">
        <v>0</v>
      </c>
      <c r="J249" s="27">
        <v>13.35000038146975</v>
      </c>
      <c r="L249" s="27">
        <v>0</v>
      </c>
      <c r="P249" s="29">
        <v>0</v>
      </c>
      <c r="AB249" s="27">
        <v>200</v>
      </c>
      <c r="AC249" s="27">
        <v>0</v>
      </c>
      <c r="AD249" s="27">
        <v>0</v>
      </c>
      <c r="AE249" s="27">
        <v>0</v>
      </c>
      <c r="AF249" s="27">
        <v>2.6995267720492846</v>
      </c>
      <c r="AG249" s="27">
        <v>5.6978616477852191E-2</v>
      </c>
      <c r="AH249" s="27">
        <v>0</v>
      </c>
      <c r="AI249" s="31">
        <v>0</v>
      </c>
      <c r="AJ249" s="29">
        <v>0</v>
      </c>
      <c r="AK249" s="31">
        <v>0</v>
      </c>
      <c r="AL249" s="31">
        <v>18.49999986588956</v>
      </c>
      <c r="AM249" s="31">
        <v>0</v>
      </c>
      <c r="AN249" s="31">
        <v>0</v>
      </c>
      <c r="AO249" s="31">
        <v>0</v>
      </c>
      <c r="AP249" s="31">
        <v>68.831967048041435</v>
      </c>
      <c r="AQ249" s="31">
        <v>0</v>
      </c>
      <c r="AR249" s="29">
        <v>0</v>
      </c>
      <c r="AS249" s="29">
        <v>0</v>
      </c>
      <c r="AT249" s="29">
        <v>0</v>
      </c>
      <c r="AU249" s="29">
        <v>0</v>
      </c>
      <c r="AV249" s="29">
        <v>0</v>
      </c>
      <c r="AW249" s="29">
        <v>0</v>
      </c>
      <c r="AX249" s="29">
        <v>0</v>
      </c>
      <c r="AY249" s="29">
        <v>0</v>
      </c>
      <c r="AZ249" s="29">
        <v>6.2127675881322258E-2</v>
      </c>
      <c r="BA249" s="29">
        <v>0</v>
      </c>
      <c r="BB249" s="29">
        <v>0</v>
      </c>
      <c r="BC249" s="29">
        <v>0</v>
      </c>
      <c r="BD249" s="29">
        <v>1.942581071841591</v>
      </c>
      <c r="BK249" s="3">
        <v>0</v>
      </c>
      <c r="BL249" s="3">
        <v>18.387448780367613</v>
      </c>
      <c r="BM249" s="3">
        <v>62.860904040023414</v>
      </c>
    </row>
    <row r="250" spans="1:65" ht="15.75" customHeight="1" x14ac:dyDescent="0.25">
      <c r="A250" s="3" t="s">
        <v>1008</v>
      </c>
      <c r="B250" s="3" t="s">
        <v>900</v>
      </c>
      <c r="C250" s="3" t="s">
        <v>987</v>
      </c>
      <c r="D250" s="27" t="s">
        <v>900</v>
      </c>
      <c r="E250" s="27" t="s">
        <v>989</v>
      </c>
      <c r="F250" s="31">
        <v>1981</v>
      </c>
      <c r="G250" s="31">
        <v>1981</v>
      </c>
      <c r="H250" s="31">
        <v>365</v>
      </c>
      <c r="I250" s="27">
        <v>0</v>
      </c>
      <c r="J250" s="27">
        <v>13.099999904632579</v>
      </c>
      <c r="L250" s="27">
        <v>0</v>
      </c>
      <c r="P250" s="29">
        <v>0</v>
      </c>
      <c r="AB250" s="27">
        <v>200</v>
      </c>
      <c r="AC250" s="27">
        <v>1.3999999761581401</v>
      </c>
      <c r="AD250" s="27">
        <v>0</v>
      </c>
      <c r="AE250" s="27">
        <v>0</v>
      </c>
      <c r="AF250" s="27">
        <v>2.2014789386902591</v>
      </c>
      <c r="AG250" s="27">
        <v>4.6373162634055359E-2</v>
      </c>
      <c r="AH250" s="27">
        <v>0</v>
      </c>
      <c r="AI250" s="31">
        <v>0</v>
      </c>
      <c r="AJ250" s="29">
        <v>0</v>
      </c>
      <c r="AK250" s="31">
        <v>0</v>
      </c>
      <c r="AL250" s="31">
        <v>19.899999842047698</v>
      </c>
      <c r="AM250" s="31">
        <v>0</v>
      </c>
      <c r="AN250" s="31">
        <v>0</v>
      </c>
      <c r="AO250" s="31">
        <v>0</v>
      </c>
      <c r="AP250" s="31">
        <v>68.878340210675489</v>
      </c>
      <c r="AQ250" s="31">
        <v>0</v>
      </c>
      <c r="AR250" s="29">
        <v>0</v>
      </c>
      <c r="AS250" s="29">
        <v>0</v>
      </c>
      <c r="AT250" s="29">
        <v>0</v>
      </c>
      <c r="AU250" s="29">
        <v>0</v>
      </c>
      <c r="AV250" s="29">
        <v>0</v>
      </c>
      <c r="AW250" s="29">
        <v>0</v>
      </c>
      <c r="AX250" s="29">
        <v>0</v>
      </c>
      <c r="AY250" s="29">
        <v>0</v>
      </c>
      <c r="AZ250" s="29">
        <v>6.2127675881322258E-2</v>
      </c>
      <c r="BA250" s="29">
        <v>0</v>
      </c>
      <c r="BB250" s="29">
        <v>0</v>
      </c>
      <c r="BC250" s="29">
        <v>0</v>
      </c>
      <c r="BD250" s="29">
        <v>1.942581071841591</v>
      </c>
      <c r="BK250" s="3">
        <v>0</v>
      </c>
      <c r="BL250" s="3">
        <v>19.741075593891697</v>
      </c>
      <c r="BM250" s="3">
        <v>62.860904040023414</v>
      </c>
    </row>
    <row r="251" spans="1:65" ht="15.75" customHeight="1" x14ac:dyDescent="0.25">
      <c r="A251" s="3" t="s">
        <v>1008</v>
      </c>
      <c r="B251" s="3" t="s">
        <v>900</v>
      </c>
      <c r="C251" s="3" t="s">
        <v>987</v>
      </c>
      <c r="D251" s="27" t="s">
        <v>900</v>
      </c>
      <c r="E251" s="27" t="s">
        <v>989</v>
      </c>
      <c r="F251" s="31">
        <v>1981</v>
      </c>
      <c r="G251" s="31">
        <v>1982</v>
      </c>
      <c r="H251" s="31">
        <v>1</v>
      </c>
      <c r="I251" s="27">
        <v>0</v>
      </c>
      <c r="J251" s="27">
        <v>11.150000095367421</v>
      </c>
      <c r="L251" s="27">
        <v>0</v>
      </c>
      <c r="P251" s="29">
        <v>0</v>
      </c>
      <c r="AB251" s="27">
        <v>200</v>
      </c>
      <c r="AC251" s="27">
        <v>0</v>
      </c>
      <c r="AD251" s="27">
        <v>0</v>
      </c>
      <c r="AE251" s="27">
        <v>0</v>
      </c>
      <c r="AF251" s="27">
        <v>2.6182455864812937</v>
      </c>
      <c r="AG251" s="27">
        <v>5.5041969956845009E-2</v>
      </c>
      <c r="AH251" s="27">
        <v>0</v>
      </c>
      <c r="AI251" s="31">
        <v>0</v>
      </c>
      <c r="AJ251" s="29">
        <v>0</v>
      </c>
      <c r="AK251" s="31">
        <v>0</v>
      </c>
      <c r="AL251" s="31">
        <v>19.899999842047698</v>
      </c>
      <c r="AM251" s="31">
        <v>0</v>
      </c>
      <c r="AN251" s="31">
        <v>0</v>
      </c>
      <c r="AO251" s="31">
        <v>0</v>
      </c>
      <c r="AP251" s="31">
        <v>68.933382180632336</v>
      </c>
      <c r="AQ251" s="31">
        <v>0</v>
      </c>
      <c r="AR251" s="29">
        <v>0</v>
      </c>
      <c r="AS251" s="29">
        <v>0</v>
      </c>
      <c r="AT251" s="29">
        <v>0</v>
      </c>
      <c r="AU251" s="29">
        <v>0</v>
      </c>
      <c r="AV251" s="29">
        <v>0</v>
      </c>
      <c r="AW251" s="29">
        <v>0</v>
      </c>
      <c r="AX251" s="29">
        <v>0</v>
      </c>
      <c r="AY251" s="29">
        <v>0</v>
      </c>
      <c r="AZ251" s="29">
        <v>6.2127675881322258E-2</v>
      </c>
      <c r="BA251" s="29">
        <v>0</v>
      </c>
      <c r="BB251" s="29">
        <v>0</v>
      </c>
      <c r="BC251" s="29">
        <v>0</v>
      </c>
      <c r="BD251" s="29">
        <v>1.942581071841591</v>
      </c>
      <c r="BK251" s="3">
        <v>0</v>
      </c>
      <c r="BL251" s="3">
        <v>19.686033623934851</v>
      </c>
      <c r="BM251" s="3">
        <v>62.860904040023414</v>
      </c>
    </row>
    <row r="252" spans="1:65" ht="15.75" customHeight="1" x14ac:dyDescent="0.25">
      <c r="A252" s="3" t="s">
        <v>1008</v>
      </c>
      <c r="B252" s="3" t="s">
        <v>900</v>
      </c>
      <c r="C252" s="3" t="s">
        <v>987</v>
      </c>
      <c r="D252" s="27" t="s">
        <v>900</v>
      </c>
      <c r="E252" s="27" t="s">
        <v>989</v>
      </c>
      <c r="F252" s="31">
        <v>1981</v>
      </c>
      <c r="G252" s="31">
        <v>1982</v>
      </c>
      <c r="H252" s="31">
        <v>2</v>
      </c>
      <c r="I252" s="27">
        <v>0</v>
      </c>
      <c r="J252" s="27">
        <v>11.500000238418565</v>
      </c>
      <c r="L252" s="27">
        <v>0</v>
      </c>
      <c r="P252" s="29">
        <v>0</v>
      </c>
      <c r="AB252" s="27">
        <v>200</v>
      </c>
      <c r="AC252" s="27">
        <v>0</v>
      </c>
      <c r="AD252" s="27">
        <v>0</v>
      </c>
      <c r="AE252" s="27">
        <v>0</v>
      </c>
      <c r="AF252" s="27">
        <v>2.6696202388918424</v>
      </c>
      <c r="AG252" s="27">
        <v>5.6010305778851029E-2</v>
      </c>
      <c r="AH252" s="27">
        <v>0</v>
      </c>
      <c r="AI252" s="31">
        <v>0</v>
      </c>
      <c r="AJ252" s="29">
        <v>0</v>
      </c>
      <c r="AK252" s="31">
        <v>0</v>
      </c>
      <c r="AL252" s="31">
        <v>19.899999842047698</v>
      </c>
      <c r="AM252" s="31">
        <v>0</v>
      </c>
      <c r="AN252" s="31">
        <v>0</v>
      </c>
      <c r="AO252" s="31">
        <v>0</v>
      </c>
      <c r="AP252" s="31">
        <v>68.989392486411191</v>
      </c>
      <c r="AQ252" s="31">
        <v>0</v>
      </c>
      <c r="AR252" s="29">
        <v>0</v>
      </c>
      <c r="AS252" s="29">
        <v>0</v>
      </c>
      <c r="AT252" s="29">
        <v>0</v>
      </c>
      <c r="AU252" s="29">
        <v>0</v>
      </c>
      <c r="AV252" s="29">
        <v>0</v>
      </c>
      <c r="AW252" s="29">
        <v>0</v>
      </c>
      <c r="AX252" s="29">
        <v>0</v>
      </c>
      <c r="AY252" s="29">
        <v>0</v>
      </c>
      <c r="AZ252" s="29">
        <v>6.2127675881322258E-2</v>
      </c>
      <c r="BA252" s="29">
        <v>0</v>
      </c>
      <c r="BB252" s="29">
        <v>0</v>
      </c>
      <c r="BC252" s="29">
        <v>0</v>
      </c>
      <c r="BD252" s="29">
        <v>1.942581071841591</v>
      </c>
      <c r="BK252" s="3">
        <v>0</v>
      </c>
      <c r="BL252" s="3">
        <v>19.630023318155999</v>
      </c>
      <c r="BM252" s="3">
        <v>62.860904040023414</v>
      </c>
    </row>
    <row r="253" spans="1:65" ht="15.75" customHeight="1" x14ac:dyDescent="0.25">
      <c r="A253" s="3" t="s">
        <v>1008</v>
      </c>
      <c r="B253" s="3" t="s">
        <v>900</v>
      </c>
      <c r="C253" s="3" t="s">
        <v>987</v>
      </c>
      <c r="D253" s="27" t="s">
        <v>900</v>
      </c>
      <c r="E253" s="27" t="s">
        <v>989</v>
      </c>
      <c r="F253" s="31">
        <v>1981</v>
      </c>
      <c r="G253" s="31">
        <v>1982</v>
      </c>
      <c r="H253" s="31">
        <v>3</v>
      </c>
      <c r="I253" s="27">
        <v>0</v>
      </c>
      <c r="J253" s="27">
        <v>11.650000095367421</v>
      </c>
      <c r="L253" s="27">
        <v>0</v>
      </c>
      <c r="P253" s="29">
        <v>0</v>
      </c>
      <c r="AB253" s="27">
        <v>200</v>
      </c>
      <c r="AC253" s="27">
        <v>0</v>
      </c>
      <c r="AD253" s="27">
        <v>0</v>
      </c>
      <c r="AE253" s="27">
        <v>0</v>
      </c>
      <c r="AF253" s="27">
        <v>2.6993140924189958</v>
      </c>
      <c r="AG253" s="27">
        <v>5.6521044808948845E-2</v>
      </c>
      <c r="AH253" s="27">
        <v>0</v>
      </c>
      <c r="AI253" s="31">
        <v>0</v>
      </c>
      <c r="AJ253" s="29">
        <v>0</v>
      </c>
      <c r="AK253" s="31">
        <v>0</v>
      </c>
      <c r="AL253" s="31">
        <v>19.899999842047698</v>
      </c>
      <c r="AM253" s="31">
        <v>0</v>
      </c>
      <c r="AN253" s="31">
        <v>0</v>
      </c>
      <c r="AO253" s="31">
        <v>0</v>
      </c>
      <c r="AP253" s="31">
        <v>69.045913531220137</v>
      </c>
      <c r="AQ253" s="31">
        <v>0</v>
      </c>
      <c r="AR253" s="29">
        <v>0</v>
      </c>
      <c r="AS253" s="29">
        <v>0</v>
      </c>
      <c r="AT253" s="29">
        <v>0</v>
      </c>
      <c r="AU253" s="29">
        <v>0</v>
      </c>
      <c r="AV253" s="29">
        <v>0</v>
      </c>
      <c r="AW253" s="29">
        <v>0</v>
      </c>
      <c r="AX253" s="29">
        <v>0</v>
      </c>
      <c r="AY253" s="29">
        <v>0</v>
      </c>
      <c r="AZ253" s="29">
        <v>6.2127675881322258E-2</v>
      </c>
      <c r="BA253" s="29">
        <v>0</v>
      </c>
      <c r="BB253" s="29">
        <v>0</v>
      </c>
      <c r="BC253" s="29">
        <v>0</v>
      </c>
      <c r="BD253" s="29">
        <v>1.942581071841591</v>
      </c>
      <c r="BK253" s="3">
        <v>0</v>
      </c>
      <c r="BL253" s="3">
        <v>19.573502273347049</v>
      </c>
      <c r="BM253" s="3">
        <v>62.860904040023414</v>
      </c>
    </row>
    <row r="254" spans="1:65" ht="15.75" customHeight="1" x14ac:dyDescent="0.25">
      <c r="A254" s="3" t="s">
        <v>1008</v>
      </c>
      <c r="B254" s="3" t="s">
        <v>900</v>
      </c>
      <c r="C254" s="3" t="s">
        <v>987</v>
      </c>
      <c r="D254" s="27" t="s">
        <v>900</v>
      </c>
      <c r="E254" s="27" t="s">
        <v>989</v>
      </c>
      <c r="F254" s="31">
        <v>1981</v>
      </c>
      <c r="G254" s="31">
        <v>1982</v>
      </c>
      <c r="H254" s="31">
        <v>4</v>
      </c>
      <c r="I254" s="27">
        <v>0</v>
      </c>
      <c r="J254" s="27">
        <v>11.699999570846536</v>
      </c>
      <c r="L254" s="27">
        <v>0</v>
      </c>
      <c r="P254" s="29">
        <v>0</v>
      </c>
      <c r="AB254" s="27">
        <v>200</v>
      </c>
      <c r="AC254" s="27">
        <v>0</v>
      </c>
      <c r="AD254" s="27">
        <v>0</v>
      </c>
      <c r="AE254" s="27">
        <v>0</v>
      </c>
      <c r="AF254" s="27">
        <v>2.7236438072035671</v>
      </c>
      <c r="AG254" s="27">
        <v>5.6917888134350537E-2</v>
      </c>
      <c r="AH254" s="27">
        <v>0</v>
      </c>
      <c r="AI254" s="31">
        <v>0</v>
      </c>
      <c r="AJ254" s="29">
        <v>0</v>
      </c>
      <c r="AK254" s="31">
        <v>0</v>
      </c>
      <c r="AL254" s="31">
        <v>19.899999842047698</v>
      </c>
      <c r="AM254" s="31">
        <v>0</v>
      </c>
      <c r="AN254" s="31">
        <v>0</v>
      </c>
      <c r="AO254" s="31">
        <v>0</v>
      </c>
      <c r="AP254" s="31">
        <v>69.102831419354487</v>
      </c>
      <c r="AQ254" s="31">
        <v>0</v>
      </c>
      <c r="AR254" s="29">
        <v>0</v>
      </c>
      <c r="AS254" s="29">
        <v>0</v>
      </c>
      <c r="AT254" s="29">
        <v>0</v>
      </c>
      <c r="AU254" s="29">
        <v>0</v>
      </c>
      <c r="AV254" s="29">
        <v>0</v>
      </c>
      <c r="AW254" s="29">
        <v>0</v>
      </c>
      <c r="AX254" s="29">
        <v>0</v>
      </c>
      <c r="AY254" s="29">
        <v>0</v>
      </c>
      <c r="AZ254" s="29">
        <v>6.2127675881322258E-2</v>
      </c>
      <c r="BA254" s="29">
        <v>0</v>
      </c>
      <c r="BB254" s="29">
        <v>0</v>
      </c>
      <c r="BC254" s="29">
        <v>0</v>
      </c>
      <c r="BD254" s="29">
        <v>1.942581071841591</v>
      </c>
      <c r="BK254" s="3">
        <v>0</v>
      </c>
      <c r="BL254" s="3">
        <v>19.516584385212699</v>
      </c>
      <c r="BM254" s="3">
        <v>62.860904040023414</v>
      </c>
    </row>
    <row r="255" spans="1:65" ht="15.75" customHeight="1" x14ac:dyDescent="0.25">
      <c r="A255" s="3" t="s">
        <v>1008</v>
      </c>
      <c r="B255" s="3" t="s">
        <v>900</v>
      </c>
      <c r="C255" s="3" t="s">
        <v>987</v>
      </c>
      <c r="D255" s="27" t="s">
        <v>900</v>
      </c>
      <c r="E255" s="27" t="s">
        <v>989</v>
      </c>
      <c r="F255" s="31">
        <v>1981</v>
      </c>
      <c r="G255" s="31">
        <v>1982</v>
      </c>
      <c r="H255" s="31">
        <v>5</v>
      </c>
      <c r="I255" s="27">
        <v>0</v>
      </c>
      <c r="J255" s="27">
        <v>12.450000047683716</v>
      </c>
      <c r="L255" s="27">
        <v>0</v>
      </c>
      <c r="P255" s="29">
        <v>0</v>
      </c>
      <c r="AB255" s="27">
        <v>200</v>
      </c>
      <c r="AC255" s="27">
        <v>0</v>
      </c>
      <c r="AD255" s="27">
        <v>0</v>
      </c>
      <c r="AE255" s="27">
        <v>0</v>
      </c>
      <c r="AF255" s="27">
        <v>2.7531673250111561</v>
      </c>
      <c r="AG255" s="27">
        <v>5.742171515340104E-2</v>
      </c>
      <c r="AH255" s="27">
        <v>0</v>
      </c>
      <c r="AI255" s="31">
        <v>0</v>
      </c>
      <c r="AJ255" s="29">
        <v>0</v>
      </c>
      <c r="AK255" s="31">
        <v>0</v>
      </c>
      <c r="AL255" s="31">
        <v>19.899999842047698</v>
      </c>
      <c r="AM255" s="31">
        <v>0</v>
      </c>
      <c r="AN255" s="31">
        <v>0</v>
      </c>
      <c r="AO255" s="31">
        <v>0</v>
      </c>
      <c r="AP255" s="31">
        <v>69.160253134507883</v>
      </c>
      <c r="AQ255" s="31">
        <v>0</v>
      </c>
      <c r="AR255" s="29">
        <v>0</v>
      </c>
      <c r="AS255" s="29">
        <v>0</v>
      </c>
      <c r="AT255" s="29">
        <v>0</v>
      </c>
      <c r="AU255" s="29">
        <v>0</v>
      </c>
      <c r="AV255" s="29">
        <v>0</v>
      </c>
      <c r="AW255" s="29">
        <v>0</v>
      </c>
      <c r="AX255" s="29">
        <v>0</v>
      </c>
      <c r="AY255" s="29">
        <v>0</v>
      </c>
      <c r="AZ255" s="29">
        <v>6.2127675881322258E-2</v>
      </c>
      <c r="BA255" s="29">
        <v>0</v>
      </c>
      <c r="BB255" s="29">
        <v>0</v>
      </c>
      <c r="BC255" s="29">
        <v>0</v>
      </c>
      <c r="BD255" s="29">
        <v>1.942581071841591</v>
      </c>
      <c r="BK255" s="3">
        <v>0</v>
      </c>
      <c r="BL255" s="3">
        <v>19.4591626700593</v>
      </c>
      <c r="BM255" s="3">
        <v>62.860904040023414</v>
      </c>
    </row>
    <row r="256" spans="1:65" ht="15.75" customHeight="1" x14ac:dyDescent="0.25">
      <c r="A256" s="3" t="s">
        <v>1008</v>
      </c>
      <c r="B256" s="3" t="s">
        <v>900</v>
      </c>
      <c r="C256" s="3" t="s">
        <v>987</v>
      </c>
      <c r="D256" s="27" t="s">
        <v>900</v>
      </c>
      <c r="E256" s="27" t="s">
        <v>989</v>
      </c>
      <c r="F256" s="31">
        <v>1981</v>
      </c>
      <c r="G256" s="31">
        <v>1982</v>
      </c>
      <c r="H256" s="31">
        <v>6</v>
      </c>
      <c r="I256" s="27">
        <v>0</v>
      </c>
      <c r="J256" s="27">
        <v>12.400000333786036</v>
      </c>
      <c r="L256" s="27">
        <v>0</v>
      </c>
      <c r="P256" s="29">
        <v>0</v>
      </c>
      <c r="AB256" s="27">
        <v>200</v>
      </c>
      <c r="AC256" s="27">
        <v>0</v>
      </c>
      <c r="AD256" s="27">
        <v>0</v>
      </c>
      <c r="AE256" s="27">
        <v>0</v>
      </c>
      <c r="AF256" s="27">
        <v>2.7925240875386304</v>
      </c>
      <c r="AG256" s="27">
        <v>5.8128473904357755E-2</v>
      </c>
      <c r="AH256" s="27">
        <v>0</v>
      </c>
      <c r="AI256" s="31">
        <v>0</v>
      </c>
      <c r="AJ256" s="29">
        <v>0</v>
      </c>
      <c r="AK256" s="31">
        <v>0</v>
      </c>
      <c r="AL256" s="31">
        <v>19.899999842047698</v>
      </c>
      <c r="AM256" s="31">
        <v>0</v>
      </c>
      <c r="AN256" s="31">
        <v>0</v>
      </c>
      <c r="AO256" s="31">
        <v>0</v>
      </c>
      <c r="AP256" s="31">
        <v>69.218381608412244</v>
      </c>
      <c r="AQ256" s="31">
        <v>0</v>
      </c>
      <c r="AR256" s="29">
        <v>0</v>
      </c>
      <c r="AS256" s="29">
        <v>0</v>
      </c>
      <c r="AT256" s="29">
        <v>0</v>
      </c>
      <c r="AU256" s="29">
        <v>0</v>
      </c>
      <c r="AV256" s="29">
        <v>0</v>
      </c>
      <c r="AW256" s="29">
        <v>0</v>
      </c>
      <c r="AX256" s="29">
        <v>0</v>
      </c>
      <c r="AY256" s="29">
        <v>0</v>
      </c>
      <c r="AZ256" s="29">
        <v>6.2127675881322258E-2</v>
      </c>
      <c r="BA256" s="29">
        <v>0</v>
      </c>
      <c r="BB256" s="29">
        <v>0</v>
      </c>
      <c r="BC256" s="29">
        <v>0</v>
      </c>
      <c r="BD256" s="29">
        <v>1.942581071841591</v>
      </c>
      <c r="BK256" s="3">
        <v>0</v>
      </c>
      <c r="BL256" s="3">
        <v>19.401034196154942</v>
      </c>
      <c r="BM256" s="3">
        <v>62.860904040023414</v>
      </c>
    </row>
    <row r="257" spans="1:65" ht="15.75" customHeight="1" x14ac:dyDescent="0.25">
      <c r="A257" s="3" t="s">
        <v>1008</v>
      </c>
      <c r="B257" s="3" t="s">
        <v>900</v>
      </c>
      <c r="C257" s="3" t="s">
        <v>987</v>
      </c>
      <c r="D257" s="27" t="s">
        <v>900</v>
      </c>
      <c r="E257" s="27" t="s">
        <v>989</v>
      </c>
      <c r="F257" s="31">
        <v>1981</v>
      </c>
      <c r="G257" s="31">
        <v>1982</v>
      </c>
      <c r="H257" s="31">
        <v>7</v>
      </c>
      <c r="I257" s="27">
        <v>0</v>
      </c>
      <c r="J257" s="27">
        <v>11.149999812245381</v>
      </c>
      <c r="L257" s="27">
        <v>0</v>
      </c>
      <c r="P257" s="29">
        <v>0</v>
      </c>
      <c r="AB257" s="27">
        <v>200</v>
      </c>
      <c r="AC257" s="27">
        <v>0</v>
      </c>
      <c r="AD257" s="27">
        <v>0</v>
      </c>
      <c r="AE257" s="27">
        <v>0</v>
      </c>
      <c r="AF257" s="27">
        <v>2.7305540250716094</v>
      </c>
      <c r="AG257" s="27">
        <v>5.6727616036720906E-2</v>
      </c>
      <c r="AH257" s="27">
        <v>0</v>
      </c>
      <c r="AI257" s="31">
        <v>0</v>
      </c>
      <c r="AJ257" s="29">
        <v>0</v>
      </c>
      <c r="AK257" s="31">
        <v>0</v>
      </c>
      <c r="AL257" s="31">
        <v>19.899999842047698</v>
      </c>
      <c r="AM257" s="31">
        <v>0</v>
      </c>
      <c r="AN257" s="31">
        <v>0</v>
      </c>
      <c r="AO257" s="31">
        <v>0</v>
      </c>
      <c r="AP257" s="31">
        <v>69.275109224448968</v>
      </c>
      <c r="AQ257" s="31">
        <v>0</v>
      </c>
      <c r="AR257" s="29">
        <v>0</v>
      </c>
      <c r="AS257" s="29">
        <v>0</v>
      </c>
      <c r="AT257" s="29">
        <v>0</v>
      </c>
      <c r="AU257" s="29">
        <v>0</v>
      </c>
      <c r="AV257" s="29">
        <v>0</v>
      </c>
      <c r="AW257" s="29">
        <v>0</v>
      </c>
      <c r="AX257" s="29">
        <v>0</v>
      </c>
      <c r="AY257" s="29">
        <v>0</v>
      </c>
      <c r="AZ257" s="29">
        <v>6.2127675881322258E-2</v>
      </c>
      <c r="BA257" s="29">
        <v>0</v>
      </c>
      <c r="BB257" s="29">
        <v>0</v>
      </c>
      <c r="BC257" s="29">
        <v>0</v>
      </c>
      <c r="BD257" s="29">
        <v>1.942581071841591</v>
      </c>
      <c r="BK257" s="3">
        <v>0</v>
      </c>
      <c r="BL257" s="3">
        <v>19.344306580118221</v>
      </c>
      <c r="BM257" s="3">
        <v>62.860904040023414</v>
      </c>
    </row>
    <row r="258" spans="1:65" ht="15.75" customHeight="1" x14ac:dyDescent="0.25">
      <c r="A258" s="3" t="s">
        <v>1008</v>
      </c>
      <c r="B258" s="3" t="s">
        <v>900</v>
      </c>
      <c r="C258" s="3" t="s">
        <v>987</v>
      </c>
      <c r="D258" s="27" t="s">
        <v>900</v>
      </c>
      <c r="E258" s="27" t="s">
        <v>989</v>
      </c>
      <c r="F258" s="31">
        <v>1981</v>
      </c>
      <c r="G258" s="31">
        <v>1982</v>
      </c>
      <c r="H258" s="31">
        <v>8</v>
      </c>
      <c r="I258" s="27">
        <v>0</v>
      </c>
      <c r="J258" s="27">
        <v>11.74999964237211</v>
      </c>
      <c r="L258" s="27">
        <v>0</v>
      </c>
      <c r="P258" s="29">
        <v>0</v>
      </c>
      <c r="AB258" s="27">
        <v>200</v>
      </c>
      <c r="AC258" s="27">
        <v>0</v>
      </c>
      <c r="AD258" s="27">
        <v>0</v>
      </c>
      <c r="AE258" s="27">
        <v>0</v>
      </c>
      <c r="AF258" s="27">
        <v>2.8014239785251913</v>
      </c>
      <c r="AG258" s="27">
        <v>5.8086828809424861E-2</v>
      </c>
      <c r="AH258" s="27">
        <v>0</v>
      </c>
      <c r="AI258" s="31">
        <v>0</v>
      </c>
      <c r="AJ258" s="29">
        <v>0</v>
      </c>
      <c r="AK258" s="31">
        <v>0</v>
      </c>
      <c r="AL258" s="31">
        <v>19.899999842047698</v>
      </c>
      <c r="AM258" s="31">
        <v>0</v>
      </c>
      <c r="AN258" s="31">
        <v>0</v>
      </c>
      <c r="AO258" s="31">
        <v>0</v>
      </c>
      <c r="AP258" s="31">
        <v>69.333196053258391</v>
      </c>
      <c r="AQ258" s="31">
        <v>0</v>
      </c>
      <c r="AR258" s="29">
        <v>0</v>
      </c>
      <c r="AS258" s="29">
        <v>0</v>
      </c>
      <c r="AT258" s="29">
        <v>0</v>
      </c>
      <c r="AU258" s="29">
        <v>0</v>
      </c>
      <c r="AV258" s="29">
        <v>0</v>
      </c>
      <c r="AW258" s="29">
        <v>0</v>
      </c>
      <c r="AX258" s="29">
        <v>0</v>
      </c>
      <c r="AY258" s="29">
        <v>0</v>
      </c>
      <c r="AZ258" s="29">
        <v>6.2127675881322258E-2</v>
      </c>
      <c r="BA258" s="29">
        <v>0</v>
      </c>
      <c r="BB258" s="29">
        <v>0</v>
      </c>
      <c r="BC258" s="29">
        <v>0</v>
      </c>
      <c r="BD258" s="29">
        <v>1.942581071841591</v>
      </c>
      <c r="BK258" s="3">
        <v>0</v>
      </c>
      <c r="BL258" s="3">
        <v>19.286219751308796</v>
      </c>
      <c r="BM258" s="3">
        <v>62.860904040023414</v>
      </c>
    </row>
    <row r="259" spans="1:65" ht="15.75" customHeight="1" x14ac:dyDescent="0.25">
      <c r="A259" s="3" t="s">
        <v>1008</v>
      </c>
      <c r="B259" s="3" t="s">
        <v>900</v>
      </c>
      <c r="C259" s="3" t="s">
        <v>987</v>
      </c>
      <c r="D259" s="27" t="s">
        <v>900</v>
      </c>
      <c r="E259" s="27" t="s">
        <v>989</v>
      </c>
      <c r="F259" s="31">
        <v>1981</v>
      </c>
      <c r="G259" s="31">
        <v>1982</v>
      </c>
      <c r="H259" s="31">
        <v>9</v>
      </c>
      <c r="I259" s="27">
        <v>0</v>
      </c>
      <c r="J259" s="27">
        <v>12.349999666213964</v>
      </c>
      <c r="L259" s="27">
        <v>0</v>
      </c>
      <c r="P259" s="29">
        <v>0</v>
      </c>
      <c r="AB259" s="27">
        <v>200</v>
      </c>
      <c r="AC259" s="27">
        <v>0</v>
      </c>
      <c r="AD259" s="27">
        <v>0</v>
      </c>
      <c r="AE259" s="27">
        <v>0</v>
      </c>
      <c r="AF259" s="27">
        <v>2.7943409767948304</v>
      </c>
      <c r="AG259" s="27">
        <v>5.7827786162801056E-2</v>
      </c>
      <c r="AH259" s="27">
        <v>0</v>
      </c>
      <c r="AI259" s="31">
        <v>0</v>
      </c>
      <c r="AJ259" s="29">
        <v>0</v>
      </c>
      <c r="AK259" s="31">
        <v>0</v>
      </c>
      <c r="AL259" s="31">
        <v>19.899999842047698</v>
      </c>
      <c r="AM259" s="31">
        <v>0</v>
      </c>
      <c r="AN259" s="31">
        <v>0</v>
      </c>
      <c r="AO259" s="31">
        <v>0</v>
      </c>
      <c r="AP259" s="31">
        <v>69.391023839421194</v>
      </c>
      <c r="AQ259" s="31">
        <v>0</v>
      </c>
      <c r="AR259" s="29">
        <v>0</v>
      </c>
      <c r="AS259" s="29">
        <v>0</v>
      </c>
      <c r="AT259" s="29">
        <v>0</v>
      </c>
      <c r="AU259" s="29">
        <v>0</v>
      </c>
      <c r="AV259" s="29">
        <v>0</v>
      </c>
      <c r="AW259" s="29">
        <v>0</v>
      </c>
      <c r="AX259" s="29">
        <v>0</v>
      </c>
      <c r="AY259" s="29">
        <v>0</v>
      </c>
      <c r="AZ259" s="29">
        <v>6.2127675881322258E-2</v>
      </c>
      <c r="BA259" s="29">
        <v>0</v>
      </c>
      <c r="BB259" s="29">
        <v>0</v>
      </c>
      <c r="BC259" s="29">
        <v>0</v>
      </c>
      <c r="BD259" s="29">
        <v>1.942581071841591</v>
      </c>
      <c r="BK259" s="3">
        <v>0</v>
      </c>
      <c r="BL259" s="3">
        <v>19.228391965145995</v>
      </c>
      <c r="BM259" s="3">
        <v>62.860904040023414</v>
      </c>
    </row>
    <row r="260" spans="1:65" ht="15.75" customHeight="1" x14ac:dyDescent="0.25">
      <c r="A260" s="3" t="s">
        <v>1008</v>
      </c>
      <c r="B260" s="3" t="s">
        <v>900</v>
      </c>
      <c r="C260" s="3" t="s">
        <v>987</v>
      </c>
      <c r="D260" s="27" t="s">
        <v>900</v>
      </c>
      <c r="E260" s="27" t="s">
        <v>989</v>
      </c>
      <c r="F260" s="31">
        <v>1981</v>
      </c>
      <c r="G260" s="31">
        <v>1982</v>
      </c>
      <c r="H260" s="31">
        <v>10</v>
      </c>
      <c r="I260" s="27">
        <v>0</v>
      </c>
      <c r="J260" s="27">
        <v>9.5000003874302141</v>
      </c>
      <c r="L260" s="27">
        <v>0</v>
      </c>
      <c r="P260" s="29">
        <v>0</v>
      </c>
      <c r="AB260" s="27">
        <v>200</v>
      </c>
      <c r="AC260" s="27">
        <v>0</v>
      </c>
      <c r="AD260" s="27">
        <v>0</v>
      </c>
      <c r="AE260" s="27">
        <v>0</v>
      </c>
      <c r="AF260" s="27">
        <v>2.5909203948739221</v>
      </c>
      <c r="AG260" s="27">
        <v>5.3514667048677557E-2</v>
      </c>
      <c r="AH260" s="27">
        <v>0</v>
      </c>
      <c r="AI260" s="31">
        <v>0</v>
      </c>
      <c r="AJ260" s="29">
        <v>0</v>
      </c>
      <c r="AK260" s="31">
        <v>0</v>
      </c>
      <c r="AL260" s="31">
        <v>19.899999842047698</v>
      </c>
      <c r="AM260" s="31">
        <v>0</v>
      </c>
      <c r="AN260" s="31">
        <v>0</v>
      </c>
      <c r="AO260" s="31">
        <v>0</v>
      </c>
      <c r="AP260" s="31">
        <v>69.444538506469868</v>
      </c>
      <c r="AQ260" s="31">
        <v>0</v>
      </c>
      <c r="AR260" s="29">
        <v>0</v>
      </c>
      <c r="AS260" s="29">
        <v>0</v>
      </c>
      <c r="AT260" s="29">
        <v>0</v>
      </c>
      <c r="AU260" s="29">
        <v>0</v>
      </c>
      <c r="AV260" s="29">
        <v>0</v>
      </c>
      <c r="AW260" s="29">
        <v>0</v>
      </c>
      <c r="AX260" s="29">
        <v>0</v>
      </c>
      <c r="AY260" s="29">
        <v>0</v>
      </c>
      <c r="AZ260" s="29">
        <v>6.2127675881322258E-2</v>
      </c>
      <c r="BA260" s="29">
        <v>0</v>
      </c>
      <c r="BB260" s="29">
        <v>0</v>
      </c>
      <c r="BC260" s="29">
        <v>0</v>
      </c>
      <c r="BD260" s="29">
        <v>1.942581071841591</v>
      </c>
      <c r="BK260" s="3">
        <v>0</v>
      </c>
      <c r="BL260" s="3">
        <v>19.174877298097318</v>
      </c>
      <c r="BM260" s="3">
        <v>62.860904040023414</v>
      </c>
    </row>
    <row r="261" spans="1:65" ht="15.75" customHeight="1" x14ac:dyDescent="0.25">
      <c r="A261" s="3" t="s">
        <v>1008</v>
      </c>
      <c r="B261" s="3" t="s">
        <v>900</v>
      </c>
      <c r="C261" s="3" t="s">
        <v>987</v>
      </c>
      <c r="D261" s="27" t="s">
        <v>900</v>
      </c>
      <c r="E261" s="27" t="s">
        <v>989</v>
      </c>
      <c r="F261" s="31">
        <v>1981</v>
      </c>
      <c r="G261" s="31">
        <v>1982</v>
      </c>
      <c r="H261" s="31">
        <v>11</v>
      </c>
      <c r="I261" s="27">
        <v>0</v>
      </c>
      <c r="J261" s="27">
        <v>10.650000333786036</v>
      </c>
      <c r="L261" s="27">
        <v>0</v>
      </c>
      <c r="P261" s="29">
        <v>0</v>
      </c>
      <c r="AB261" s="27">
        <v>200</v>
      </c>
      <c r="AC261" s="27">
        <v>0.20000000298023199</v>
      </c>
      <c r="AD261" s="27">
        <v>0</v>
      </c>
      <c r="AE261" s="27">
        <v>0</v>
      </c>
      <c r="AF261" s="27">
        <v>2.5249541167540404</v>
      </c>
      <c r="AG261" s="27">
        <v>5.2051957243830986E-2</v>
      </c>
      <c r="AH261" s="27">
        <v>0</v>
      </c>
      <c r="AI261" s="31">
        <v>0</v>
      </c>
      <c r="AJ261" s="29">
        <v>0</v>
      </c>
      <c r="AK261" s="31">
        <v>0</v>
      </c>
      <c r="AL261" s="31">
        <v>20.099999845027931</v>
      </c>
      <c r="AM261" s="31">
        <v>0</v>
      </c>
      <c r="AN261" s="31">
        <v>0</v>
      </c>
      <c r="AO261" s="31">
        <v>0</v>
      </c>
      <c r="AP261" s="31">
        <v>69.496590463713702</v>
      </c>
      <c r="AQ261" s="31">
        <v>0</v>
      </c>
      <c r="AR261" s="29">
        <v>0</v>
      </c>
      <c r="AS261" s="29">
        <v>0</v>
      </c>
      <c r="AT261" s="29">
        <v>0</v>
      </c>
      <c r="AU261" s="29">
        <v>0</v>
      </c>
      <c r="AV261" s="29">
        <v>0</v>
      </c>
      <c r="AW261" s="29">
        <v>0</v>
      </c>
      <c r="AX261" s="29">
        <v>0</v>
      </c>
      <c r="AY261" s="29">
        <v>0</v>
      </c>
      <c r="AZ261" s="29">
        <v>6.2127675881322258E-2</v>
      </c>
      <c r="BA261" s="29">
        <v>0</v>
      </c>
      <c r="BB261" s="29">
        <v>0</v>
      </c>
      <c r="BC261" s="29">
        <v>0</v>
      </c>
      <c r="BD261" s="29">
        <v>1.942581071841591</v>
      </c>
      <c r="BK261" s="3">
        <v>0</v>
      </c>
      <c r="BL261" s="3">
        <v>19.322825343833721</v>
      </c>
      <c r="BM261" s="3">
        <v>62.860904040023414</v>
      </c>
    </row>
    <row r="262" spans="1:65" ht="15.75" customHeight="1" x14ac:dyDescent="0.25">
      <c r="A262" s="3" t="s">
        <v>1008</v>
      </c>
      <c r="B262" s="3" t="s">
        <v>900</v>
      </c>
      <c r="C262" s="3" t="s">
        <v>987</v>
      </c>
      <c r="D262" s="27" t="s">
        <v>900</v>
      </c>
      <c r="E262" s="27" t="s">
        <v>989</v>
      </c>
      <c r="F262" s="31">
        <v>1981</v>
      </c>
      <c r="G262" s="31">
        <v>1982</v>
      </c>
      <c r="H262" s="31">
        <v>12</v>
      </c>
      <c r="I262" s="27">
        <v>0</v>
      </c>
      <c r="J262" s="27">
        <v>10.250000000000014</v>
      </c>
      <c r="L262" s="27">
        <v>0</v>
      </c>
      <c r="P262" s="29">
        <v>0</v>
      </c>
      <c r="AB262" s="27">
        <v>200</v>
      </c>
      <c r="AC262" s="27">
        <v>7.8000001907348597</v>
      </c>
      <c r="AD262" s="27">
        <v>0</v>
      </c>
      <c r="AE262" s="27">
        <v>0</v>
      </c>
      <c r="AF262" s="27">
        <v>1.4272489997511442</v>
      </c>
      <c r="AG262" s="27">
        <v>2.9366442383026142E-2</v>
      </c>
      <c r="AH262" s="27">
        <v>0</v>
      </c>
      <c r="AI262" s="31">
        <v>0</v>
      </c>
      <c r="AJ262" s="29">
        <v>0</v>
      </c>
      <c r="AK262" s="31">
        <v>0</v>
      </c>
      <c r="AL262" s="31">
        <v>27.90000003576279</v>
      </c>
      <c r="AM262" s="31">
        <v>0</v>
      </c>
      <c r="AN262" s="31">
        <v>0</v>
      </c>
      <c r="AO262" s="31">
        <v>0</v>
      </c>
      <c r="AP262" s="31">
        <v>69.525956906096724</v>
      </c>
      <c r="AQ262" s="31">
        <v>0</v>
      </c>
      <c r="AR262" s="29">
        <v>0</v>
      </c>
      <c r="AS262" s="29">
        <v>0</v>
      </c>
      <c r="AT262" s="29">
        <v>0</v>
      </c>
      <c r="AU262" s="29">
        <v>0</v>
      </c>
      <c r="AV262" s="29">
        <v>0</v>
      </c>
      <c r="AW262" s="29">
        <v>0</v>
      </c>
      <c r="AX262" s="29">
        <v>0</v>
      </c>
      <c r="AY262" s="29">
        <v>0</v>
      </c>
      <c r="AZ262" s="29">
        <v>6.2127675881322258E-2</v>
      </c>
      <c r="BA262" s="29">
        <v>0</v>
      </c>
      <c r="BB262" s="29">
        <v>0</v>
      </c>
      <c r="BC262" s="29">
        <v>0</v>
      </c>
      <c r="BD262" s="29">
        <v>1.942581071841591</v>
      </c>
      <c r="BK262" s="3">
        <v>0</v>
      </c>
      <c r="BL262" s="3">
        <v>27.093459092185554</v>
      </c>
      <c r="BM262" s="3">
        <v>62.860904040023414</v>
      </c>
    </row>
    <row r="263" spans="1:65" ht="15.75" customHeight="1" x14ac:dyDescent="0.25">
      <c r="A263" s="3" t="s">
        <v>1008</v>
      </c>
      <c r="B263" s="3" t="s">
        <v>900</v>
      </c>
      <c r="C263" s="3" t="s">
        <v>987</v>
      </c>
      <c r="D263" s="27" t="s">
        <v>900</v>
      </c>
      <c r="E263" s="27" t="s">
        <v>989</v>
      </c>
      <c r="F263" s="31">
        <v>1981</v>
      </c>
      <c r="G263" s="31">
        <v>1982</v>
      </c>
      <c r="H263" s="31">
        <v>13</v>
      </c>
      <c r="I263" s="27">
        <v>0</v>
      </c>
      <c r="J263" s="27">
        <v>8.5499999523162842</v>
      </c>
      <c r="L263" s="27">
        <v>0</v>
      </c>
      <c r="P263" s="29">
        <v>0</v>
      </c>
      <c r="AB263" s="27">
        <v>200</v>
      </c>
      <c r="AC263" s="27">
        <v>7.4000000953674299</v>
      </c>
      <c r="AD263" s="27">
        <v>0</v>
      </c>
      <c r="AE263" s="27">
        <v>0</v>
      </c>
      <c r="AF263" s="27">
        <v>1.7212791217002774</v>
      </c>
      <c r="AG263" s="27">
        <v>3.5348751693798662E-2</v>
      </c>
      <c r="AH263" s="27">
        <v>0</v>
      </c>
      <c r="AI263" s="31">
        <v>0</v>
      </c>
      <c r="AJ263" s="29">
        <v>0</v>
      </c>
      <c r="AK263" s="31">
        <v>0</v>
      </c>
      <c r="AL263" s="31">
        <v>35.300000131130219</v>
      </c>
      <c r="AM263" s="31">
        <v>0</v>
      </c>
      <c r="AN263" s="31">
        <v>0</v>
      </c>
      <c r="AO263" s="31">
        <v>0</v>
      </c>
      <c r="AP263" s="31">
        <v>69.561305657790527</v>
      </c>
      <c r="AQ263" s="31">
        <v>0</v>
      </c>
      <c r="AR263" s="29">
        <v>0</v>
      </c>
      <c r="AS263" s="29">
        <v>0</v>
      </c>
      <c r="AT263" s="29">
        <v>0</v>
      </c>
      <c r="AU263" s="29">
        <v>0</v>
      </c>
      <c r="AV263" s="29">
        <v>0</v>
      </c>
      <c r="AW263" s="29">
        <v>0</v>
      </c>
      <c r="AX263" s="29">
        <v>0</v>
      </c>
      <c r="AY263" s="29">
        <v>0</v>
      </c>
      <c r="AZ263" s="29">
        <v>6.2127675881322258E-2</v>
      </c>
      <c r="BA263" s="29">
        <v>0</v>
      </c>
      <c r="BB263" s="29">
        <v>0</v>
      </c>
      <c r="BC263" s="29">
        <v>0</v>
      </c>
      <c r="BD263" s="29">
        <v>1.942581071841591</v>
      </c>
      <c r="BK263" s="3">
        <v>0</v>
      </c>
      <c r="BL263" s="3">
        <v>34.45811043585919</v>
      </c>
      <c r="BM263" s="3">
        <v>62.860904040023414</v>
      </c>
    </row>
    <row r="264" spans="1:65" ht="15.75" customHeight="1" x14ac:dyDescent="0.25">
      <c r="A264" s="3" t="s">
        <v>1008</v>
      </c>
      <c r="B264" s="3" t="s">
        <v>900</v>
      </c>
      <c r="C264" s="3" t="s">
        <v>987</v>
      </c>
      <c r="D264" s="27" t="s">
        <v>900</v>
      </c>
      <c r="E264" s="27" t="s">
        <v>989</v>
      </c>
      <c r="F264" s="31">
        <v>1981</v>
      </c>
      <c r="G264" s="31">
        <v>1982</v>
      </c>
      <c r="H264" s="31">
        <v>14</v>
      </c>
      <c r="I264" s="27">
        <v>0</v>
      </c>
      <c r="J264" s="27">
        <v>8.6000001430511652</v>
      </c>
      <c r="L264" s="27">
        <v>0</v>
      </c>
      <c r="P264" s="29">
        <v>0</v>
      </c>
      <c r="AB264" s="27">
        <v>200</v>
      </c>
      <c r="AC264" s="27">
        <v>4</v>
      </c>
      <c r="AD264" s="27">
        <v>0</v>
      </c>
      <c r="AE264" s="27">
        <v>0</v>
      </c>
      <c r="AF264" s="27">
        <v>1.4544022464877679</v>
      </c>
      <c r="AG264" s="27">
        <v>2.981135114103935E-2</v>
      </c>
      <c r="AH264" s="27">
        <v>0</v>
      </c>
      <c r="AI264" s="31">
        <v>0</v>
      </c>
      <c r="AJ264" s="29">
        <v>1.0188660564787662</v>
      </c>
      <c r="AK264" s="31">
        <v>3.8593411230256294E-2</v>
      </c>
      <c r="AL264" s="31">
        <v>39.300000131130219</v>
      </c>
      <c r="AM264" s="31">
        <v>0</v>
      </c>
      <c r="AN264" s="31">
        <v>0</v>
      </c>
      <c r="AO264" s="31">
        <v>0</v>
      </c>
      <c r="AP264" s="31">
        <v>69.591117008931562</v>
      </c>
      <c r="AQ264" s="31">
        <v>0</v>
      </c>
      <c r="AR264" s="29">
        <v>0</v>
      </c>
      <c r="AS264" s="29">
        <v>0</v>
      </c>
      <c r="AT264" s="29">
        <v>0</v>
      </c>
      <c r="AU264" s="29">
        <v>0</v>
      </c>
      <c r="AV264" s="29">
        <v>0</v>
      </c>
      <c r="AW264" s="29">
        <v>0</v>
      </c>
      <c r="AX264" s="29">
        <v>0</v>
      </c>
      <c r="AY264" s="29">
        <v>5.8486318721452115E-4</v>
      </c>
      <c r="AZ264" s="29">
        <v>6.2712539068536785E-2</v>
      </c>
      <c r="BA264" s="29">
        <v>0</v>
      </c>
      <c r="BB264" s="29">
        <v>0</v>
      </c>
      <c r="BC264" s="29">
        <v>2.9429550214721792E-3</v>
      </c>
      <c r="BD264" s="29">
        <v>1.9431659350288055</v>
      </c>
      <c r="BK264" s="3">
        <v>0</v>
      </c>
      <c r="BL264" s="3">
        <v>38.428299084718148</v>
      </c>
      <c r="BM264" s="3">
        <v>62.860904040023414</v>
      </c>
    </row>
    <row r="265" spans="1:65" ht="15.75" customHeight="1" x14ac:dyDescent="0.25">
      <c r="A265" s="3" t="s">
        <v>1008</v>
      </c>
      <c r="B265" s="3" t="s">
        <v>900</v>
      </c>
      <c r="C265" s="3" t="s">
        <v>987</v>
      </c>
      <c r="D265" s="27" t="s">
        <v>900</v>
      </c>
      <c r="E265" s="27" t="s">
        <v>989</v>
      </c>
      <c r="F265" s="31">
        <v>1981</v>
      </c>
      <c r="G265" s="31">
        <v>1982</v>
      </c>
      <c r="H265" s="31">
        <v>15</v>
      </c>
      <c r="I265" s="27">
        <v>0</v>
      </c>
      <c r="J265" s="27">
        <v>8.5000002384185649</v>
      </c>
      <c r="L265" s="27">
        <v>0</v>
      </c>
      <c r="P265" s="29">
        <v>0</v>
      </c>
      <c r="AB265" s="27">
        <v>200</v>
      </c>
      <c r="AC265" s="27">
        <v>0.30000001192092901</v>
      </c>
      <c r="AD265" s="27">
        <v>0</v>
      </c>
      <c r="AE265" s="27">
        <v>0</v>
      </c>
      <c r="AF265" s="27">
        <v>2.383311511256859</v>
      </c>
      <c r="AG265" s="27">
        <v>4.875906893245685E-2</v>
      </c>
      <c r="AH265" s="27">
        <v>0</v>
      </c>
      <c r="AI265" s="31">
        <v>0</v>
      </c>
      <c r="AJ265" s="29">
        <v>1.1863600184710823</v>
      </c>
      <c r="AK265" s="31">
        <v>4.4937879487541001E-2</v>
      </c>
      <c r="AL265" s="31">
        <v>39.600000143051147</v>
      </c>
      <c r="AM265" s="31">
        <v>0</v>
      </c>
      <c r="AN265" s="31">
        <v>0</v>
      </c>
      <c r="AO265" s="31">
        <v>0</v>
      </c>
      <c r="AP265" s="31">
        <v>69.639876077864017</v>
      </c>
      <c r="AQ265" s="31">
        <v>0</v>
      </c>
      <c r="AR265" s="29">
        <v>0</v>
      </c>
      <c r="AS265" s="29">
        <v>0</v>
      </c>
      <c r="AT265" s="29">
        <v>0</v>
      </c>
      <c r="AU265" s="29">
        <v>0</v>
      </c>
      <c r="AV265" s="29">
        <v>0</v>
      </c>
      <c r="AW265" s="29">
        <v>0</v>
      </c>
      <c r="AX265" s="29">
        <v>0</v>
      </c>
      <c r="AY265" s="29">
        <v>6.7703434329890165E-4</v>
      </c>
      <c r="AZ265" s="29">
        <v>6.3389573411835681E-2</v>
      </c>
      <c r="BA265" s="29">
        <v>0</v>
      </c>
      <c r="BB265" s="29">
        <v>0</v>
      </c>
      <c r="BC265" s="29">
        <v>3.417556243496744E-3</v>
      </c>
      <c r="BD265" s="29">
        <v>1.9438429693721044</v>
      </c>
      <c r="BK265" s="3">
        <v>0</v>
      </c>
      <c r="BL265" s="3">
        <v>38.679540027706622</v>
      </c>
      <c r="BM265" s="3">
        <v>62.860904040023414</v>
      </c>
    </row>
    <row r="266" spans="1:65" ht="15.75" customHeight="1" x14ac:dyDescent="0.25">
      <c r="A266" s="3" t="s">
        <v>1008</v>
      </c>
      <c r="B266" s="3" t="s">
        <v>900</v>
      </c>
      <c r="C266" s="3" t="s">
        <v>987</v>
      </c>
      <c r="D266" s="27" t="s">
        <v>900</v>
      </c>
      <c r="E266" s="27" t="s">
        <v>989</v>
      </c>
      <c r="F266" s="31">
        <v>1981</v>
      </c>
      <c r="G266" s="31">
        <v>1982</v>
      </c>
      <c r="H266" s="31">
        <v>16</v>
      </c>
      <c r="I266" s="27">
        <v>0</v>
      </c>
      <c r="J266" s="27">
        <v>7.1999999284744094</v>
      </c>
      <c r="L266" s="27">
        <v>0</v>
      </c>
      <c r="P266" s="29">
        <v>0</v>
      </c>
      <c r="AB266" s="27">
        <v>200</v>
      </c>
      <c r="AC266" s="27">
        <v>1.5</v>
      </c>
      <c r="AD266" s="27">
        <v>0</v>
      </c>
      <c r="AE266" s="27">
        <v>0</v>
      </c>
      <c r="AF266" s="27">
        <v>1.8583066138066249</v>
      </c>
      <c r="AG266" s="27">
        <v>3.7946571224721025E-2</v>
      </c>
      <c r="AH266" s="27">
        <v>0</v>
      </c>
      <c r="AI266" s="31">
        <v>0</v>
      </c>
      <c r="AJ266" s="29">
        <v>2.1610623043212671</v>
      </c>
      <c r="AK266" s="31">
        <v>8.1858420618229816E-2</v>
      </c>
      <c r="AL266" s="31">
        <v>41.100000143051147</v>
      </c>
      <c r="AM266" s="31">
        <v>0</v>
      </c>
      <c r="AN266" s="31">
        <v>0</v>
      </c>
      <c r="AO266" s="31">
        <v>0</v>
      </c>
      <c r="AP266" s="31">
        <v>69.677822649088739</v>
      </c>
      <c r="AQ266" s="31">
        <v>0</v>
      </c>
      <c r="AR266" s="29">
        <v>0</v>
      </c>
      <c r="AS266" s="29">
        <v>0</v>
      </c>
      <c r="AT266" s="29">
        <v>0</v>
      </c>
      <c r="AU266" s="29">
        <v>0</v>
      </c>
      <c r="AV266" s="29">
        <v>0</v>
      </c>
      <c r="AW266" s="29">
        <v>0</v>
      </c>
      <c r="AX266" s="29">
        <v>0</v>
      </c>
      <c r="AY266" s="29">
        <v>1.1107677229288061E-3</v>
      </c>
      <c r="AZ266" s="29">
        <v>6.4500341134764494E-2</v>
      </c>
      <c r="BA266" s="29">
        <v>0</v>
      </c>
      <c r="BB266" s="29">
        <v>0</v>
      </c>
      <c r="BC266" s="29">
        <v>5.9797330209528706E-3</v>
      </c>
      <c r="BD266" s="29">
        <v>1.9449537370950334</v>
      </c>
      <c r="BK266" s="3">
        <v>0</v>
      </c>
      <c r="BL266" s="3">
        <v>40.1415934564819</v>
      </c>
      <c r="BM266" s="3">
        <v>62.860904040023414</v>
      </c>
    </row>
    <row r="267" spans="1:65" ht="15.75" customHeight="1" x14ac:dyDescent="0.25">
      <c r="A267" s="3" t="s">
        <v>1008</v>
      </c>
      <c r="B267" s="3" t="s">
        <v>900</v>
      </c>
      <c r="C267" s="3" t="s">
        <v>987</v>
      </c>
      <c r="D267" s="27" t="s">
        <v>900</v>
      </c>
      <c r="E267" s="27" t="s">
        <v>989</v>
      </c>
      <c r="F267" s="31">
        <v>1981</v>
      </c>
      <c r="G267" s="31">
        <v>1982</v>
      </c>
      <c r="H267" s="31">
        <v>17</v>
      </c>
      <c r="I267" s="27">
        <v>0</v>
      </c>
      <c r="J267" s="27">
        <v>7.6999998092651198</v>
      </c>
      <c r="L267" s="27">
        <v>0</v>
      </c>
      <c r="P267" s="29">
        <v>0</v>
      </c>
      <c r="AB267" s="27">
        <v>200</v>
      </c>
      <c r="AC267" s="27">
        <v>0.10000000149011599</v>
      </c>
      <c r="AD267" s="27">
        <v>0</v>
      </c>
      <c r="AE267" s="27">
        <v>0</v>
      </c>
      <c r="AF267" s="27">
        <v>2.2720562230143595</v>
      </c>
      <c r="AG267" s="27">
        <v>4.6308199544735362E-2</v>
      </c>
      <c r="AH267" s="27">
        <v>0</v>
      </c>
      <c r="AI267" s="31">
        <v>0</v>
      </c>
      <c r="AJ267" s="29">
        <v>2.1968568389515228</v>
      </c>
      <c r="AK267" s="31">
        <v>8.3214274202709201E-2</v>
      </c>
      <c r="AL267" s="31">
        <v>41.200000144541264</v>
      </c>
      <c r="AM267" s="31">
        <v>0</v>
      </c>
      <c r="AN267" s="31">
        <v>0</v>
      </c>
      <c r="AO267" s="31">
        <v>0</v>
      </c>
      <c r="AP267" s="31">
        <v>69.724130848633479</v>
      </c>
      <c r="AQ267" s="31">
        <v>0</v>
      </c>
      <c r="AR267" s="29">
        <v>0</v>
      </c>
      <c r="AS267" s="29">
        <v>0</v>
      </c>
      <c r="AT267" s="29">
        <v>0</v>
      </c>
      <c r="AU267" s="29">
        <v>0</v>
      </c>
      <c r="AV267" s="29">
        <v>0</v>
      </c>
      <c r="AW267" s="29">
        <v>0</v>
      </c>
      <c r="AX267" s="29">
        <v>0</v>
      </c>
      <c r="AY267" s="29">
        <v>1.1762294511174414E-3</v>
      </c>
      <c r="AZ267" s="29">
        <v>6.567657058588193E-2</v>
      </c>
      <c r="BA267" s="29">
        <v>0</v>
      </c>
      <c r="BB267" s="29">
        <v>0</v>
      </c>
      <c r="BC267" s="29">
        <v>6.1320096818633452E-3</v>
      </c>
      <c r="BD267" s="29">
        <v>1.9461299665461509</v>
      </c>
      <c r="BK267" s="3">
        <v>0</v>
      </c>
      <c r="BL267" s="3">
        <v>40.195285258427283</v>
      </c>
      <c r="BM267" s="3">
        <v>62.860904040023414</v>
      </c>
    </row>
    <row r="268" spans="1:65" ht="15.75" customHeight="1" x14ac:dyDescent="0.25">
      <c r="A268" s="3" t="s">
        <v>1008</v>
      </c>
      <c r="B268" s="3" t="s">
        <v>900</v>
      </c>
      <c r="C268" s="3" t="s">
        <v>987</v>
      </c>
      <c r="D268" s="27" t="s">
        <v>900</v>
      </c>
      <c r="E268" s="27" t="s">
        <v>989</v>
      </c>
      <c r="F268" s="31">
        <v>1981</v>
      </c>
      <c r="G268" s="31">
        <v>1982</v>
      </c>
      <c r="H268" s="31">
        <v>18</v>
      </c>
      <c r="I268" s="27">
        <v>0</v>
      </c>
      <c r="J268" s="27">
        <v>4.8500000238418597</v>
      </c>
      <c r="L268" s="27">
        <v>0</v>
      </c>
      <c r="P268" s="29">
        <v>0</v>
      </c>
      <c r="AB268" s="27">
        <v>200</v>
      </c>
      <c r="AC268" s="27">
        <v>0</v>
      </c>
      <c r="AD268" s="27">
        <v>0</v>
      </c>
      <c r="AE268" s="27">
        <v>0</v>
      </c>
      <c r="AF268" s="27">
        <v>2.4411546215856359</v>
      </c>
      <c r="AG268" s="27">
        <v>4.9661613133531825E-2</v>
      </c>
      <c r="AH268" s="27">
        <v>0</v>
      </c>
      <c r="AI268" s="31">
        <v>0</v>
      </c>
      <c r="AJ268" s="29">
        <v>2.1637490968625031</v>
      </c>
      <c r="AK268" s="31">
        <v>8.1960193062973599E-2</v>
      </c>
      <c r="AL268" s="31">
        <v>41.200000144541264</v>
      </c>
      <c r="AM268" s="31">
        <v>0</v>
      </c>
      <c r="AN268" s="31">
        <v>0</v>
      </c>
      <c r="AO268" s="31">
        <v>0</v>
      </c>
      <c r="AP268" s="31">
        <v>69.773792461767016</v>
      </c>
      <c r="AQ268" s="31">
        <v>0</v>
      </c>
      <c r="AR268" s="29">
        <v>0</v>
      </c>
      <c r="AS268" s="29">
        <v>0</v>
      </c>
      <c r="AT268" s="29">
        <v>0</v>
      </c>
      <c r="AU268" s="29">
        <v>0</v>
      </c>
      <c r="AV268" s="29">
        <v>0</v>
      </c>
      <c r="AW268" s="29">
        <v>0</v>
      </c>
      <c r="AX268" s="29">
        <v>0</v>
      </c>
      <c r="AY268" s="29">
        <v>9.1847510327036739E-4</v>
      </c>
      <c r="AZ268" s="29">
        <v>6.6595045689152296E-2</v>
      </c>
      <c r="BA268" s="29">
        <v>0</v>
      </c>
      <c r="BB268" s="29">
        <v>0</v>
      </c>
      <c r="BC268" s="29">
        <v>6.0992485598942965E-3</v>
      </c>
      <c r="BD268" s="29">
        <v>1.9470484416494211</v>
      </c>
      <c r="BK268" s="3">
        <v>0</v>
      </c>
      <c r="BL268" s="3">
        <v>40.145623645293753</v>
      </c>
      <c r="BM268" s="3">
        <v>62.860904040023414</v>
      </c>
    </row>
    <row r="269" spans="1:65" ht="15.75" customHeight="1" x14ac:dyDescent="0.25">
      <c r="A269" s="3" t="s">
        <v>1008</v>
      </c>
      <c r="B269" s="3" t="s">
        <v>900</v>
      </c>
      <c r="C269" s="3" t="s">
        <v>987</v>
      </c>
      <c r="D269" s="27" t="s">
        <v>900</v>
      </c>
      <c r="E269" s="27" t="s">
        <v>989</v>
      </c>
      <c r="F269" s="31">
        <v>1981</v>
      </c>
      <c r="G269" s="31">
        <v>1982</v>
      </c>
      <c r="H269" s="31">
        <v>19</v>
      </c>
      <c r="I269" s="27">
        <v>0</v>
      </c>
      <c r="J269" s="27">
        <v>5.9999999031424336</v>
      </c>
      <c r="L269" s="27">
        <v>0</v>
      </c>
      <c r="P269" s="29">
        <v>0</v>
      </c>
      <c r="AB269" s="27">
        <v>200</v>
      </c>
      <c r="AC269" s="27">
        <v>0</v>
      </c>
      <c r="AD269" s="27">
        <v>0</v>
      </c>
      <c r="AE269" s="27">
        <v>0</v>
      </c>
      <c r="AF269" s="27">
        <v>1.9617122428006235</v>
      </c>
      <c r="AG269" s="27">
        <v>3.9833694047922683E-2</v>
      </c>
      <c r="AH269" s="27">
        <v>0</v>
      </c>
      <c r="AI269" s="31">
        <v>0</v>
      </c>
      <c r="AJ269" s="29">
        <v>2.1371933008305555</v>
      </c>
      <c r="AK269" s="31">
        <v>8.0954291698127109E-2</v>
      </c>
      <c r="AL269" s="31">
        <v>41.200000144541264</v>
      </c>
      <c r="AM269" s="31">
        <v>0</v>
      </c>
      <c r="AN269" s="31">
        <v>0</v>
      </c>
      <c r="AO269" s="31">
        <v>0</v>
      </c>
      <c r="AP269" s="31">
        <v>69.813626155814944</v>
      </c>
      <c r="AQ269" s="31">
        <v>0</v>
      </c>
      <c r="AR269" s="29">
        <v>0</v>
      </c>
      <c r="AS269" s="29">
        <v>0</v>
      </c>
      <c r="AT269" s="29">
        <v>0</v>
      </c>
      <c r="AU269" s="29">
        <v>0</v>
      </c>
      <c r="AV269" s="29">
        <v>0</v>
      </c>
      <c r="AW269" s="29">
        <v>0</v>
      </c>
      <c r="AX269" s="29">
        <v>0</v>
      </c>
      <c r="AY269" s="29">
        <v>9.9656421393214795E-4</v>
      </c>
      <c r="AZ269" s="29">
        <v>6.7591609903084438E-2</v>
      </c>
      <c r="BA269" s="29">
        <v>0</v>
      </c>
      <c r="BB269" s="29">
        <v>0</v>
      </c>
      <c r="BC269" s="29">
        <v>6.085604212060715E-3</v>
      </c>
      <c r="BD269" s="29">
        <v>1.9480450058633534</v>
      </c>
      <c r="BK269" s="3">
        <v>0</v>
      </c>
      <c r="BL269" s="3">
        <v>40.105789951245832</v>
      </c>
      <c r="BM269" s="3">
        <v>62.860904040023414</v>
      </c>
    </row>
    <row r="270" spans="1:65" ht="15.75" customHeight="1" x14ac:dyDescent="0.25">
      <c r="A270" s="3" t="s">
        <v>1008</v>
      </c>
      <c r="B270" s="3" t="s">
        <v>900</v>
      </c>
      <c r="C270" s="3" t="s">
        <v>987</v>
      </c>
      <c r="D270" s="27" t="s">
        <v>900</v>
      </c>
      <c r="E270" s="27" t="s">
        <v>989</v>
      </c>
      <c r="F270" s="31">
        <v>1981</v>
      </c>
      <c r="G270" s="31">
        <v>1982</v>
      </c>
      <c r="H270" s="31">
        <v>20</v>
      </c>
      <c r="I270" s="27">
        <v>0</v>
      </c>
      <c r="J270" s="27">
        <v>9.3499999046325701</v>
      </c>
      <c r="L270" s="27">
        <v>0</v>
      </c>
      <c r="P270" s="29">
        <v>0</v>
      </c>
      <c r="AB270" s="27">
        <v>200</v>
      </c>
      <c r="AC270" s="27">
        <v>0</v>
      </c>
      <c r="AD270" s="27">
        <v>0</v>
      </c>
      <c r="AE270" s="27">
        <v>0</v>
      </c>
      <c r="AF270" s="27">
        <v>2.7423650847844101</v>
      </c>
      <c r="AG270" s="27">
        <v>5.5581890035510895E-2</v>
      </c>
      <c r="AH270" s="27">
        <v>0</v>
      </c>
      <c r="AI270" s="31">
        <v>0</v>
      </c>
      <c r="AJ270" s="29">
        <v>2.1001387074735476</v>
      </c>
      <c r="AK270" s="31">
        <v>7.9550708616422258E-2</v>
      </c>
      <c r="AL270" s="31">
        <v>41.200000144541264</v>
      </c>
      <c r="AM270" s="31">
        <v>0</v>
      </c>
      <c r="AN270" s="31">
        <v>0</v>
      </c>
      <c r="AO270" s="31">
        <v>0</v>
      </c>
      <c r="AP270" s="31">
        <v>69.869208045850456</v>
      </c>
      <c r="AQ270" s="31">
        <v>0</v>
      </c>
      <c r="AR270" s="29">
        <v>0</v>
      </c>
      <c r="AS270" s="29">
        <v>0</v>
      </c>
      <c r="AT270" s="29">
        <v>0</v>
      </c>
      <c r="AU270" s="29">
        <v>0</v>
      </c>
      <c r="AV270" s="29">
        <v>0</v>
      </c>
      <c r="AW270" s="29">
        <v>0</v>
      </c>
      <c r="AX270" s="29">
        <v>0</v>
      </c>
      <c r="AY270" s="29">
        <v>1.2824220208694003E-3</v>
      </c>
      <c r="AZ270" s="29">
        <v>6.8874031923953832E-2</v>
      </c>
      <c r="BA270" s="29">
        <v>0</v>
      </c>
      <c r="BB270" s="29">
        <v>0</v>
      </c>
      <c r="BC270" s="29">
        <v>6.0585531701526519E-3</v>
      </c>
      <c r="BD270" s="29">
        <v>1.9493274278842228</v>
      </c>
      <c r="BK270" s="3">
        <v>0</v>
      </c>
      <c r="BL270" s="3">
        <v>40.05020806121032</v>
      </c>
      <c r="BM270" s="3">
        <v>62.860904040023414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L36:M37"/>
  <sheetViews>
    <sheetView zoomScale="90" zoomScaleNormal="90" workbookViewId="0">
      <selection activeCell="R19" sqref="R19"/>
    </sheetView>
  </sheetViews>
  <sheetFormatPr baseColWidth="10" defaultColWidth="8.81640625" defaultRowHeight="12.5" x14ac:dyDescent="0.25"/>
  <sheetData>
    <row r="36" spans="12:13" x14ac:dyDescent="0.25">
      <c r="L36">
        <v>0</v>
      </c>
      <c r="M36">
        <v>0.4</v>
      </c>
    </row>
    <row r="37" spans="12:13" x14ac:dyDescent="0.25">
      <c r="L37">
        <v>300</v>
      </c>
      <c r="M37">
        <v>0.4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BK59"/>
  <sheetViews>
    <sheetView zoomScale="80" zoomScaleNormal="80" workbookViewId="0">
      <pane xSplit="7" ySplit="1" topLeftCell="H2" activePane="bottomRight" state="frozen"/>
      <selection pane="topRight" activeCell="H1" sqref="H1"/>
      <selection pane="bottomLeft" activeCell="A3" sqref="A3"/>
      <selection pane="bottomRight" activeCell="X2" sqref="X1:AA2"/>
    </sheetView>
  </sheetViews>
  <sheetFormatPr baseColWidth="10" defaultColWidth="12.81640625" defaultRowHeight="12.5" x14ac:dyDescent="0.25"/>
  <cols>
    <col min="1" max="2" width="12.81640625" style="31" customWidth="1"/>
    <col min="3" max="3" width="17.453125" style="31" customWidth="1"/>
    <col min="4" max="17" width="12.81640625" style="31" customWidth="1"/>
    <col min="18" max="19" width="12.81640625" style="29" customWidth="1"/>
    <col min="20" max="22" width="12.81640625" style="27" customWidth="1"/>
    <col min="23" max="23" width="12.81640625" style="29" customWidth="1"/>
    <col min="24" max="33" width="12.81640625" style="31" customWidth="1"/>
    <col min="34" max="46" width="12.81640625" style="29" customWidth="1"/>
    <col min="47" max="47" width="12.81640625" style="29"/>
    <col min="48" max="48" width="12.81640625" style="133"/>
    <col min="49" max="62" width="12.81640625" style="27"/>
    <col min="63" max="63" width="12.81640625" style="29"/>
    <col min="64" max="16384" width="12.81640625" style="3"/>
  </cols>
  <sheetData>
    <row r="1" spans="1:63" s="7" customFormat="1" ht="16.5" customHeight="1" x14ac:dyDescent="0.3">
      <c r="A1" s="30" t="s">
        <v>1010</v>
      </c>
      <c r="B1" s="30" t="s">
        <v>667</v>
      </c>
      <c r="C1" s="30" t="s">
        <v>1011</v>
      </c>
      <c r="D1" s="30" t="s">
        <v>1012</v>
      </c>
      <c r="E1" s="30" t="s">
        <v>1013</v>
      </c>
      <c r="F1" s="30" t="s">
        <v>1014</v>
      </c>
      <c r="G1" s="30" t="s">
        <v>1077</v>
      </c>
      <c r="H1" s="30" t="s">
        <v>1078</v>
      </c>
      <c r="I1" s="30" t="s">
        <v>1079</v>
      </c>
      <c r="J1" s="30" t="s">
        <v>1080</v>
      </c>
      <c r="K1" s="30" t="s">
        <v>1081</v>
      </c>
      <c r="L1" s="30" t="s">
        <v>1082</v>
      </c>
      <c r="M1" s="30" t="s">
        <v>1083</v>
      </c>
      <c r="N1" s="30" t="s">
        <v>1084</v>
      </c>
      <c r="O1" s="30" t="s">
        <v>1085</v>
      </c>
      <c r="P1" s="30" t="s">
        <v>1086</v>
      </c>
      <c r="Q1" s="30" t="s">
        <v>1087</v>
      </c>
      <c r="R1" s="28" t="s">
        <v>1018</v>
      </c>
      <c r="S1" s="28" t="s">
        <v>1088</v>
      </c>
      <c r="T1" s="26" t="s">
        <v>1089</v>
      </c>
      <c r="U1" s="26" t="s">
        <v>1030</v>
      </c>
      <c r="V1" s="166" t="s">
        <v>1029</v>
      </c>
      <c r="W1" s="28" t="s">
        <v>1090</v>
      </c>
      <c r="X1" s="30" t="s">
        <v>1091</v>
      </c>
      <c r="Y1" s="30" t="s">
        <v>1041</v>
      </c>
      <c r="Z1" s="30" t="s">
        <v>1042</v>
      </c>
      <c r="AA1" s="30" t="s">
        <v>1043</v>
      </c>
      <c r="AB1" s="30" t="s">
        <v>1092</v>
      </c>
      <c r="AC1" s="30" t="s">
        <v>1044</v>
      </c>
      <c r="AD1" s="30" t="s">
        <v>1045</v>
      </c>
      <c r="AE1" s="30" t="s">
        <v>1046</v>
      </c>
      <c r="AF1" s="30" t="s">
        <v>1047</v>
      </c>
      <c r="AG1" s="30" t="s">
        <v>1093</v>
      </c>
      <c r="AH1" s="28" t="s">
        <v>1094</v>
      </c>
      <c r="AI1" s="28" t="s">
        <v>1061</v>
      </c>
      <c r="AJ1" s="28" t="s">
        <v>1062</v>
      </c>
      <c r="AK1" s="28" t="s">
        <v>1063</v>
      </c>
      <c r="AL1" s="28" t="s">
        <v>97</v>
      </c>
      <c r="AM1" s="28" t="s">
        <v>1064</v>
      </c>
      <c r="AN1" s="167" t="s">
        <v>1065</v>
      </c>
      <c r="AO1" s="28" t="s">
        <v>1095</v>
      </c>
      <c r="AP1" s="28" t="s">
        <v>1049</v>
      </c>
      <c r="AQ1" s="28" t="s">
        <v>1055</v>
      </c>
      <c r="AR1" s="28" t="s">
        <v>1096</v>
      </c>
      <c r="AS1" s="28" t="s">
        <v>1051</v>
      </c>
      <c r="AT1" s="28" t="s">
        <v>1053</v>
      </c>
      <c r="AU1" s="28" t="s">
        <v>1057</v>
      </c>
      <c r="AV1" s="187" t="s">
        <v>1097</v>
      </c>
      <c r="AW1" s="137" t="s">
        <v>732</v>
      </c>
      <c r="AX1" s="26" t="s">
        <v>733</v>
      </c>
      <c r="AY1" s="26" t="s">
        <v>734</v>
      </c>
      <c r="AZ1" s="26" t="s">
        <v>735</v>
      </c>
      <c r="BA1" s="129" t="s">
        <v>736</v>
      </c>
      <c r="BB1" s="137" t="s">
        <v>747</v>
      </c>
      <c r="BC1" s="26" t="s">
        <v>748</v>
      </c>
      <c r="BD1" s="26" t="s">
        <v>749</v>
      </c>
      <c r="BE1" s="26" t="s">
        <v>750</v>
      </c>
      <c r="BF1" s="137" t="s">
        <v>751</v>
      </c>
      <c r="BG1" s="26" t="s">
        <v>742</v>
      </c>
      <c r="BH1" s="26" t="s">
        <v>743</v>
      </c>
      <c r="BI1" s="26" t="s">
        <v>744</v>
      </c>
      <c r="BJ1" s="26" t="s">
        <v>745</v>
      </c>
      <c r="BK1" s="28" t="s">
        <v>746</v>
      </c>
    </row>
    <row r="2" spans="1:63" s="67" customFormat="1" x14ac:dyDescent="0.25">
      <c r="A2" s="182" t="s">
        <v>1008</v>
      </c>
      <c r="B2" s="72" t="s">
        <v>900</v>
      </c>
      <c r="C2" s="72" t="s">
        <v>987</v>
      </c>
      <c r="D2" s="72" t="s">
        <v>900</v>
      </c>
      <c r="E2" s="72" t="s">
        <v>989</v>
      </c>
      <c r="F2" s="72">
        <v>1981</v>
      </c>
      <c r="G2" s="72">
        <v>-1</v>
      </c>
      <c r="H2" s="72"/>
      <c r="I2" s="72"/>
      <c r="J2" s="72"/>
      <c r="K2" s="72"/>
      <c r="L2" s="72"/>
      <c r="N2" s="72"/>
      <c r="O2" s="72"/>
      <c r="P2" s="72"/>
      <c r="Q2" s="72"/>
      <c r="R2" s="73"/>
      <c r="S2" s="73"/>
      <c r="T2" s="64"/>
      <c r="U2" s="64"/>
      <c r="V2" s="64"/>
      <c r="W2" s="73">
        <v>0</v>
      </c>
      <c r="X2" s="72">
        <v>3.6803200025428922</v>
      </c>
      <c r="Y2" s="72">
        <v>41.200000144541264</v>
      </c>
      <c r="Z2" s="72">
        <v>0</v>
      </c>
      <c r="AA2" s="72">
        <v>0</v>
      </c>
      <c r="AB2" s="72">
        <v>3.1502080612103214</v>
      </c>
      <c r="AC2" s="72">
        <v>0</v>
      </c>
      <c r="AD2" s="72">
        <v>69.869208045850456</v>
      </c>
      <c r="AE2" s="72">
        <v>0</v>
      </c>
      <c r="AF2" s="72">
        <v>0</v>
      </c>
      <c r="AG2" s="72">
        <v>69.869208045850456</v>
      </c>
      <c r="AH2" s="73">
        <v>0.99999985687545556</v>
      </c>
      <c r="AI2" s="73"/>
      <c r="AJ2" s="73"/>
      <c r="AK2" s="73"/>
      <c r="AL2" s="73"/>
      <c r="AM2" s="73"/>
      <c r="AN2" s="73">
        <v>0</v>
      </c>
      <c r="AO2" s="73">
        <v>1.8804533959602683</v>
      </c>
      <c r="AP2" s="73">
        <v>0</v>
      </c>
      <c r="AQ2" s="73">
        <v>6.8874031923953832E-2</v>
      </c>
      <c r="AR2" s="73">
        <v>1.9493274278842228</v>
      </c>
      <c r="AS2" s="73">
        <v>0</v>
      </c>
      <c r="AT2" s="73">
        <v>0</v>
      </c>
      <c r="AU2" s="73">
        <v>0</v>
      </c>
      <c r="AV2" s="188">
        <v>3</v>
      </c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73"/>
    </row>
    <row r="3" spans="1:63" s="67" customFormat="1" x14ac:dyDescent="0.25">
      <c r="A3" s="72" t="s">
        <v>996</v>
      </c>
      <c r="B3" s="72" t="s">
        <v>900</v>
      </c>
      <c r="C3" s="72" t="s">
        <v>986</v>
      </c>
      <c r="D3" s="72" t="s">
        <v>900</v>
      </c>
      <c r="E3" s="72" t="s">
        <v>989</v>
      </c>
      <c r="F3" s="72">
        <v>2007</v>
      </c>
      <c r="G3" s="72">
        <v>-1</v>
      </c>
      <c r="H3" s="72"/>
      <c r="I3" s="72"/>
      <c r="J3" s="72"/>
      <c r="K3" s="72"/>
      <c r="L3" s="72"/>
      <c r="N3" s="72"/>
      <c r="O3" s="72"/>
      <c r="P3" s="72"/>
      <c r="Q3" s="72"/>
      <c r="R3" s="73"/>
      <c r="S3" s="73"/>
      <c r="T3" s="64"/>
      <c r="U3" s="64"/>
      <c r="V3" s="64"/>
      <c r="W3" s="73">
        <v>0</v>
      </c>
      <c r="X3" s="72">
        <v>3.6803200025428922</v>
      </c>
      <c r="Y3" s="72">
        <v>56.900000199675617</v>
      </c>
      <c r="Z3" s="72">
        <v>0</v>
      </c>
      <c r="AA3" s="72">
        <v>0</v>
      </c>
      <c r="AB3" s="72">
        <v>0</v>
      </c>
      <c r="AC3" s="72">
        <v>7.2045877861546407E-3</v>
      </c>
      <c r="AD3" s="72">
        <v>149.95376451278116</v>
      </c>
      <c r="AE3" s="72">
        <v>0</v>
      </c>
      <c r="AF3" s="72">
        <v>0</v>
      </c>
      <c r="AG3" s="72">
        <v>149.95376451278116</v>
      </c>
      <c r="AH3" s="73">
        <v>0.99999993331278236</v>
      </c>
      <c r="AI3" s="73"/>
      <c r="AJ3" s="73"/>
      <c r="AK3" s="73"/>
      <c r="AL3" s="73"/>
      <c r="AM3" s="73"/>
      <c r="AN3" s="73">
        <v>0</v>
      </c>
      <c r="AO3" s="73">
        <v>1.8804533959602683</v>
      </c>
      <c r="AP3" s="73">
        <v>0</v>
      </c>
      <c r="AQ3" s="73">
        <v>5.3710485025761097E-2</v>
      </c>
      <c r="AR3" s="73">
        <v>1.9341638809860291</v>
      </c>
      <c r="AS3" s="73">
        <v>0</v>
      </c>
      <c r="AT3" s="73">
        <v>0</v>
      </c>
      <c r="AU3" s="73">
        <v>0</v>
      </c>
      <c r="AV3" s="188">
        <v>3</v>
      </c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73"/>
    </row>
    <row r="4" spans="1:63" s="67" customFormat="1" x14ac:dyDescent="0.25">
      <c r="A4" s="72" t="s">
        <v>997</v>
      </c>
      <c r="B4" s="72" t="s">
        <v>900</v>
      </c>
      <c r="C4" s="72" t="s">
        <v>986</v>
      </c>
      <c r="D4" s="72" t="s">
        <v>900</v>
      </c>
      <c r="E4" s="72" t="s">
        <v>989</v>
      </c>
      <c r="F4" s="72">
        <v>2007</v>
      </c>
      <c r="G4" s="72">
        <v>-1</v>
      </c>
      <c r="H4" s="72"/>
      <c r="I4" s="72"/>
      <c r="J4" s="72"/>
      <c r="K4" s="72"/>
      <c r="L4" s="72"/>
      <c r="N4" s="72"/>
      <c r="O4" s="72"/>
      <c r="P4" s="72"/>
      <c r="Q4" s="72"/>
      <c r="R4" s="73"/>
      <c r="S4" s="73"/>
      <c r="T4" s="64"/>
      <c r="U4" s="64"/>
      <c r="V4" s="64"/>
      <c r="W4" s="73">
        <v>0</v>
      </c>
      <c r="X4" s="72">
        <v>3.6803200025428922</v>
      </c>
      <c r="Y4" s="72">
        <v>56.900000199675617</v>
      </c>
      <c r="Z4" s="72">
        <v>0</v>
      </c>
      <c r="AA4" s="72">
        <v>0</v>
      </c>
      <c r="AB4" s="72">
        <v>0</v>
      </c>
      <c r="AC4" s="72">
        <v>7.2045877861546407E-3</v>
      </c>
      <c r="AD4" s="72">
        <v>149.95376451278116</v>
      </c>
      <c r="AE4" s="72">
        <v>0</v>
      </c>
      <c r="AF4" s="72">
        <v>0</v>
      </c>
      <c r="AG4" s="72">
        <v>149.95376451278116</v>
      </c>
      <c r="AH4" s="73">
        <v>0.99999993331278236</v>
      </c>
      <c r="AI4" s="73"/>
      <c r="AJ4" s="73"/>
      <c r="AK4" s="73"/>
      <c r="AL4" s="73"/>
      <c r="AM4" s="73"/>
      <c r="AN4" s="73">
        <v>0</v>
      </c>
      <c r="AO4" s="73">
        <v>1.8804533959602683</v>
      </c>
      <c r="AP4" s="73">
        <v>0</v>
      </c>
      <c r="AQ4" s="73">
        <v>5.3710485025761097E-2</v>
      </c>
      <c r="AR4" s="73">
        <v>1.9341638809860291</v>
      </c>
      <c r="AS4" s="73">
        <v>0</v>
      </c>
      <c r="AT4" s="73">
        <v>0</v>
      </c>
      <c r="AU4" s="73">
        <v>0</v>
      </c>
      <c r="AV4" s="188">
        <v>3</v>
      </c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73"/>
    </row>
    <row r="5" spans="1:63" s="67" customFormat="1" x14ac:dyDescent="0.25">
      <c r="A5" s="72" t="s">
        <v>998</v>
      </c>
      <c r="B5" s="72" t="s">
        <v>900</v>
      </c>
      <c r="C5" s="72" t="s">
        <v>987</v>
      </c>
      <c r="D5" s="72" t="s">
        <v>900</v>
      </c>
      <c r="E5" s="72" t="s">
        <v>989</v>
      </c>
      <c r="F5" s="72">
        <v>1981</v>
      </c>
      <c r="G5" s="72">
        <v>-1</v>
      </c>
      <c r="H5" s="72"/>
      <c r="I5" s="72"/>
      <c r="J5" s="72"/>
      <c r="K5" s="72"/>
      <c r="L5" s="72"/>
      <c r="N5" s="72"/>
      <c r="O5" s="72"/>
      <c r="P5" s="72"/>
      <c r="Q5" s="72"/>
      <c r="R5" s="73"/>
      <c r="S5" s="73"/>
      <c r="T5" s="64"/>
      <c r="U5" s="64"/>
      <c r="V5" s="64"/>
      <c r="W5" s="73">
        <v>0</v>
      </c>
      <c r="X5" s="72">
        <v>3.6803200025428922</v>
      </c>
      <c r="Y5" s="72">
        <v>41.200000144541264</v>
      </c>
      <c r="Z5" s="72">
        <v>0</v>
      </c>
      <c r="AA5" s="72">
        <v>0</v>
      </c>
      <c r="AB5" s="72">
        <v>3.1502080612103214</v>
      </c>
      <c r="AC5" s="72">
        <v>0</v>
      </c>
      <c r="AD5" s="72">
        <v>69.869208045850456</v>
      </c>
      <c r="AE5" s="72">
        <v>0</v>
      </c>
      <c r="AF5" s="72">
        <v>0</v>
      </c>
      <c r="AG5" s="72">
        <v>69.869208045850456</v>
      </c>
      <c r="AH5" s="73">
        <v>0.99999985687545556</v>
      </c>
      <c r="AI5" s="73"/>
      <c r="AJ5" s="73"/>
      <c r="AK5" s="73"/>
      <c r="AL5" s="73"/>
      <c r="AM5" s="73"/>
      <c r="AN5" s="73">
        <v>0</v>
      </c>
      <c r="AO5" s="73">
        <v>1.8804533959602683</v>
      </c>
      <c r="AP5" s="73">
        <v>0</v>
      </c>
      <c r="AQ5" s="73">
        <v>6.8874031923953832E-2</v>
      </c>
      <c r="AR5" s="73">
        <v>1.9493274278842228</v>
      </c>
      <c r="AS5" s="73">
        <v>0</v>
      </c>
      <c r="AT5" s="73">
        <v>0</v>
      </c>
      <c r="AU5" s="73">
        <v>0</v>
      </c>
      <c r="AV5" s="188">
        <v>3</v>
      </c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73"/>
    </row>
    <row r="6" spans="1:63" s="67" customFormat="1" x14ac:dyDescent="0.25">
      <c r="A6" s="72" t="s">
        <v>999</v>
      </c>
      <c r="B6" s="72" t="s">
        <v>900</v>
      </c>
      <c r="C6" s="72" t="s">
        <v>987</v>
      </c>
      <c r="D6" s="72" t="s">
        <v>900</v>
      </c>
      <c r="E6" s="72" t="s">
        <v>989</v>
      </c>
      <c r="F6" s="72">
        <v>1981</v>
      </c>
      <c r="G6" s="72">
        <v>-1</v>
      </c>
      <c r="H6" s="72"/>
      <c r="I6" s="72"/>
      <c r="J6" s="72"/>
      <c r="K6" s="72"/>
      <c r="L6" s="72"/>
      <c r="N6" s="72"/>
      <c r="O6" s="72"/>
      <c r="P6" s="72"/>
      <c r="Q6" s="72"/>
      <c r="R6" s="73"/>
      <c r="S6" s="73"/>
      <c r="T6" s="64"/>
      <c r="U6" s="64"/>
      <c r="V6" s="64"/>
      <c r="W6" s="73">
        <v>0</v>
      </c>
      <c r="X6" s="72">
        <v>3.6803200025428922</v>
      </c>
      <c r="Y6" s="72">
        <v>41.200000144541264</v>
      </c>
      <c r="Z6" s="72">
        <v>0</v>
      </c>
      <c r="AA6" s="72">
        <v>0</v>
      </c>
      <c r="AB6" s="72">
        <v>3.1502080612103214</v>
      </c>
      <c r="AC6" s="72">
        <v>0</v>
      </c>
      <c r="AD6" s="72">
        <v>69.869208045850456</v>
      </c>
      <c r="AE6" s="72">
        <v>0</v>
      </c>
      <c r="AF6" s="72">
        <v>0</v>
      </c>
      <c r="AG6" s="72">
        <v>69.869208045850456</v>
      </c>
      <c r="AH6" s="73">
        <v>0.99999985687545556</v>
      </c>
      <c r="AI6" s="73"/>
      <c r="AJ6" s="73"/>
      <c r="AK6" s="73"/>
      <c r="AL6" s="73"/>
      <c r="AM6" s="73"/>
      <c r="AN6" s="73">
        <v>0</v>
      </c>
      <c r="AO6" s="73">
        <v>1.8804533959602683</v>
      </c>
      <c r="AP6" s="73">
        <v>0</v>
      </c>
      <c r="AQ6" s="73">
        <v>6.8874031923953832E-2</v>
      </c>
      <c r="AR6" s="73">
        <v>1.9493274278842228</v>
      </c>
      <c r="AS6" s="73">
        <v>0</v>
      </c>
      <c r="AT6" s="73">
        <v>0</v>
      </c>
      <c r="AU6" s="73">
        <v>0</v>
      </c>
      <c r="AV6" s="188">
        <v>3</v>
      </c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73"/>
    </row>
    <row r="7" spans="1:63" s="67" customFormat="1" x14ac:dyDescent="0.25">
      <c r="A7" s="72" t="s">
        <v>1000</v>
      </c>
      <c r="B7" s="72" t="s">
        <v>900</v>
      </c>
      <c r="C7" s="72" t="s">
        <v>986</v>
      </c>
      <c r="D7" s="72" t="s">
        <v>900</v>
      </c>
      <c r="E7" s="72" t="s">
        <v>989</v>
      </c>
      <c r="F7" s="72">
        <v>2007</v>
      </c>
      <c r="G7" s="72">
        <v>-1</v>
      </c>
      <c r="H7" s="72"/>
      <c r="I7" s="72"/>
      <c r="J7" s="72"/>
      <c r="K7" s="72"/>
      <c r="L7" s="72"/>
      <c r="M7" s="72"/>
      <c r="N7" s="72"/>
      <c r="O7" s="72"/>
      <c r="P7" s="72"/>
      <c r="Q7" s="72"/>
      <c r="R7" s="73"/>
      <c r="S7" s="73"/>
      <c r="T7" s="64"/>
      <c r="U7" s="64"/>
      <c r="V7" s="64"/>
      <c r="W7" s="73">
        <v>0</v>
      </c>
      <c r="X7" s="72">
        <v>3.6803200025428922</v>
      </c>
      <c r="Y7" s="72">
        <v>56.900000199675617</v>
      </c>
      <c r="Z7" s="72">
        <v>0</v>
      </c>
      <c r="AA7" s="72">
        <v>0</v>
      </c>
      <c r="AB7" s="72">
        <v>0</v>
      </c>
      <c r="AC7" s="72">
        <v>7.2045877861546407E-3</v>
      </c>
      <c r="AD7" s="72">
        <v>149.95376451278116</v>
      </c>
      <c r="AE7" s="72">
        <v>0</v>
      </c>
      <c r="AF7" s="72">
        <v>0</v>
      </c>
      <c r="AG7" s="72">
        <v>149.95376451278116</v>
      </c>
      <c r="AH7" s="73">
        <v>0.99999993331278236</v>
      </c>
      <c r="AI7" s="73"/>
      <c r="AJ7" s="73"/>
      <c r="AK7" s="73"/>
      <c r="AL7" s="73"/>
      <c r="AM7" s="73"/>
      <c r="AN7" s="73">
        <v>0</v>
      </c>
      <c r="AO7" s="73">
        <v>1.8804533959602683</v>
      </c>
      <c r="AP7" s="73">
        <v>0</v>
      </c>
      <c r="AQ7" s="73">
        <v>5.3710485025761097E-2</v>
      </c>
      <c r="AR7" s="73">
        <v>1.9341638809860291</v>
      </c>
      <c r="AS7" s="73">
        <v>0</v>
      </c>
      <c r="AT7" s="73">
        <v>0</v>
      </c>
      <c r="AU7" s="73">
        <v>0</v>
      </c>
      <c r="AV7" s="188">
        <v>3</v>
      </c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73"/>
    </row>
    <row r="8" spans="1:63" s="67" customFormat="1" ht="13.5" customHeight="1" x14ac:dyDescent="0.25">
      <c r="A8" s="72" t="s">
        <v>1001</v>
      </c>
      <c r="B8" s="72" t="s">
        <v>900</v>
      </c>
      <c r="C8" s="72" t="s">
        <v>986</v>
      </c>
      <c r="D8" s="72" t="s">
        <v>900</v>
      </c>
      <c r="E8" s="72" t="s">
        <v>989</v>
      </c>
      <c r="F8" s="72">
        <v>2007</v>
      </c>
      <c r="G8" s="72">
        <v>-1</v>
      </c>
      <c r="H8" s="72"/>
      <c r="I8" s="72"/>
      <c r="J8" s="72"/>
      <c r="K8" s="72"/>
      <c r="L8" s="72"/>
      <c r="M8" s="72"/>
      <c r="N8" s="72"/>
      <c r="O8" s="72"/>
      <c r="P8" s="72"/>
      <c r="Q8" s="72"/>
      <c r="R8" s="73"/>
      <c r="S8" s="73"/>
      <c r="T8" s="64"/>
      <c r="U8" s="64"/>
      <c r="V8" s="64"/>
      <c r="W8" s="73">
        <v>0</v>
      </c>
      <c r="X8" s="72">
        <v>3.6803200025428922</v>
      </c>
      <c r="Y8" s="72">
        <v>56.900000199675617</v>
      </c>
      <c r="Z8" s="72">
        <v>0</v>
      </c>
      <c r="AA8" s="72">
        <v>0</v>
      </c>
      <c r="AB8" s="72">
        <v>0</v>
      </c>
      <c r="AC8" s="72">
        <v>7.2045877861546407E-3</v>
      </c>
      <c r="AD8" s="72">
        <v>149.95376451278116</v>
      </c>
      <c r="AE8" s="72">
        <v>0</v>
      </c>
      <c r="AF8" s="72">
        <v>0</v>
      </c>
      <c r="AG8" s="72">
        <v>149.95376451278116</v>
      </c>
      <c r="AH8" s="73">
        <v>0.99999993331278236</v>
      </c>
      <c r="AI8" s="73"/>
      <c r="AJ8" s="73"/>
      <c r="AK8" s="73"/>
      <c r="AL8" s="73"/>
      <c r="AM8" s="73"/>
      <c r="AN8" s="73">
        <v>0</v>
      </c>
      <c r="AO8" s="73">
        <v>1.8804533959602683</v>
      </c>
      <c r="AP8" s="73">
        <v>0</v>
      </c>
      <c r="AQ8" s="73">
        <v>5.3710485025761097E-2</v>
      </c>
      <c r="AR8" s="73">
        <v>1.9341638809860291</v>
      </c>
      <c r="AS8" s="73">
        <v>0</v>
      </c>
      <c r="AT8" s="73">
        <v>0</v>
      </c>
      <c r="AU8" s="73">
        <v>0</v>
      </c>
      <c r="AV8" s="188">
        <v>3</v>
      </c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73"/>
    </row>
    <row r="9" spans="1:63" s="67" customFormat="1" x14ac:dyDescent="0.25">
      <c r="A9" s="72" t="s">
        <v>1002</v>
      </c>
      <c r="B9" s="72" t="s">
        <v>900</v>
      </c>
      <c r="C9" s="72" t="s">
        <v>986</v>
      </c>
      <c r="D9" s="72" t="s">
        <v>900</v>
      </c>
      <c r="E9" s="72" t="s">
        <v>989</v>
      </c>
      <c r="F9" s="72">
        <v>2007</v>
      </c>
      <c r="G9" s="72">
        <v>-1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3"/>
      <c r="S9" s="73"/>
      <c r="T9" s="64"/>
      <c r="U9" s="64"/>
      <c r="V9" s="64"/>
      <c r="W9" s="73">
        <v>0</v>
      </c>
      <c r="X9" s="72">
        <v>3.6803200025428922</v>
      </c>
      <c r="Y9" s="72">
        <v>56.900000199675617</v>
      </c>
      <c r="Z9" s="72">
        <v>0</v>
      </c>
      <c r="AA9" s="72">
        <v>0</v>
      </c>
      <c r="AB9" s="72">
        <v>0</v>
      </c>
      <c r="AC9" s="72">
        <v>7.2045877861546407E-3</v>
      </c>
      <c r="AD9" s="72">
        <v>149.95376451278116</v>
      </c>
      <c r="AE9" s="72">
        <v>0</v>
      </c>
      <c r="AF9" s="72">
        <v>0</v>
      </c>
      <c r="AG9" s="72">
        <v>149.95376451278116</v>
      </c>
      <c r="AH9" s="73">
        <v>0.99999993331278236</v>
      </c>
      <c r="AI9" s="73"/>
      <c r="AJ9" s="73"/>
      <c r="AK9" s="73"/>
      <c r="AL9" s="73"/>
      <c r="AM9" s="73"/>
      <c r="AN9" s="73">
        <v>0</v>
      </c>
      <c r="AO9" s="73">
        <v>1.8804533959602683</v>
      </c>
      <c r="AP9" s="73">
        <v>0</v>
      </c>
      <c r="AQ9" s="73">
        <v>5.3710485025761097E-2</v>
      </c>
      <c r="AR9" s="73">
        <v>1.9341638809860291</v>
      </c>
      <c r="AS9" s="73">
        <v>0</v>
      </c>
      <c r="AT9" s="73">
        <v>0</v>
      </c>
      <c r="AU9" s="73">
        <v>0</v>
      </c>
      <c r="AV9" s="188">
        <v>3</v>
      </c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73"/>
    </row>
    <row r="10" spans="1:63" s="178" customFormat="1" x14ac:dyDescent="0.25">
      <c r="A10" s="182" t="s">
        <v>1003</v>
      </c>
      <c r="B10" s="182" t="s">
        <v>900</v>
      </c>
      <c r="C10" s="182" t="s">
        <v>987</v>
      </c>
      <c r="D10" s="182" t="s">
        <v>900</v>
      </c>
      <c r="E10" s="182" t="s">
        <v>989</v>
      </c>
      <c r="F10" s="182">
        <v>1981</v>
      </c>
      <c r="G10" s="182">
        <v>-1</v>
      </c>
      <c r="H10" s="182"/>
      <c r="I10" s="182"/>
      <c r="J10" s="182"/>
      <c r="K10" s="182"/>
      <c r="L10" s="182"/>
      <c r="N10" s="182"/>
      <c r="O10" s="182"/>
      <c r="P10" s="182"/>
      <c r="Q10" s="182"/>
      <c r="R10" s="185"/>
      <c r="S10" s="185"/>
      <c r="T10" s="186"/>
      <c r="U10" s="186"/>
      <c r="V10" s="186"/>
      <c r="W10" s="185">
        <v>0</v>
      </c>
      <c r="X10" s="182">
        <v>3.6803200025428922</v>
      </c>
      <c r="Y10" s="182">
        <v>41.200000144541264</v>
      </c>
      <c r="Z10" s="182">
        <v>0</v>
      </c>
      <c r="AA10" s="182">
        <v>0</v>
      </c>
      <c r="AB10" s="182">
        <v>3.1502080612103214</v>
      </c>
      <c r="AC10" s="182">
        <v>0</v>
      </c>
      <c r="AD10" s="182">
        <v>69.869208045850456</v>
      </c>
      <c r="AE10" s="182">
        <v>0</v>
      </c>
      <c r="AF10" s="182">
        <v>0</v>
      </c>
      <c r="AG10" s="182">
        <v>69.869208045850456</v>
      </c>
      <c r="AH10" s="185">
        <v>0.99999985687545556</v>
      </c>
      <c r="AI10" s="185"/>
      <c r="AJ10" s="185"/>
      <c r="AK10" s="185"/>
      <c r="AL10" s="185"/>
      <c r="AM10" s="185"/>
      <c r="AN10" s="185">
        <v>0</v>
      </c>
      <c r="AO10" s="185">
        <v>1.8804533959602683</v>
      </c>
      <c r="AP10" s="185">
        <v>0</v>
      </c>
      <c r="AQ10" s="185">
        <v>6.8874031923953832E-2</v>
      </c>
      <c r="AR10" s="185">
        <v>1.9493274278842228</v>
      </c>
      <c r="AS10" s="185">
        <v>0</v>
      </c>
      <c r="AT10" s="185">
        <v>0</v>
      </c>
      <c r="AU10" s="185">
        <v>0</v>
      </c>
      <c r="AV10" s="189">
        <v>3</v>
      </c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</row>
    <row r="11" spans="1:63" s="67" customFormat="1" x14ac:dyDescent="0.25">
      <c r="A11" s="72" t="s">
        <v>1004</v>
      </c>
      <c r="B11" s="72" t="s">
        <v>900</v>
      </c>
      <c r="C11" s="72" t="s">
        <v>987</v>
      </c>
      <c r="D11" s="72" t="s">
        <v>900</v>
      </c>
      <c r="E11" s="72" t="s">
        <v>989</v>
      </c>
      <c r="F11" s="72">
        <v>1981</v>
      </c>
      <c r="G11" s="72">
        <v>-1</v>
      </c>
      <c r="H11" s="72"/>
      <c r="I11" s="72"/>
      <c r="J11" s="72"/>
      <c r="K11" s="72"/>
      <c r="L11" s="72"/>
      <c r="N11" s="72"/>
      <c r="O11" s="72"/>
      <c r="P11" s="72"/>
      <c r="Q11" s="72"/>
      <c r="R11" s="73"/>
      <c r="S11" s="73"/>
      <c r="T11" s="64"/>
      <c r="U11" s="64"/>
      <c r="V11" s="64"/>
      <c r="W11" s="73">
        <v>0</v>
      </c>
      <c r="X11" s="72">
        <v>3.6803200025428922</v>
      </c>
      <c r="Y11" s="72">
        <v>41.200000144541264</v>
      </c>
      <c r="Z11" s="72">
        <v>0</v>
      </c>
      <c r="AA11" s="72">
        <v>0</v>
      </c>
      <c r="AB11" s="72">
        <v>3.1502080612103214</v>
      </c>
      <c r="AC11" s="72">
        <v>0</v>
      </c>
      <c r="AD11" s="72">
        <v>69.869208045850456</v>
      </c>
      <c r="AE11" s="72">
        <v>0</v>
      </c>
      <c r="AF11" s="72">
        <v>0</v>
      </c>
      <c r="AG11" s="72">
        <v>69.869208045850456</v>
      </c>
      <c r="AH11" s="73">
        <v>0.99999985687545556</v>
      </c>
      <c r="AI11" s="73"/>
      <c r="AJ11" s="73"/>
      <c r="AK11" s="73"/>
      <c r="AL11" s="73"/>
      <c r="AM11" s="73"/>
      <c r="AN11" s="73">
        <v>0</v>
      </c>
      <c r="AO11" s="73">
        <v>1.8804533959602683</v>
      </c>
      <c r="AP11" s="73">
        <v>0</v>
      </c>
      <c r="AQ11" s="73">
        <v>6.8874031923953832E-2</v>
      </c>
      <c r="AR11" s="73">
        <v>1.9493274278842228</v>
      </c>
      <c r="AS11" s="73">
        <v>0</v>
      </c>
      <c r="AT11" s="73">
        <v>0</v>
      </c>
      <c r="AU11" s="73">
        <v>0</v>
      </c>
      <c r="AV11" s="188">
        <v>3</v>
      </c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73"/>
    </row>
    <row r="12" spans="1:63" s="67" customFormat="1" x14ac:dyDescent="0.25">
      <c r="A12" s="72" t="s">
        <v>1005</v>
      </c>
      <c r="B12" s="72" t="s">
        <v>900</v>
      </c>
      <c r="C12" s="72" t="s">
        <v>986</v>
      </c>
      <c r="D12" s="72" t="s">
        <v>900</v>
      </c>
      <c r="E12" s="72" t="s">
        <v>989</v>
      </c>
      <c r="F12" s="72">
        <v>2007</v>
      </c>
      <c r="G12" s="72">
        <v>-1</v>
      </c>
      <c r="H12" s="72"/>
      <c r="I12" s="72"/>
      <c r="J12" s="72"/>
      <c r="K12" s="72"/>
      <c r="L12" s="72"/>
      <c r="N12" s="72"/>
      <c r="O12" s="72"/>
      <c r="P12" s="72"/>
      <c r="Q12" s="72"/>
      <c r="R12" s="73"/>
      <c r="S12" s="73"/>
      <c r="T12" s="64"/>
      <c r="U12" s="64"/>
      <c r="V12" s="64"/>
      <c r="W12" s="73">
        <v>0</v>
      </c>
      <c r="X12" s="72">
        <v>3.6803200025428922</v>
      </c>
      <c r="Y12" s="72">
        <v>56.900000199675617</v>
      </c>
      <c r="Z12" s="72">
        <v>0</v>
      </c>
      <c r="AA12" s="72">
        <v>0</v>
      </c>
      <c r="AB12" s="72">
        <v>0</v>
      </c>
      <c r="AC12" s="72">
        <v>7.2045877861546407E-3</v>
      </c>
      <c r="AD12" s="72">
        <v>149.95376451278116</v>
      </c>
      <c r="AE12" s="72">
        <v>0</v>
      </c>
      <c r="AF12" s="72">
        <v>0</v>
      </c>
      <c r="AG12" s="72">
        <v>149.95376451278116</v>
      </c>
      <c r="AH12" s="73">
        <v>0.99999993331278236</v>
      </c>
      <c r="AI12" s="73"/>
      <c r="AJ12" s="73"/>
      <c r="AK12" s="73"/>
      <c r="AL12" s="73"/>
      <c r="AM12" s="73"/>
      <c r="AN12" s="73">
        <v>0</v>
      </c>
      <c r="AO12" s="73">
        <v>1.8804533959602683</v>
      </c>
      <c r="AP12" s="73">
        <v>0</v>
      </c>
      <c r="AQ12" s="73">
        <v>5.3710485025761097E-2</v>
      </c>
      <c r="AR12" s="73">
        <v>1.9341638809860291</v>
      </c>
      <c r="AS12" s="73">
        <v>0</v>
      </c>
      <c r="AT12" s="73">
        <v>0</v>
      </c>
      <c r="AU12" s="73">
        <v>0</v>
      </c>
      <c r="AV12" s="188">
        <v>3</v>
      </c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73"/>
    </row>
    <row r="13" spans="1:63" s="67" customFormat="1" x14ac:dyDescent="0.25">
      <c r="A13" s="72" t="s">
        <v>1006</v>
      </c>
      <c r="B13" s="72" t="s">
        <v>900</v>
      </c>
      <c r="C13" s="72" t="s">
        <v>986</v>
      </c>
      <c r="D13" s="72" t="s">
        <v>900</v>
      </c>
      <c r="E13" s="72" t="s">
        <v>989</v>
      </c>
      <c r="F13" s="72">
        <v>2007</v>
      </c>
      <c r="G13" s="72">
        <v>-1</v>
      </c>
      <c r="H13" s="72"/>
      <c r="I13" s="72"/>
      <c r="J13" s="72"/>
      <c r="K13" s="72"/>
      <c r="L13" s="72"/>
      <c r="N13" s="72"/>
      <c r="O13" s="72"/>
      <c r="P13" s="72"/>
      <c r="Q13" s="72"/>
      <c r="R13" s="73"/>
      <c r="S13" s="73"/>
      <c r="T13" s="64"/>
      <c r="U13" s="64"/>
      <c r="V13" s="64"/>
      <c r="W13" s="73">
        <v>0</v>
      </c>
      <c r="X13" s="72">
        <v>3.6803200025428922</v>
      </c>
      <c r="Y13" s="72">
        <v>56.900000199675617</v>
      </c>
      <c r="Z13" s="72">
        <v>0</v>
      </c>
      <c r="AA13" s="72">
        <v>0</v>
      </c>
      <c r="AB13" s="72">
        <v>0</v>
      </c>
      <c r="AC13" s="72">
        <v>7.2045877861546407E-3</v>
      </c>
      <c r="AD13" s="72">
        <v>149.95376451278116</v>
      </c>
      <c r="AE13" s="72">
        <v>0</v>
      </c>
      <c r="AF13" s="72">
        <v>0</v>
      </c>
      <c r="AG13" s="72">
        <v>149.95376451278116</v>
      </c>
      <c r="AH13" s="73">
        <v>0.99999993331278236</v>
      </c>
      <c r="AI13" s="73"/>
      <c r="AJ13" s="73"/>
      <c r="AK13" s="73"/>
      <c r="AL13" s="73"/>
      <c r="AM13" s="73"/>
      <c r="AN13" s="73">
        <v>0</v>
      </c>
      <c r="AO13" s="73">
        <v>1.8804533959602683</v>
      </c>
      <c r="AP13" s="73">
        <v>0</v>
      </c>
      <c r="AQ13" s="73">
        <v>5.3710485025761097E-2</v>
      </c>
      <c r="AR13" s="73">
        <v>1.9341638809860291</v>
      </c>
      <c r="AS13" s="73">
        <v>0</v>
      </c>
      <c r="AT13" s="73">
        <v>0</v>
      </c>
      <c r="AU13" s="73">
        <v>0</v>
      </c>
      <c r="AV13" s="188">
        <v>3</v>
      </c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73"/>
    </row>
    <row r="14" spans="1:63" s="67" customFormat="1" x14ac:dyDescent="0.25">
      <c r="A14" s="72" t="s">
        <v>1007</v>
      </c>
      <c r="B14" s="72" t="s">
        <v>900</v>
      </c>
      <c r="C14" s="72" t="s">
        <v>986</v>
      </c>
      <c r="D14" s="72" t="s">
        <v>900</v>
      </c>
      <c r="E14" s="72" t="s">
        <v>989</v>
      </c>
      <c r="F14" s="72">
        <v>2007</v>
      </c>
      <c r="G14" s="72">
        <v>-1</v>
      </c>
      <c r="H14" s="72"/>
      <c r="I14" s="72"/>
      <c r="J14" s="72"/>
      <c r="K14" s="72"/>
      <c r="L14" s="72"/>
      <c r="N14" s="72"/>
      <c r="O14" s="72"/>
      <c r="P14" s="72"/>
      <c r="Q14" s="72"/>
      <c r="R14" s="73"/>
      <c r="S14" s="73"/>
      <c r="T14" s="64"/>
      <c r="U14" s="64"/>
      <c r="V14" s="64"/>
      <c r="W14" s="73">
        <v>0</v>
      </c>
      <c r="X14" s="72">
        <v>3.6803200025428922</v>
      </c>
      <c r="Y14" s="72">
        <v>56.900000199675617</v>
      </c>
      <c r="Z14" s="72">
        <v>0</v>
      </c>
      <c r="AA14" s="72">
        <v>0</v>
      </c>
      <c r="AB14" s="72">
        <v>0</v>
      </c>
      <c r="AC14" s="72">
        <v>7.2045877861546407E-3</v>
      </c>
      <c r="AD14" s="72">
        <v>149.95376451278116</v>
      </c>
      <c r="AE14" s="72">
        <v>0</v>
      </c>
      <c r="AF14" s="72">
        <v>0</v>
      </c>
      <c r="AG14" s="72">
        <v>149.95376451278116</v>
      </c>
      <c r="AH14" s="73">
        <v>0.99999993331278236</v>
      </c>
      <c r="AI14" s="73"/>
      <c r="AJ14" s="73"/>
      <c r="AK14" s="73"/>
      <c r="AL14" s="73"/>
      <c r="AM14" s="73"/>
      <c r="AN14" s="73">
        <v>0</v>
      </c>
      <c r="AO14" s="73">
        <v>1.8804533959602683</v>
      </c>
      <c r="AP14" s="73">
        <v>0</v>
      </c>
      <c r="AQ14" s="73">
        <v>5.3710485025761097E-2</v>
      </c>
      <c r="AR14" s="73">
        <v>1.9341638809860291</v>
      </c>
      <c r="AS14" s="73">
        <v>0</v>
      </c>
      <c r="AT14" s="73">
        <v>0</v>
      </c>
      <c r="AU14" s="73">
        <v>0</v>
      </c>
      <c r="AV14" s="188">
        <v>3</v>
      </c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73"/>
    </row>
    <row r="15" spans="1:63" s="67" customFormat="1" x14ac:dyDescent="0.25">
      <c r="A15" s="182" t="s">
        <v>1008</v>
      </c>
      <c r="B15" s="72" t="s">
        <v>900</v>
      </c>
      <c r="C15" s="72" t="s">
        <v>987</v>
      </c>
      <c r="D15" s="72" t="s">
        <v>900</v>
      </c>
      <c r="E15" s="72" t="s">
        <v>989</v>
      </c>
      <c r="F15" s="72">
        <v>1981</v>
      </c>
      <c r="G15" s="72">
        <v>-1</v>
      </c>
      <c r="H15" s="72"/>
      <c r="I15" s="72"/>
      <c r="J15" s="72"/>
      <c r="K15" s="72"/>
      <c r="L15" s="72"/>
      <c r="N15" s="72"/>
      <c r="O15" s="72"/>
      <c r="P15" s="72"/>
      <c r="Q15" s="72"/>
      <c r="R15" s="73"/>
      <c r="S15" s="73"/>
      <c r="T15" s="64"/>
      <c r="U15" s="64"/>
      <c r="V15" s="64"/>
      <c r="W15" s="73">
        <v>0</v>
      </c>
      <c r="X15" s="72">
        <v>3.6803200025428922</v>
      </c>
      <c r="Y15" s="72">
        <v>41.200000144541264</v>
      </c>
      <c r="Z15" s="72">
        <v>0</v>
      </c>
      <c r="AA15" s="72">
        <v>0</v>
      </c>
      <c r="AB15" s="72">
        <v>3.1502080612103214</v>
      </c>
      <c r="AC15" s="72">
        <v>0</v>
      </c>
      <c r="AD15" s="72">
        <v>69.869208045850456</v>
      </c>
      <c r="AE15" s="72">
        <v>0</v>
      </c>
      <c r="AF15" s="72">
        <v>0</v>
      </c>
      <c r="AG15" s="72">
        <v>69.869208045850456</v>
      </c>
      <c r="AH15" s="73">
        <v>0.99999985687545556</v>
      </c>
      <c r="AI15" s="73"/>
      <c r="AJ15" s="73"/>
      <c r="AK15" s="73"/>
      <c r="AL15" s="73"/>
      <c r="AM15" s="73"/>
      <c r="AN15" s="73">
        <v>0</v>
      </c>
      <c r="AO15" s="73">
        <v>1.8804533959602683</v>
      </c>
      <c r="AP15" s="73">
        <v>0</v>
      </c>
      <c r="AQ15" s="73">
        <v>6.8874031923953832E-2</v>
      </c>
      <c r="AR15" s="73">
        <v>1.9493274278842228</v>
      </c>
      <c r="AS15" s="73">
        <v>0</v>
      </c>
      <c r="AT15" s="73">
        <v>0</v>
      </c>
      <c r="AU15" s="73">
        <v>0</v>
      </c>
      <c r="AV15" s="188">
        <v>3</v>
      </c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73"/>
    </row>
    <row r="16" spans="1:63" s="67" customFormat="1" x14ac:dyDescent="0.25">
      <c r="A16" s="72" t="s">
        <v>1009</v>
      </c>
      <c r="B16" s="72" t="s">
        <v>900</v>
      </c>
      <c r="C16" s="72" t="s">
        <v>987</v>
      </c>
      <c r="D16" s="72" t="s">
        <v>900</v>
      </c>
      <c r="E16" s="72" t="s">
        <v>989</v>
      </c>
      <c r="F16" s="72">
        <v>1981</v>
      </c>
      <c r="G16" s="72">
        <v>-1</v>
      </c>
      <c r="H16" s="72"/>
      <c r="I16" s="72"/>
      <c r="J16" s="72"/>
      <c r="K16" s="72"/>
      <c r="L16" s="72"/>
      <c r="N16" s="72"/>
      <c r="O16" s="72"/>
      <c r="P16" s="72"/>
      <c r="Q16" s="72"/>
      <c r="R16" s="73"/>
      <c r="S16" s="73"/>
      <c r="T16" s="64"/>
      <c r="U16" s="64"/>
      <c r="V16" s="64"/>
      <c r="W16" s="73">
        <v>0</v>
      </c>
      <c r="X16" s="72">
        <v>3.6803200025428922</v>
      </c>
      <c r="Y16" s="72">
        <v>41.200000144541264</v>
      </c>
      <c r="Z16" s="72">
        <v>0</v>
      </c>
      <c r="AA16" s="72">
        <v>0</v>
      </c>
      <c r="AB16" s="72">
        <v>3.1502080612103214</v>
      </c>
      <c r="AC16" s="72">
        <v>0</v>
      </c>
      <c r="AD16" s="72">
        <v>69.869208045850456</v>
      </c>
      <c r="AE16" s="72">
        <v>0</v>
      </c>
      <c r="AF16" s="72">
        <v>0</v>
      </c>
      <c r="AG16" s="72">
        <v>69.869208045850456</v>
      </c>
      <c r="AH16" s="73">
        <v>0.99999985687545556</v>
      </c>
      <c r="AI16" s="73"/>
      <c r="AJ16" s="73"/>
      <c r="AK16" s="73"/>
      <c r="AL16" s="73"/>
      <c r="AM16" s="73"/>
      <c r="AN16" s="73">
        <v>0</v>
      </c>
      <c r="AO16" s="73">
        <v>1.8804533959602683</v>
      </c>
      <c r="AP16" s="73">
        <v>0</v>
      </c>
      <c r="AQ16" s="73">
        <v>6.8874031923953832E-2</v>
      </c>
      <c r="AR16" s="73">
        <v>1.9493274278842228</v>
      </c>
      <c r="AS16" s="73">
        <v>0</v>
      </c>
      <c r="AT16" s="73">
        <v>0</v>
      </c>
      <c r="AU16" s="73">
        <v>0</v>
      </c>
      <c r="AV16" s="188">
        <v>3</v>
      </c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73"/>
    </row>
    <row r="17" spans="1:63" s="67" customFormat="1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N17" s="72"/>
      <c r="O17" s="72"/>
      <c r="P17" s="72"/>
      <c r="Q17" s="72"/>
      <c r="R17" s="73"/>
      <c r="S17" s="73"/>
      <c r="T17" s="64"/>
      <c r="U17" s="64"/>
      <c r="V17" s="64"/>
      <c r="W17" s="73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188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73"/>
    </row>
    <row r="18" spans="1:63" s="67" customFormat="1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N18" s="72"/>
      <c r="O18" s="72"/>
      <c r="P18" s="72"/>
      <c r="Q18" s="72"/>
      <c r="R18" s="73"/>
      <c r="S18" s="73"/>
      <c r="T18" s="64"/>
      <c r="U18" s="64"/>
      <c r="V18" s="64"/>
      <c r="W18" s="73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188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73"/>
    </row>
    <row r="19" spans="1:63" s="67" customFormat="1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N19" s="72"/>
      <c r="O19" s="72"/>
      <c r="P19" s="72"/>
      <c r="Q19" s="72"/>
      <c r="R19" s="73"/>
      <c r="S19" s="73"/>
      <c r="T19" s="64"/>
      <c r="U19" s="64"/>
      <c r="V19" s="64"/>
      <c r="W19" s="73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188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73"/>
    </row>
    <row r="20" spans="1:63" s="67" customFormat="1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3"/>
      <c r="S20" s="73"/>
      <c r="T20" s="64"/>
      <c r="U20" s="64"/>
      <c r="V20" s="64"/>
      <c r="W20" s="73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188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73"/>
    </row>
    <row r="21" spans="1:63" s="67" customFormat="1" ht="13.5" customHeight="1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3"/>
      <c r="S21" s="73"/>
      <c r="T21" s="64"/>
      <c r="U21" s="64"/>
      <c r="V21" s="64"/>
      <c r="W21" s="73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188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73"/>
    </row>
    <row r="22" spans="1:63" s="67" customFormat="1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3"/>
      <c r="S22" s="73"/>
      <c r="T22" s="64"/>
      <c r="U22" s="64"/>
      <c r="V22" s="64"/>
      <c r="W22" s="73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188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73"/>
    </row>
    <row r="23" spans="1:63" s="178" customFormat="1" x14ac:dyDescent="0.25">
      <c r="A23" s="182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N23" s="182"/>
      <c r="O23" s="182"/>
      <c r="P23" s="182"/>
      <c r="Q23" s="182"/>
      <c r="R23" s="185"/>
      <c r="S23" s="185"/>
      <c r="T23" s="186"/>
      <c r="U23" s="186"/>
      <c r="V23" s="186"/>
      <c r="W23" s="185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5"/>
      <c r="AI23" s="185"/>
      <c r="AJ23" s="185"/>
      <c r="AK23" s="185"/>
      <c r="AL23" s="185"/>
      <c r="AM23" s="185"/>
      <c r="AN23" s="185"/>
      <c r="AO23" s="185"/>
      <c r="AP23" s="185"/>
      <c r="AQ23" s="185"/>
      <c r="AR23" s="185"/>
      <c r="AS23" s="185"/>
      <c r="AT23" s="185"/>
      <c r="AU23" s="185"/>
      <c r="AV23" s="189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</row>
    <row r="24" spans="1:63" s="67" customFormat="1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N24" s="72"/>
      <c r="O24" s="72"/>
      <c r="P24" s="72"/>
      <c r="Q24" s="72"/>
      <c r="R24" s="73"/>
      <c r="S24" s="73"/>
      <c r="T24" s="64"/>
      <c r="U24" s="64"/>
      <c r="V24" s="64"/>
      <c r="W24" s="73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188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73"/>
    </row>
    <row r="25" spans="1:63" s="67" customFormat="1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N25" s="72"/>
      <c r="O25" s="72"/>
      <c r="P25" s="72"/>
      <c r="Q25" s="72"/>
      <c r="R25" s="73"/>
      <c r="S25" s="73"/>
      <c r="T25" s="64"/>
      <c r="U25" s="64"/>
      <c r="V25" s="73"/>
      <c r="W25" s="73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188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73"/>
    </row>
    <row r="26" spans="1:63" s="67" customFormat="1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3"/>
      <c r="S26" s="73"/>
      <c r="T26" s="64"/>
      <c r="U26" s="64"/>
      <c r="V26" s="73"/>
      <c r="W26" s="73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188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73"/>
    </row>
    <row r="27" spans="1:63" s="67" customFormat="1" x14ac:dyDescent="0.25">
      <c r="A27" s="72"/>
      <c r="B27" s="72"/>
      <c r="C27" s="72"/>
      <c r="D27" s="72"/>
      <c r="E27" s="72"/>
      <c r="F27" s="72"/>
      <c r="G27" s="18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</row>
    <row r="28" spans="1:63" s="67" customFormat="1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</row>
    <row r="29" spans="1:63" s="67" customFormat="1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</row>
    <row r="30" spans="1:63" s="67" customFormat="1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</row>
    <row r="31" spans="1:63" s="67" customFormat="1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  <c r="AO31" s="72"/>
      <c r="AP31" s="72"/>
      <c r="AQ31" s="72"/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</row>
    <row r="32" spans="1:63" s="67" customFormat="1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</row>
    <row r="33" spans="1:63" s="143" customFormat="1" x14ac:dyDescent="0.25">
      <c r="A33" s="142"/>
      <c r="B33" s="142"/>
      <c r="C33" s="142"/>
      <c r="D33" s="142"/>
      <c r="E33" s="142"/>
      <c r="F33" s="14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</row>
    <row r="34" spans="1:63" s="67" customFormat="1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</row>
    <row r="35" spans="1:63" s="67" customFormat="1" x14ac:dyDescent="0.25">
      <c r="A35" s="72"/>
      <c r="B35" s="72"/>
      <c r="C35" s="72"/>
      <c r="D35" s="72"/>
      <c r="E35" s="72"/>
      <c r="F35" s="72"/>
      <c r="G35" s="18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</row>
    <row r="36" spans="1:63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</row>
    <row r="37" spans="1:63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67"/>
      <c r="N37" s="72"/>
      <c r="O37" s="72"/>
      <c r="P37" s="72"/>
      <c r="Q37" s="72"/>
      <c r="V37" s="131"/>
      <c r="AV37" s="188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119"/>
    </row>
    <row r="38" spans="1:63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67"/>
      <c r="N38" s="72"/>
      <c r="O38" s="72"/>
      <c r="P38" s="72"/>
      <c r="Q38" s="72"/>
      <c r="V38" s="131"/>
      <c r="AV38" s="188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119"/>
    </row>
    <row r="39" spans="1:63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67"/>
      <c r="N39" s="72"/>
      <c r="O39" s="72"/>
      <c r="P39" s="72"/>
      <c r="Q39" s="72"/>
      <c r="V39" s="131"/>
      <c r="AV39" s="188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119"/>
    </row>
    <row r="40" spans="1:63" s="67" customFormat="1" x14ac:dyDescent="0.25">
      <c r="A40" s="18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N40" s="72"/>
      <c r="O40" s="72"/>
      <c r="P40" s="72"/>
      <c r="Q40" s="72"/>
      <c r="R40" s="73"/>
      <c r="S40" s="73"/>
      <c r="T40" s="64"/>
      <c r="U40" s="64"/>
      <c r="V40" s="64"/>
      <c r="W40" s="73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188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73"/>
    </row>
    <row r="41" spans="1:63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V41" s="131"/>
      <c r="AV41" s="188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</row>
    <row r="42" spans="1:63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V42" s="131"/>
      <c r="AV42" s="188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</row>
    <row r="43" spans="1:63" s="65" customFormat="1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1"/>
      <c r="S43" s="71"/>
      <c r="T43" s="70"/>
      <c r="U43" s="70"/>
      <c r="V43" s="131"/>
      <c r="W43" s="71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188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71"/>
    </row>
    <row r="44" spans="1:63" s="64" customFormat="1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3"/>
      <c r="S44" s="73"/>
      <c r="V44" s="131"/>
      <c r="W44" s="73"/>
      <c r="AC44" s="72"/>
      <c r="AD44" s="72"/>
      <c r="AE44" s="72"/>
      <c r="AF44" s="72"/>
      <c r="AG44" s="72"/>
      <c r="AP44" s="73"/>
      <c r="AQ44" s="73"/>
      <c r="AR44" s="73"/>
      <c r="AS44" s="73"/>
      <c r="AT44" s="73"/>
      <c r="AU44" s="73"/>
      <c r="AV44" s="188"/>
      <c r="BK44" s="73"/>
    </row>
    <row r="45" spans="1:63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V45" s="131"/>
      <c r="AV45" s="188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</row>
    <row r="46" spans="1:63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V46" s="131"/>
      <c r="AV46" s="188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</row>
    <row r="47" spans="1:63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V47" s="131"/>
      <c r="AV47" s="188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</row>
    <row r="48" spans="1:63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V48" s="131"/>
      <c r="AV48" s="188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</row>
    <row r="49" spans="1:62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67"/>
      <c r="N49" s="72"/>
      <c r="O49" s="72"/>
      <c r="P49" s="72"/>
      <c r="Q49" s="72"/>
      <c r="V49" s="131"/>
      <c r="AV49" s="188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</row>
    <row r="50" spans="1:62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67"/>
      <c r="N50" s="72"/>
      <c r="O50" s="72"/>
      <c r="P50" s="72"/>
      <c r="Q50" s="72"/>
      <c r="V50" s="131"/>
      <c r="AV50" s="188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</row>
    <row r="51" spans="1:62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67"/>
      <c r="N51" s="72"/>
      <c r="O51" s="72"/>
      <c r="P51" s="72"/>
      <c r="Q51" s="72"/>
      <c r="V51" s="131"/>
      <c r="AV51" s="188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</row>
    <row r="52" spans="1:62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67"/>
      <c r="N52" s="72"/>
      <c r="O52" s="72"/>
      <c r="P52" s="72"/>
      <c r="Q52" s="72"/>
      <c r="V52" s="131"/>
      <c r="AV52" s="188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</row>
    <row r="53" spans="1:62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67"/>
      <c r="N53" s="72"/>
      <c r="O53" s="72"/>
      <c r="P53" s="72"/>
      <c r="Q53" s="72"/>
      <c r="V53" s="131"/>
      <c r="AV53" s="188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</row>
    <row r="54" spans="1:62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67"/>
      <c r="N54" s="72"/>
      <c r="O54" s="72"/>
      <c r="P54" s="72"/>
      <c r="Q54" s="72"/>
      <c r="V54" s="131"/>
      <c r="AV54" s="188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</row>
    <row r="55" spans="1:62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67"/>
      <c r="N55" s="72"/>
      <c r="O55" s="72"/>
      <c r="P55" s="72"/>
      <c r="Q55" s="72"/>
      <c r="V55" s="131"/>
      <c r="AV55" s="188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</row>
    <row r="56" spans="1:62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67"/>
      <c r="N56" s="72"/>
      <c r="O56" s="72"/>
      <c r="P56" s="72"/>
      <c r="Q56" s="72"/>
      <c r="V56" s="131"/>
      <c r="AV56" s="188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</row>
    <row r="57" spans="1:62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67"/>
      <c r="N57" s="72"/>
      <c r="O57" s="72"/>
      <c r="P57" s="72"/>
      <c r="Q57" s="72"/>
      <c r="V57" s="131"/>
      <c r="AV57" s="188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</row>
    <row r="58" spans="1:62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67"/>
      <c r="N58" s="72"/>
      <c r="O58" s="72"/>
      <c r="P58" s="72"/>
      <c r="Q58" s="72"/>
      <c r="V58" s="131"/>
      <c r="AV58" s="188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</row>
    <row r="59" spans="1:62" x14ac:dyDescent="0.25">
      <c r="V59" s="131"/>
      <c r="AV59" s="188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BZ16"/>
  <sheetViews>
    <sheetView topLeftCell="AO1" zoomScale="80" zoomScaleNormal="80" workbookViewId="0">
      <pane ySplit="1" topLeftCell="A2" activePane="bottomLeft" state="frozen"/>
      <selection pane="bottomLeft" activeCell="AZ1" sqref="AZ1"/>
    </sheetView>
  </sheetViews>
  <sheetFormatPr baseColWidth="10" defaultColWidth="9.1796875" defaultRowHeight="12.5" x14ac:dyDescent="0.25"/>
  <cols>
    <col min="1" max="1" width="14" style="3" customWidth="1"/>
    <col min="2" max="2" width="14" style="27" customWidth="1"/>
    <col min="3" max="3" width="16.453125" style="27" customWidth="1"/>
    <col min="4" max="4" width="11.54296875" style="27" customWidth="1"/>
    <col min="5" max="5" width="12.453125" style="27" customWidth="1"/>
    <col min="6" max="6" width="10.1796875" style="133" customWidth="1"/>
    <col min="7" max="7" width="8.54296875" style="133" customWidth="1"/>
    <col min="8" max="8" width="9.1796875" style="29"/>
    <col min="9" max="18" width="9.1796875" style="27"/>
    <col min="19" max="38" width="9.1796875" style="135"/>
    <col min="39" max="48" width="9.1796875" style="27"/>
    <col min="49" max="68" width="9.1796875" style="135"/>
    <col min="69" max="16384" width="9.1796875" style="3"/>
  </cols>
  <sheetData>
    <row r="1" spans="1:78" s="126" customFormat="1" ht="13" x14ac:dyDescent="0.3">
      <c r="A1" s="126" t="s">
        <v>1010</v>
      </c>
      <c r="B1" s="129" t="s">
        <v>667</v>
      </c>
      <c r="C1" s="129" t="s">
        <v>1011</v>
      </c>
      <c r="D1" s="129" t="s">
        <v>1012</v>
      </c>
      <c r="E1" s="129" t="s">
        <v>1013</v>
      </c>
      <c r="F1" s="132" t="s">
        <v>1014</v>
      </c>
      <c r="G1" s="132" t="s">
        <v>1077</v>
      </c>
      <c r="H1" s="127"/>
      <c r="I1" s="137" t="s">
        <v>1098</v>
      </c>
      <c r="J1" s="129" t="s">
        <v>1099</v>
      </c>
      <c r="K1" s="129" t="s">
        <v>1100</v>
      </c>
      <c r="L1" s="129" t="s">
        <v>1101</v>
      </c>
      <c r="M1" s="129" t="s">
        <v>1102</v>
      </c>
      <c r="N1" s="129" t="s">
        <v>1103</v>
      </c>
      <c r="O1" s="129" t="s">
        <v>1104</v>
      </c>
      <c r="P1" s="129" t="s">
        <v>1105</v>
      </c>
      <c r="Q1" s="129" t="s">
        <v>1106</v>
      </c>
      <c r="R1" s="129" t="s">
        <v>1107</v>
      </c>
      <c r="S1" s="136" t="s">
        <v>1108</v>
      </c>
      <c r="T1" s="134" t="s">
        <v>1109</v>
      </c>
      <c r="U1" s="134" t="s">
        <v>1110</v>
      </c>
      <c r="V1" s="134" t="s">
        <v>1111</v>
      </c>
      <c r="W1" s="134" t="s">
        <v>1112</v>
      </c>
      <c r="X1" s="134" t="s">
        <v>1113</v>
      </c>
      <c r="Y1" s="134" t="s">
        <v>1114</v>
      </c>
      <c r="Z1" s="134" t="s">
        <v>1115</v>
      </c>
      <c r="AA1" s="134" t="s">
        <v>1116</v>
      </c>
      <c r="AB1" s="134" t="s">
        <v>1117</v>
      </c>
      <c r="AC1" s="136" t="s">
        <v>1118</v>
      </c>
      <c r="AD1" s="134" t="s">
        <v>1119</v>
      </c>
      <c r="AE1" s="134" t="s">
        <v>1120</v>
      </c>
      <c r="AF1" s="134" t="s">
        <v>1121</v>
      </c>
      <c r="AG1" s="134" t="s">
        <v>1122</v>
      </c>
      <c r="AH1" s="134" t="s">
        <v>1123</v>
      </c>
      <c r="AI1" s="134" t="s">
        <v>1124</v>
      </c>
      <c r="AJ1" s="134" t="s">
        <v>1125</v>
      </c>
      <c r="AK1" s="134" t="s">
        <v>1126</v>
      </c>
      <c r="AL1" s="134" t="s">
        <v>1127</v>
      </c>
      <c r="AM1" s="137" t="s">
        <v>1128</v>
      </c>
      <c r="AN1" s="129" t="s">
        <v>1129</v>
      </c>
      <c r="AO1" s="129" t="s">
        <v>1130</v>
      </c>
      <c r="AP1" s="129" t="s">
        <v>1131</v>
      </c>
      <c r="AQ1" s="129" t="s">
        <v>1132</v>
      </c>
      <c r="AR1" s="129" t="s">
        <v>1133</v>
      </c>
      <c r="AS1" s="129" t="s">
        <v>1134</v>
      </c>
      <c r="AT1" s="129" t="s">
        <v>1135</v>
      </c>
      <c r="AU1" s="129" t="s">
        <v>1136</v>
      </c>
      <c r="AV1" s="129" t="s">
        <v>1137</v>
      </c>
      <c r="AW1" s="136" t="s">
        <v>1138</v>
      </c>
      <c r="AX1" s="134" t="s">
        <v>1139</v>
      </c>
      <c r="AY1" s="134" t="s">
        <v>1140</v>
      </c>
      <c r="AZ1" s="134" t="s">
        <v>1141</v>
      </c>
      <c r="BA1" s="134" t="s">
        <v>1142</v>
      </c>
      <c r="BB1" s="134" t="s">
        <v>1143</v>
      </c>
      <c r="BC1" s="134" t="s">
        <v>1144</v>
      </c>
      <c r="BD1" s="134" t="s">
        <v>1145</v>
      </c>
      <c r="BE1" s="134" t="s">
        <v>1146</v>
      </c>
      <c r="BF1" s="134" t="s">
        <v>1147</v>
      </c>
      <c r="BG1" s="136" t="s">
        <v>1148</v>
      </c>
      <c r="BH1" s="134" t="s">
        <v>1149</v>
      </c>
      <c r="BI1" s="134" t="s">
        <v>1150</v>
      </c>
      <c r="BJ1" s="134" t="s">
        <v>1151</v>
      </c>
      <c r="BK1" s="134" t="s">
        <v>1152</v>
      </c>
      <c r="BL1" s="134" t="s">
        <v>1153</v>
      </c>
      <c r="BM1" s="134" t="s">
        <v>1154</v>
      </c>
      <c r="BN1" s="134" t="s">
        <v>1155</v>
      </c>
      <c r="BO1" s="134" t="s">
        <v>1156</v>
      </c>
      <c r="BP1" s="134" t="s">
        <v>1157</v>
      </c>
      <c r="BQ1" s="126" t="s">
        <v>1158</v>
      </c>
      <c r="BR1" s="126" t="s">
        <v>1159</v>
      </c>
      <c r="BS1" s="126" t="s">
        <v>1160</v>
      </c>
      <c r="BT1" s="126" t="s">
        <v>1161</v>
      </c>
      <c r="BU1" s="126" t="s">
        <v>1162</v>
      </c>
      <c r="BV1" s="126" t="s">
        <v>1163</v>
      </c>
      <c r="BW1" s="126" t="s">
        <v>1164</v>
      </c>
      <c r="BX1" s="126" t="s">
        <v>1165</v>
      </c>
      <c r="BY1" s="126" t="s">
        <v>1166</v>
      </c>
      <c r="BZ1" s="126" t="s">
        <v>1167</v>
      </c>
    </row>
    <row r="2" spans="1:78" x14ac:dyDescent="0.25">
      <c r="A2" s="3" t="s">
        <v>1008</v>
      </c>
      <c r="B2" s="27" t="s">
        <v>900</v>
      </c>
      <c r="C2" s="27" t="s">
        <v>987</v>
      </c>
      <c r="D2" s="27" t="s">
        <v>900</v>
      </c>
      <c r="E2" s="27" t="s">
        <v>989</v>
      </c>
      <c r="F2" s="133">
        <v>1981</v>
      </c>
      <c r="G2" s="133">
        <v>-1</v>
      </c>
      <c r="I2" s="27">
        <v>0.98726106518613932</v>
      </c>
      <c r="J2" s="27">
        <v>2.6930589373567528</v>
      </c>
      <c r="S2" s="135">
        <v>2.4930834979447963E-2</v>
      </c>
      <c r="T2" s="135">
        <v>2.9145659495202952E-2</v>
      </c>
      <c r="AC2" s="135">
        <v>0.14884208487483652</v>
      </c>
      <c r="AD2" s="135">
        <v>1.7316113110854319</v>
      </c>
      <c r="AM2" s="27">
        <v>3.1502080612103214</v>
      </c>
      <c r="AN2" s="27">
        <v>0</v>
      </c>
      <c r="AW2" s="135">
        <v>7.9550708616422258E-2</v>
      </c>
      <c r="AX2" s="135">
        <v>0</v>
      </c>
      <c r="BG2" s="135">
        <v>0.15558844091746812</v>
      </c>
      <c r="BH2" s="135">
        <v>1.7937389869667546</v>
      </c>
      <c r="BQ2" s="3">
        <v>11.840613643957369</v>
      </c>
      <c r="BR2" s="3">
        <v>13.68418112411867</v>
      </c>
    </row>
    <row r="3" spans="1:78" x14ac:dyDescent="0.25">
      <c r="A3" s="3" t="s">
        <v>996</v>
      </c>
      <c r="B3" s="27" t="s">
        <v>900</v>
      </c>
      <c r="C3" s="27" t="s">
        <v>986</v>
      </c>
      <c r="D3" s="27" t="s">
        <v>900</v>
      </c>
      <c r="E3" s="27" t="s">
        <v>989</v>
      </c>
      <c r="F3" s="133">
        <v>2007</v>
      </c>
      <c r="G3" s="133">
        <v>-1</v>
      </c>
      <c r="I3" s="27">
        <v>0.98726106518613932</v>
      </c>
      <c r="J3" s="27">
        <v>2.6930589373567528</v>
      </c>
      <c r="S3" s="135">
        <v>2.4930834979447963E-2</v>
      </c>
      <c r="T3" s="135">
        <v>2.9145659495202952E-2</v>
      </c>
      <c r="AC3" s="135">
        <v>0.14884208487483652</v>
      </c>
      <c r="AD3" s="135">
        <v>1.7316113110854319</v>
      </c>
      <c r="AM3" s="27">
        <v>0</v>
      </c>
      <c r="AN3" s="27">
        <v>0</v>
      </c>
      <c r="AW3" s="135">
        <v>0</v>
      </c>
      <c r="AX3" s="135">
        <v>0</v>
      </c>
      <c r="BG3" s="135">
        <v>0.15730441428759251</v>
      </c>
      <c r="BH3" s="135">
        <v>1.7768594666984365</v>
      </c>
      <c r="BQ3" s="3">
        <v>11.838897670587246</v>
      </c>
      <c r="BR3" s="3">
        <v>13.701060644386995</v>
      </c>
    </row>
    <row r="4" spans="1:78" x14ac:dyDescent="0.25">
      <c r="A4" s="3" t="s">
        <v>997</v>
      </c>
      <c r="B4" s="27" t="s">
        <v>900</v>
      </c>
      <c r="C4" s="27" t="s">
        <v>986</v>
      </c>
      <c r="D4" s="27" t="s">
        <v>900</v>
      </c>
      <c r="E4" s="27" t="s">
        <v>989</v>
      </c>
      <c r="F4" s="133">
        <v>2007</v>
      </c>
      <c r="G4" s="133">
        <v>-1</v>
      </c>
      <c r="I4" s="27">
        <v>0.98726106518613932</v>
      </c>
      <c r="J4" s="27">
        <v>2.6930589373567528</v>
      </c>
      <c r="S4" s="135">
        <v>2.4930834979447963E-2</v>
      </c>
      <c r="T4" s="135">
        <v>2.9145659495202952E-2</v>
      </c>
      <c r="AC4" s="135">
        <v>0.14884208487483652</v>
      </c>
      <c r="AD4" s="135">
        <v>1.7316113110854319</v>
      </c>
      <c r="AM4" s="27">
        <v>0</v>
      </c>
      <c r="AN4" s="27">
        <v>0</v>
      </c>
      <c r="AW4" s="135">
        <v>0</v>
      </c>
      <c r="AX4" s="135">
        <v>0</v>
      </c>
      <c r="BG4" s="135">
        <v>0.15730441428759251</v>
      </c>
      <c r="BH4" s="135">
        <v>1.7768594666984365</v>
      </c>
      <c r="BQ4" s="3">
        <v>11.838897670587246</v>
      </c>
      <c r="BR4" s="3">
        <v>13.701060644386995</v>
      </c>
    </row>
    <row r="5" spans="1:78" x14ac:dyDescent="0.25">
      <c r="A5" s="3" t="s">
        <v>998</v>
      </c>
      <c r="B5" s="27" t="s">
        <v>900</v>
      </c>
      <c r="C5" s="27" t="s">
        <v>987</v>
      </c>
      <c r="D5" s="27" t="s">
        <v>900</v>
      </c>
      <c r="E5" s="27" t="s">
        <v>989</v>
      </c>
      <c r="F5" s="133">
        <v>1981</v>
      </c>
      <c r="G5" s="133">
        <v>-1</v>
      </c>
      <c r="I5" s="27">
        <v>0.98726106518613932</v>
      </c>
      <c r="J5" s="27">
        <v>2.6930589373567528</v>
      </c>
      <c r="S5" s="135">
        <v>2.4930834979447963E-2</v>
      </c>
      <c r="T5" s="135">
        <v>2.9145659495202952E-2</v>
      </c>
      <c r="AC5" s="135">
        <v>0.14884208487483652</v>
      </c>
      <c r="AD5" s="135">
        <v>1.7316113110854319</v>
      </c>
      <c r="AM5" s="27">
        <v>3.1502080612103214</v>
      </c>
      <c r="AN5" s="27">
        <v>0</v>
      </c>
      <c r="AW5" s="135">
        <v>7.9550708616422258E-2</v>
      </c>
      <c r="AX5" s="135">
        <v>0</v>
      </c>
      <c r="BG5" s="135">
        <v>0.15558844091746812</v>
      </c>
      <c r="BH5" s="135">
        <v>1.7937389869667546</v>
      </c>
      <c r="BQ5" s="3">
        <v>11.840613643957369</v>
      </c>
      <c r="BR5" s="3">
        <v>13.68418112411867</v>
      </c>
    </row>
    <row r="6" spans="1:78" x14ac:dyDescent="0.25">
      <c r="A6" s="3" t="s">
        <v>999</v>
      </c>
      <c r="B6" s="27" t="s">
        <v>900</v>
      </c>
      <c r="C6" s="27" t="s">
        <v>987</v>
      </c>
      <c r="D6" s="27" t="s">
        <v>900</v>
      </c>
      <c r="E6" s="27" t="s">
        <v>989</v>
      </c>
      <c r="F6" s="133">
        <v>1981</v>
      </c>
      <c r="G6" s="133">
        <v>-1</v>
      </c>
      <c r="I6" s="27">
        <v>0.98726106518613932</v>
      </c>
      <c r="J6" s="27">
        <v>2.6930589373567528</v>
      </c>
      <c r="S6" s="135">
        <v>2.4930834979447963E-2</v>
      </c>
      <c r="T6" s="135">
        <v>2.9145659495202952E-2</v>
      </c>
      <c r="AC6" s="135">
        <v>0.14884208487483652</v>
      </c>
      <c r="AD6" s="135">
        <v>1.7316113110854319</v>
      </c>
      <c r="AM6" s="27">
        <v>3.1502080612103214</v>
      </c>
      <c r="AN6" s="27">
        <v>0</v>
      </c>
      <c r="AW6" s="135">
        <v>7.9550708616422258E-2</v>
      </c>
      <c r="AX6" s="135">
        <v>0</v>
      </c>
      <c r="BG6" s="135">
        <v>0.15558844091746812</v>
      </c>
      <c r="BH6" s="135">
        <v>1.7937389869667546</v>
      </c>
      <c r="BQ6" s="3">
        <v>11.840613643957369</v>
      </c>
      <c r="BR6" s="3">
        <v>13.68418112411867</v>
      </c>
    </row>
    <row r="7" spans="1:78" x14ac:dyDescent="0.25">
      <c r="A7" s="3" t="s">
        <v>1000</v>
      </c>
      <c r="B7" s="27" t="s">
        <v>900</v>
      </c>
      <c r="C7" s="27" t="s">
        <v>986</v>
      </c>
      <c r="D7" s="27" t="s">
        <v>900</v>
      </c>
      <c r="E7" s="27" t="s">
        <v>989</v>
      </c>
      <c r="F7" s="133">
        <v>2007</v>
      </c>
      <c r="G7" s="133">
        <v>-1</v>
      </c>
      <c r="I7" s="27">
        <v>0.98726106518613932</v>
      </c>
      <c r="J7" s="27">
        <v>2.6930589373567528</v>
      </c>
      <c r="S7" s="135">
        <v>2.4930834979447963E-2</v>
      </c>
      <c r="T7" s="135">
        <v>2.9145659495202952E-2</v>
      </c>
      <c r="AC7" s="135">
        <v>0.14884208487483652</v>
      </c>
      <c r="AD7" s="135">
        <v>1.7316113110854319</v>
      </c>
      <c r="AM7" s="27">
        <v>0</v>
      </c>
      <c r="AN7" s="27">
        <v>0</v>
      </c>
      <c r="AW7" s="135">
        <v>0</v>
      </c>
      <c r="AX7" s="135">
        <v>0</v>
      </c>
      <c r="BG7" s="135">
        <v>0.15730441428759251</v>
      </c>
      <c r="BH7" s="135">
        <v>1.7768594666984365</v>
      </c>
      <c r="BQ7" s="3">
        <v>11.838897670587246</v>
      </c>
      <c r="BR7" s="3">
        <v>13.701060644386995</v>
      </c>
    </row>
    <row r="8" spans="1:78" x14ac:dyDescent="0.25">
      <c r="A8" s="3" t="s">
        <v>1001</v>
      </c>
      <c r="B8" s="27" t="s">
        <v>900</v>
      </c>
      <c r="C8" s="27" t="s">
        <v>986</v>
      </c>
      <c r="D8" s="27" t="s">
        <v>900</v>
      </c>
      <c r="E8" s="27" t="s">
        <v>989</v>
      </c>
      <c r="F8" s="133">
        <v>2007</v>
      </c>
      <c r="G8" s="133">
        <v>-1</v>
      </c>
      <c r="I8" s="27">
        <v>0.98726106518613932</v>
      </c>
      <c r="J8" s="27">
        <v>2.6930589373567528</v>
      </c>
      <c r="S8" s="135">
        <v>2.4930834979447963E-2</v>
      </c>
      <c r="T8" s="135">
        <v>2.9145659495202952E-2</v>
      </c>
      <c r="AC8" s="135">
        <v>0.14884208487483652</v>
      </c>
      <c r="AD8" s="135">
        <v>1.7316113110854319</v>
      </c>
      <c r="AM8" s="27">
        <v>0</v>
      </c>
      <c r="AN8" s="27">
        <v>0</v>
      </c>
      <c r="AW8" s="135">
        <v>0</v>
      </c>
      <c r="AX8" s="135">
        <v>0</v>
      </c>
      <c r="BG8" s="135">
        <v>0.15730441428759251</v>
      </c>
      <c r="BH8" s="135">
        <v>1.7768594666984365</v>
      </c>
      <c r="BQ8" s="3">
        <v>11.838897670587246</v>
      </c>
      <c r="BR8" s="3">
        <v>13.701060644386995</v>
      </c>
    </row>
    <row r="9" spans="1:78" x14ac:dyDescent="0.25">
      <c r="A9" s="3" t="s">
        <v>1002</v>
      </c>
      <c r="B9" s="27" t="s">
        <v>900</v>
      </c>
      <c r="C9" s="27" t="s">
        <v>986</v>
      </c>
      <c r="D9" s="27" t="s">
        <v>900</v>
      </c>
      <c r="E9" s="27" t="s">
        <v>989</v>
      </c>
      <c r="F9" s="133">
        <v>2007</v>
      </c>
      <c r="G9" s="133">
        <v>-1</v>
      </c>
      <c r="I9" s="27">
        <v>0.98726106518613932</v>
      </c>
      <c r="J9" s="27">
        <v>2.6930589373567528</v>
      </c>
      <c r="S9" s="135">
        <v>2.4930834979447963E-2</v>
      </c>
      <c r="T9" s="135">
        <v>2.9145659495202952E-2</v>
      </c>
      <c r="AC9" s="135">
        <v>0.14884208487483652</v>
      </c>
      <c r="AD9" s="135">
        <v>1.7316113110854319</v>
      </c>
      <c r="AM9" s="27">
        <v>0</v>
      </c>
      <c r="AN9" s="27">
        <v>0</v>
      </c>
      <c r="AW9" s="135">
        <v>0</v>
      </c>
      <c r="AX9" s="135">
        <v>0</v>
      </c>
      <c r="BG9" s="135">
        <v>0.15730441428759251</v>
      </c>
      <c r="BH9" s="135">
        <v>1.7768594666984365</v>
      </c>
      <c r="BQ9" s="3">
        <v>11.838897670587246</v>
      </c>
      <c r="BR9" s="3">
        <v>13.701060644386995</v>
      </c>
    </row>
    <row r="10" spans="1:78" x14ac:dyDescent="0.25">
      <c r="A10" s="3" t="s">
        <v>1003</v>
      </c>
      <c r="B10" s="27" t="s">
        <v>900</v>
      </c>
      <c r="C10" s="27" t="s">
        <v>987</v>
      </c>
      <c r="D10" s="27" t="s">
        <v>900</v>
      </c>
      <c r="E10" s="27" t="s">
        <v>989</v>
      </c>
      <c r="F10" s="133">
        <v>1981</v>
      </c>
      <c r="G10" s="133">
        <v>-1</v>
      </c>
      <c r="I10" s="27">
        <v>0.98726106518613932</v>
      </c>
      <c r="J10" s="27">
        <v>2.6930589373567528</v>
      </c>
      <c r="S10" s="135">
        <v>2.4930834979447963E-2</v>
      </c>
      <c r="T10" s="135">
        <v>2.9145659495202952E-2</v>
      </c>
      <c r="AC10" s="135">
        <v>0.14884208487483652</v>
      </c>
      <c r="AD10" s="135">
        <v>1.7316113110854319</v>
      </c>
      <c r="AM10" s="27">
        <v>3.1502080612103214</v>
      </c>
      <c r="AN10" s="27">
        <v>0</v>
      </c>
      <c r="AW10" s="135">
        <v>7.9550708616422258E-2</v>
      </c>
      <c r="AX10" s="135">
        <v>0</v>
      </c>
      <c r="BG10" s="135">
        <v>0.15558844091746812</v>
      </c>
      <c r="BH10" s="135">
        <v>1.7937389869667546</v>
      </c>
      <c r="BQ10" s="3">
        <v>11.840613643957369</v>
      </c>
      <c r="BR10" s="3">
        <v>13.68418112411867</v>
      </c>
    </row>
    <row r="11" spans="1:78" x14ac:dyDescent="0.25">
      <c r="A11" s="3" t="s">
        <v>1004</v>
      </c>
      <c r="B11" s="27" t="s">
        <v>900</v>
      </c>
      <c r="C11" s="27" t="s">
        <v>987</v>
      </c>
      <c r="D11" s="27" t="s">
        <v>900</v>
      </c>
      <c r="E11" s="27" t="s">
        <v>989</v>
      </c>
      <c r="F11" s="133">
        <v>1981</v>
      </c>
      <c r="G11" s="133">
        <v>-1</v>
      </c>
      <c r="I11" s="27">
        <v>0.98726106518613932</v>
      </c>
      <c r="J11" s="27">
        <v>2.6930589373567528</v>
      </c>
      <c r="S11" s="135">
        <v>2.4930834979447963E-2</v>
      </c>
      <c r="T11" s="135">
        <v>2.9145659495202952E-2</v>
      </c>
      <c r="AC11" s="135">
        <v>0.14884208487483652</v>
      </c>
      <c r="AD11" s="135">
        <v>1.7316113110854319</v>
      </c>
      <c r="AM11" s="27">
        <v>3.1502080612103214</v>
      </c>
      <c r="AN11" s="27">
        <v>0</v>
      </c>
      <c r="AW11" s="135">
        <v>7.9550708616422258E-2</v>
      </c>
      <c r="AX11" s="135">
        <v>0</v>
      </c>
      <c r="BG11" s="135">
        <v>0.15558844091746812</v>
      </c>
      <c r="BH11" s="135">
        <v>1.7937389869667546</v>
      </c>
      <c r="BQ11" s="3">
        <v>11.840613643957369</v>
      </c>
      <c r="BR11" s="3">
        <v>13.68418112411867</v>
      </c>
    </row>
    <row r="12" spans="1:78" x14ac:dyDescent="0.25">
      <c r="A12" s="3" t="s">
        <v>1005</v>
      </c>
      <c r="B12" s="27" t="s">
        <v>900</v>
      </c>
      <c r="C12" s="27" t="s">
        <v>986</v>
      </c>
      <c r="D12" s="27" t="s">
        <v>900</v>
      </c>
      <c r="E12" s="27" t="s">
        <v>989</v>
      </c>
      <c r="F12" s="133">
        <v>2007</v>
      </c>
      <c r="G12" s="133">
        <v>-1</v>
      </c>
      <c r="I12" s="27">
        <v>0.98726106518613932</v>
      </c>
      <c r="J12" s="27">
        <v>2.6930589373567528</v>
      </c>
      <c r="S12" s="135">
        <v>2.4930834979447963E-2</v>
      </c>
      <c r="T12" s="135">
        <v>2.9145659495202952E-2</v>
      </c>
      <c r="AC12" s="135">
        <v>0.14884208487483652</v>
      </c>
      <c r="AD12" s="135">
        <v>1.7316113110854319</v>
      </c>
      <c r="AM12" s="27">
        <v>0</v>
      </c>
      <c r="AN12" s="27">
        <v>0</v>
      </c>
      <c r="AW12" s="135">
        <v>0</v>
      </c>
      <c r="AX12" s="135">
        <v>0</v>
      </c>
      <c r="BG12" s="135">
        <v>0.15730441428759251</v>
      </c>
      <c r="BH12" s="135">
        <v>1.7768594666984365</v>
      </c>
      <c r="BQ12" s="3">
        <v>11.838897670587246</v>
      </c>
      <c r="BR12" s="3">
        <v>13.701060644386995</v>
      </c>
    </row>
    <row r="13" spans="1:78" x14ac:dyDescent="0.25">
      <c r="A13" s="3" t="s">
        <v>1006</v>
      </c>
      <c r="B13" s="27" t="s">
        <v>900</v>
      </c>
      <c r="C13" s="27" t="s">
        <v>986</v>
      </c>
      <c r="D13" s="27" t="s">
        <v>900</v>
      </c>
      <c r="E13" s="27" t="s">
        <v>989</v>
      </c>
      <c r="F13" s="133">
        <v>2007</v>
      </c>
      <c r="G13" s="133">
        <v>-1</v>
      </c>
      <c r="I13" s="27">
        <v>0.98726106518613932</v>
      </c>
      <c r="J13" s="27">
        <v>2.6930589373567528</v>
      </c>
      <c r="S13" s="135">
        <v>2.4930834979447963E-2</v>
      </c>
      <c r="T13" s="135">
        <v>2.9145659495202952E-2</v>
      </c>
      <c r="AC13" s="135">
        <v>0.14884208487483652</v>
      </c>
      <c r="AD13" s="135">
        <v>1.7316113110854319</v>
      </c>
      <c r="AM13" s="27">
        <v>0</v>
      </c>
      <c r="AN13" s="27">
        <v>0</v>
      </c>
      <c r="AW13" s="135">
        <v>0</v>
      </c>
      <c r="AX13" s="135">
        <v>0</v>
      </c>
      <c r="BG13" s="135">
        <v>0.15730441428759251</v>
      </c>
      <c r="BH13" s="135">
        <v>1.7768594666984365</v>
      </c>
      <c r="BQ13" s="3">
        <v>11.838897670587246</v>
      </c>
      <c r="BR13" s="3">
        <v>13.701060644386995</v>
      </c>
    </row>
    <row r="14" spans="1:78" x14ac:dyDescent="0.25">
      <c r="A14" s="3" t="s">
        <v>1007</v>
      </c>
      <c r="B14" s="27" t="s">
        <v>900</v>
      </c>
      <c r="C14" s="27" t="s">
        <v>986</v>
      </c>
      <c r="D14" s="27" t="s">
        <v>900</v>
      </c>
      <c r="E14" s="27" t="s">
        <v>989</v>
      </c>
      <c r="F14" s="133">
        <v>2007</v>
      </c>
      <c r="G14" s="133">
        <v>-1</v>
      </c>
      <c r="I14" s="27">
        <v>0.98726106518613932</v>
      </c>
      <c r="J14" s="27">
        <v>2.6930589373567528</v>
      </c>
      <c r="S14" s="135">
        <v>2.4930834979447963E-2</v>
      </c>
      <c r="T14" s="135">
        <v>2.9145659495202952E-2</v>
      </c>
      <c r="AC14" s="135">
        <v>0.14884208487483652</v>
      </c>
      <c r="AD14" s="135">
        <v>1.7316113110854319</v>
      </c>
      <c r="AM14" s="27">
        <v>0</v>
      </c>
      <c r="AN14" s="27">
        <v>0</v>
      </c>
      <c r="AW14" s="135">
        <v>0</v>
      </c>
      <c r="AX14" s="135">
        <v>0</v>
      </c>
      <c r="BG14" s="135">
        <v>0.15730441428759251</v>
      </c>
      <c r="BH14" s="135">
        <v>1.7768594666984365</v>
      </c>
      <c r="BQ14" s="3">
        <v>11.838897670587246</v>
      </c>
      <c r="BR14" s="3">
        <v>13.701060644386995</v>
      </c>
    </row>
    <row r="15" spans="1:78" x14ac:dyDescent="0.25">
      <c r="A15" s="3" t="s">
        <v>1008</v>
      </c>
      <c r="B15" s="27" t="s">
        <v>900</v>
      </c>
      <c r="C15" s="27" t="s">
        <v>987</v>
      </c>
      <c r="D15" s="27" t="s">
        <v>900</v>
      </c>
      <c r="E15" s="27" t="s">
        <v>989</v>
      </c>
      <c r="F15" s="133">
        <v>1981</v>
      </c>
      <c r="G15" s="133">
        <v>-1</v>
      </c>
      <c r="I15" s="27">
        <v>0.98726106518613932</v>
      </c>
      <c r="J15" s="27">
        <v>2.6930589373567528</v>
      </c>
      <c r="S15" s="135">
        <v>2.4930834979447963E-2</v>
      </c>
      <c r="T15" s="135">
        <v>2.9145659495202952E-2</v>
      </c>
      <c r="AC15" s="135">
        <v>0.14884208487483652</v>
      </c>
      <c r="AD15" s="135">
        <v>1.7316113110854319</v>
      </c>
      <c r="AM15" s="27">
        <v>3.1502080612103214</v>
      </c>
      <c r="AN15" s="27">
        <v>0</v>
      </c>
      <c r="AW15" s="135">
        <v>7.9550708616422258E-2</v>
      </c>
      <c r="AX15" s="135">
        <v>0</v>
      </c>
      <c r="BG15" s="135">
        <v>0.15558844091746812</v>
      </c>
      <c r="BH15" s="135">
        <v>1.7937389869667546</v>
      </c>
      <c r="BQ15" s="3">
        <v>11.840613643957369</v>
      </c>
      <c r="BR15" s="3">
        <v>13.68418112411867</v>
      </c>
    </row>
    <row r="16" spans="1:78" x14ac:dyDescent="0.25">
      <c r="A16" s="3" t="s">
        <v>1009</v>
      </c>
      <c r="B16" s="27" t="s">
        <v>900</v>
      </c>
      <c r="C16" s="27" t="s">
        <v>987</v>
      </c>
      <c r="D16" s="27" t="s">
        <v>900</v>
      </c>
      <c r="E16" s="27" t="s">
        <v>989</v>
      </c>
      <c r="F16" s="133">
        <v>1981</v>
      </c>
      <c r="G16" s="133">
        <v>-1</v>
      </c>
      <c r="I16" s="27">
        <v>0.98726106518613932</v>
      </c>
      <c r="J16" s="27">
        <v>2.6930589373567528</v>
      </c>
      <c r="S16" s="135">
        <v>2.4930834979447963E-2</v>
      </c>
      <c r="T16" s="135">
        <v>2.9145659495202952E-2</v>
      </c>
      <c r="AC16" s="135">
        <v>0.14884208487483652</v>
      </c>
      <c r="AD16" s="135">
        <v>1.7316113110854319</v>
      </c>
      <c r="AM16" s="27">
        <v>3.1502080612103214</v>
      </c>
      <c r="AN16" s="27">
        <v>0</v>
      </c>
      <c r="AW16" s="135">
        <v>7.9550708616422258E-2</v>
      </c>
      <c r="AX16" s="135">
        <v>0</v>
      </c>
      <c r="BG16" s="135">
        <v>0.15558844091746812</v>
      </c>
      <c r="BH16" s="135">
        <v>1.7937389869667546</v>
      </c>
      <c r="BQ16" s="3">
        <v>11.840613643957369</v>
      </c>
      <c r="BR16" s="3">
        <v>13.68418112411867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K417"/>
  <sheetViews>
    <sheetView zoomScale="90" zoomScaleNormal="90" workbookViewId="0">
      <selection activeCell="D19" sqref="D19"/>
    </sheetView>
  </sheetViews>
  <sheetFormatPr baseColWidth="10" defaultColWidth="8.81640625" defaultRowHeight="12.5" x14ac:dyDescent="0.25"/>
  <cols>
    <col min="1" max="1" width="15.54296875" style="3" customWidth="1"/>
    <col min="2" max="3" width="10.54296875" style="3" customWidth="1"/>
    <col min="4" max="4" width="60.54296875" style="3" customWidth="1"/>
    <col min="5" max="7" width="10.54296875" style="3" customWidth="1"/>
    <col min="8" max="9" width="15.54296875" style="3" customWidth="1"/>
  </cols>
  <sheetData>
    <row r="1" spans="1:11" s="10" customFormat="1" ht="12.75" customHeight="1" x14ac:dyDescent="0.45">
      <c r="A1" s="63"/>
      <c r="B1" s="63"/>
      <c r="C1" s="63"/>
      <c r="D1" s="63"/>
      <c r="E1" s="141"/>
      <c r="F1" s="141"/>
      <c r="G1" s="141"/>
    </row>
    <row r="2" spans="1:11" x14ac:dyDescent="0.25">
      <c r="E2" s="82"/>
      <c r="F2" s="82"/>
      <c r="G2" s="82"/>
      <c r="H2"/>
      <c r="I2"/>
    </row>
    <row r="3" spans="1:11" x14ac:dyDescent="0.25">
      <c r="E3" s="78"/>
      <c r="F3" s="78"/>
      <c r="G3" s="78"/>
      <c r="H3"/>
      <c r="I3"/>
    </row>
    <row r="4" spans="1:11" ht="13" thickBot="1" x14ac:dyDescent="0.3">
      <c r="H4"/>
      <c r="I4"/>
    </row>
    <row r="5" spans="1:11" s="10" customFormat="1" ht="13" x14ac:dyDescent="0.3">
      <c r="A5" s="192" t="s">
        <v>691</v>
      </c>
      <c r="B5" s="193"/>
      <c r="C5" s="193"/>
      <c r="D5" s="193"/>
      <c r="E5" s="193"/>
      <c r="F5" s="193"/>
      <c r="G5" s="101"/>
      <c r="H5" s="102"/>
      <c r="I5" s="210"/>
      <c r="K5" s="208"/>
    </row>
    <row r="6" spans="1:11" ht="13" x14ac:dyDescent="0.3">
      <c r="A6" s="194" t="s">
        <v>667</v>
      </c>
      <c r="B6" s="195" t="s">
        <v>668</v>
      </c>
      <c r="C6" s="195" t="s">
        <v>669</v>
      </c>
      <c r="D6" s="195" t="s">
        <v>693</v>
      </c>
      <c r="E6" s="195" t="s">
        <v>683</v>
      </c>
      <c r="F6" s="195" t="s">
        <v>670</v>
      </c>
      <c r="G6" s="41" t="s">
        <v>829</v>
      </c>
      <c r="H6" s="46"/>
      <c r="I6" s="79"/>
      <c r="K6" s="208"/>
    </row>
    <row r="7" spans="1:11" ht="13" thickBot="1" x14ac:dyDescent="0.3">
      <c r="A7" s="196" t="s">
        <v>900</v>
      </c>
      <c r="B7" s="197">
        <v>30.5</v>
      </c>
      <c r="C7" s="219">
        <v>0.65</v>
      </c>
      <c r="D7" s="219" t="s">
        <v>1252</v>
      </c>
      <c r="E7" s="219">
        <v>3</v>
      </c>
      <c r="F7" s="219" t="s">
        <v>901</v>
      </c>
      <c r="G7" s="197">
        <v>-1.5</v>
      </c>
      <c r="H7" s="91"/>
      <c r="I7" s="92"/>
      <c r="K7" s="208">
        <v>5</v>
      </c>
    </row>
    <row r="8" spans="1:11" ht="13" thickBot="1" x14ac:dyDescent="0.3">
      <c r="A8" s="220"/>
      <c r="B8" s="220"/>
      <c r="C8" s="220"/>
      <c r="D8" s="220"/>
      <c r="E8" s="220"/>
      <c r="F8" s="220"/>
      <c r="H8"/>
      <c r="I8"/>
      <c r="K8" s="208"/>
    </row>
    <row r="9" spans="1:11" ht="13" x14ac:dyDescent="0.3">
      <c r="A9" s="192" t="s">
        <v>691</v>
      </c>
      <c r="B9" s="193"/>
      <c r="C9" s="193"/>
      <c r="D9" s="193"/>
      <c r="E9" s="193"/>
      <c r="F9" s="193"/>
      <c r="G9" s="101"/>
      <c r="H9" s="102"/>
      <c r="I9" s="210"/>
      <c r="K9" s="208"/>
    </row>
    <row r="10" spans="1:11" ht="13" x14ac:dyDescent="0.3">
      <c r="A10" s="194" t="s">
        <v>667</v>
      </c>
      <c r="B10" s="195" t="s">
        <v>668</v>
      </c>
      <c r="C10" s="195" t="s">
        <v>669</v>
      </c>
      <c r="D10" s="195" t="s">
        <v>693</v>
      </c>
      <c r="E10" s="195" t="s">
        <v>683</v>
      </c>
      <c r="F10" s="195" t="s">
        <v>670</v>
      </c>
      <c r="G10" s="41" t="s">
        <v>829</v>
      </c>
      <c r="H10" s="46"/>
      <c r="I10" s="79"/>
      <c r="K10" s="208"/>
    </row>
    <row r="11" spans="1:11" ht="13" thickBot="1" x14ac:dyDescent="0.3">
      <c r="A11" s="196" t="s">
        <v>830</v>
      </c>
      <c r="B11" s="197">
        <v>27.5</v>
      </c>
      <c r="C11" s="197">
        <v>0.65</v>
      </c>
      <c r="D11" s="219" t="s">
        <v>1217</v>
      </c>
      <c r="E11" s="197">
        <v>3</v>
      </c>
      <c r="F11" s="197" t="s">
        <v>831</v>
      </c>
      <c r="G11" s="197">
        <v>-2.5</v>
      </c>
      <c r="H11" s="91"/>
      <c r="I11" s="92"/>
      <c r="K11" s="208">
        <v>9</v>
      </c>
    </row>
    <row r="12" spans="1:11" ht="13" thickBot="1" x14ac:dyDescent="0.3">
      <c r="H12"/>
      <c r="I12"/>
      <c r="K12" s="208"/>
    </row>
    <row r="13" spans="1:11" ht="13" x14ac:dyDescent="0.3">
      <c r="A13" s="192" t="s">
        <v>691</v>
      </c>
      <c r="B13" s="193"/>
      <c r="C13" s="193"/>
      <c r="D13" s="193"/>
      <c r="E13" s="193"/>
      <c r="F13" s="193"/>
      <c r="G13" s="101"/>
      <c r="H13" s="102"/>
      <c r="I13" s="210"/>
      <c r="K13" s="208"/>
    </row>
    <row r="14" spans="1:11" ht="13" x14ac:dyDescent="0.3">
      <c r="A14" s="194" t="s">
        <v>667</v>
      </c>
      <c r="B14" s="195" t="s">
        <v>668</v>
      </c>
      <c r="C14" s="195" t="s">
        <v>669</v>
      </c>
      <c r="D14" s="195" t="s">
        <v>693</v>
      </c>
      <c r="E14" s="195" t="s">
        <v>683</v>
      </c>
      <c r="F14" s="195" t="s">
        <v>670</v>
      </c>
      <c r="G14" s="41" t="s">
        <v>829</v>
      </c>
      <c r="H14" s="46"/>
      <c r="I14" s="79"/>
      <c r="K14" s="208"/>
    </row>
    <row r="15" spans="1:11" ht="13" thickBot="1" x14ac:dyDescent="0.3">
      <c r="A15" s="196" t="s">
        <v>832</v>
      </c>
      <c r="B15" s="197">
        <v>27.5</v>
      </c>
      <c r="C15" s="197">
        <v>0.65</v>
      </c>
      <c r="D15" s="197" t="s">
        <v>1218</v>
      </c>
      <c r="E15" s="197">
        <v>3</v>
      </c>
      <c r="F15" s="197" t="s">
        <v>833</v>
      </c>
      <c r="G15" s="197">
        <v>-3.5</v>
      </c>
      <c r="H15" s="91"/>
      <c r="I15" s="92"/>
      <c r="K15" s="208">
        <v>13</v>
      </c>
    </row>
    <row r="16" spans="1:11" ht="13" thickBot="1" x14ac:dyDescent="0.3">
      <c r="H16"/>
      <c r="I16"/>
      <c r="K16" s="208"/>
    </row>
    <row r="17" spans="1:11" ht="13" x14ac:dyDescent="0.3">
      <c r="A17" s="192" t="s">
        <v>691</v>
      </c>
      <c r="B17" s="193"/>
      <c r="C17" s="193"/>
      <c r="D17" s="193"/>
      <c r="E17" s="193"/>
      <c r="F17" s="193"/>
      <c r="G17" s="101"/>
      <c r="H17" s="102"/>
      <c r="I17" s="210"/>
      <c r="K17" s="208"/>
    </row>
    <row r="18" spans="1:11" ht="13" x14ac:dyDescent="0.3">
      <c r="A18" s="194" t="s">
        <v>667</v>
      </c>
      <c r="B18" s="195" t="s">
        <v>668</v>
      </c>
      <c r="C18" s="195" t="s">
        <v>669</v>
      </c>
      <c r="D18" s="195" t="s">
        <v>693</v>
      </c>
      <c r="E18" s="195" t="s">
        <v>683</v>
      </c>
      <c r="F18" s="195" t="s">
        <v>670</v>
      </c>
      <c r="G18" s="41" t="s">
        <v>829</v>
      </c>
      <c r="H18" s="46"/>
      <c r="I18" s="79"/>
      <c r="K18" s="208"/>
    </row>
    <row r="19" spans="1:11" ht="13" thickBot="1" x14ac:dyDescent="0.3">
      <c r="A19" s="196" t="s">
        <v>834</v>
      </c>
      <c r="B19" s="197">
        <v>27.5</v>
      </c>
      <c r="C19" s="197">
        <v>0.65</v>
      </c>
      <c r="D19" s="197" t="s">
        <v>1219</v>
      </c>
      <c r="E19" s="197">
        <v>3</v>
      </c>
      <c r="F19" s="197" t="s">
        <v>835</v>
      </c>
      <c r="G19" s="197">
        <v>-4.5</v>
      </c>
      <c r="H19" s="91"/>
      <c r="I19" s="92"/>
      <c r="K19" s="208">
        <v>17</v>
      </c>
    </row>
    <row r="20" spans="1:11" ht="13" thickBot="1" x14ac:dyDescent="0.3">
      <c r="H20"/>
      <c r="I20"/>
      <c r="K20" s="208"/>
    </row>
    <row r="21" spans="1:11" ht="13" x14ac:dyDescent="0.3">
      <c r="A21" s="192" t="s">
        <v>691</v>
      </c>
      <c r="B21" s="193"/>
      <c r="C21" s="193"/>
      <c r="D21" s="193"/>
      <c r="E21" s="193"/>
      <c r="F21" s="193"/>
      <c r="G21" s="101"/>
      <c r="H21" s="102"/>
      <c r="I21" s="210"/>
      <c r="K21" s="208"/>
    </row>
    <row r="22" spans="1:11" ht="13" x14ac:dyDescent="0.3">
      <c r="A22" s="194" t="s">
        <v>667</v>
      </c>
      <c r="B22" s="195" t="s">
        <v>668</v>
      </c>
      <c r="C22" s="195" t="s">
        <v>669</v>
      </c>
      <c r="D22" s="195" t="s">
        <v>693</v>
      </c>
      <c r="E22" s="195" t="s">
        <v>683</v>
      </c>
      <c r="F22" s="195" t="s">
        <v>670</v>
      </c>
      <c r="G22" s="41" t="s">
        <v>829</v>
      </c>
      <c r="H22" s="46"/>
      <c r="I22" s="79"/>
      <c r="K22" s="208"/>
    </row>
    <row r="23" spans="1:11" ht="13" thickBot="1" x14ac:dyDescent="0.3">
      <c r="A23" s="196" t="s">
        <v>836</v>
      </c>
      <c r="B23" s="197">
        <v>27.5</v>
      </c>
      <c r="C23" s="197">
        <v>0.65</v>
      </c>
      <c r="D23" s="197" t="s">
        <v>1220</v>
      </c>
      <c r="E23" s="197">
        <v>3</v>
      </c>
      <c r="F23" s="197" t="s">
        <v>837</v>
      </c>
      <c r="G23" s="197">
        <v>-5.5</v>
      </c>
      <c r="H23" s="91"/>
      <c r="I23" s="92"/>
      <c r="K23" s="208">
        <v>21</v>
      </c>
    </row>
    <row r="24" spans="1:11" ht="13" thickBot="1" x14ac:dyDescent="0.3">
      <c r="H24"/>
      <c r="I24"/>
      <c r="K24" s="208"/>
    </row>
    <row r="25" spans="1:11" ht="13" x14ac:dyDescent="0.3">
      <c r="A25" s="192" t="s">
        <v>691</v>
      </c>
      <c r="B25" s="193"/>
      <c r="C25" s="193"/>
      <c r="D25" s="193"/>
      <c r="E25" s="193"/>
      <c r="F25" s="193"/>
      <c r="G25" s="101"/>
      <c r="H25" s="102"/>
      <c r="I25" s="210"/>
      <c r="K25" s="208"/>
    </row>
    <row r="26" spans="1:11" ht="13" x14ac:dyDescent="0.3">
      <c r="A26" s="194" t="s">
        <v>667</v>
      </c>
      <c r="B26" s="195" t="s">
        <v>668</v>
      </c>
      <c r="C26" s="195" t="s">
        <v>669</v>
      </c>
      <c r="D26" s="195" t="s">
        <v>693</v>
      </c>
      <c r="E26" s="195" t="s">
        <v>683</v>
      </c>
      <c r="F26" s="195" t="s">
        <v>670</v>
      </c>
      <c r="G26" s="41" t="s">
        <v>829</v>
      </c>
      <c r="H26" s="46"/>
      <c r="I26" s="79"/>
      <c r="K26" s="208"/>
    </row>
    <row r="27" spans="1:11" ht="13" thickBot="1" x14ac:dyDescent="0.3">
      <c r="A27" s="196" t="s">
        <v>838</v>
      </c>
      <c r="B27" s="197">
        <v>27.5</v>
      </c>
      <c r="C27" s="197">
        <v>0.65</v>
      </c>
      <c r="D27" s="197" t="s">
        <v>1221</v>
      </c>
      <c r="E27" s="197">
        <v>3</v>
      </c>
      <c r="F27" s="197" t="s">
        <v>839</v>
      </c>
      <c r="G27" s="197">
        <v>-6.5</v>
      </c>
      <c r="H27" s="91"/>
      <c r="I27" s="92"/>
      <c r="K27" s="208">
        <v>25</v>
      </c>
    </row>
    <row r="28" spans="1:11" ht="13" thickBot="1" x14ac:dyDescent="0.3">
      <c r="H28"/>
      <c r="I28"/>
      <c r="K28" s="208"/>
    </row>
    <row r="29" spans="1:11" ht="13" x14ac:dyDescent="0.3">
      <c r="A29" s="192" t="s">
        <v>691</v>
      </c>
      <c r="B29" s="193"/>
      <c r="C29" s="193"/>
      <c r="D29" s="193"/>
      <c r="E29" s="193"/>
      <c r="F29" s="193"/>
      <c r="G29" s="101"/>
      <c r="H29" s="102"/>
      <c r="I29" s="210"/>
      <c r="K29" s="208"/>
    </row>
    <row r="30" spans="1:11" ht="13" x14ac:dyDescent="0.3">
      <c r="A30" s="194" t="s">
        <v>667</v>
      </c>
      <c r="B30" s="195" t="s">
        <v>668</v>
      </c>
      <c r="C30" s="195" t="s">
        <v>669</v>
      </c>
      <c r="D30" s="195" t="s">
        <v>693</v>
      </c>
      <c r="E30" s="195" t="s">
        <v>683</v>
      </c>
      <c r="F30" s="195" t="s">
        <v>670</v>
      </c>
      <c r="G30" s="41" t="s">
        <v>829</v>
      </c>
      <c r="H30" s="46"/>
      <c r="I30" s="79"/>
      <c r="K30" s="208"/>
    </row>
    <row r="31" spans="1:11" ht="13" thickBot="1" x14ac:dyDescent="0.3">
      <c r="A31" s="196" t="s">
        <v>840</v>
      </c>
      <c r="B31" s="197">
        <v>27.5</v>
      </c>
      <c r="C31" s="197">
        <v>0.65</v>
      </c>
      <c r="D31" s="197" t="s">
        <v>1222</v>
      </c>
      <c r="E31" s="197">
        <v>3</v>
      </c>
      <c r="F31" s="197" t="s">
        <v>841</v>
      </c>
      <c r="G31" s="197">
        <v>-7.5</v>
      </c>
      <c r="H31" s="91"/>
      <c r="I31" s="92"/>
      <c r="K31" s="208">
        <v>29</v>
      </c>
    </row>
    <row r="32" spans="1:11" ht="13" thickBot="1" x14ac:dyDescent="0.3">
      <c r="H32"/>
      <c r="I32"/>
      <c r="K32" s="208"/>
    </row>
    <row r="33" spans="1:11" ht="13" x14ac:dyDescent="0.3">
      <c r="A33" s="192" t="s">
        <v>691</v>
      </c>
      <c r="B33" s="193"/>
      <c r="C33" s="193"/>
      <c r="D33" s="193"/>
      <c r="E33" s="193"/>
      <c r="F33" s="193"/>
      <c r="G33" s="101"/>
      <c r="H33" s="102"/>
      <c r="I33" s="210"/>
      <c r="K33" s="208"/>
    </row>
    <row r="34" spans="1:11" ht="13" x14ac:dyDescent="0.3">
      <c r="A34" s="194" t="s">
        <v>667</v>
      </c>
      <c r="B34" s="195" t="s">
        <v>668</v>
      </c>
      <c r="C34" s="195" t="s">
        <v>669</v>
      </c>
      <c r="D34" s="195" t="s">
        <v>693</v>
      </c>
      <c r="E34" s="195" t="s">
        <v>683</v>
      </c>
      <c r="F34" s="195" t="s">
        <v>670</v>
      </c>
      <c r="G34" s="41" t="s">
        <v>829</v>
      </c>
      <c r="H34" s="46"/>
      <c r="I34" s="79"/>
      <c r="K34" s="208"/>
    </row>
    <row r="35" spans="1:11" ht="13" thickBot="1" x14ac:dyDescent="0.3">
      <c r="A35" s="196" t="s">
        <v>842</v>
      </c>
      <c r="B35" s="197">
        <v>27.5</v>
      </c>
      <c r="C35" s="197">
        <v>0.65</v>
      </c>
      <c r="D35" s="197" t="s">
        <v>1223</v>
      </c>
      <c r="E35" s="197">
        <v>3</v>
      </c>
      <c r="F35" s="197" t="s">
        <v>843</v>
      </c>
      <c r="G35" s="197">
        <v>-8.5</v>
      </c>
      <c r="H35" s="91"/>
      <c r="I35" s="92"/>
      <c r="K35" s="208">
        <v>33</v>
      </c>
    </row>
    <row r="36" spans="1:11" ht="13" thickBot="1" x14ac:dyDescent="0.3">
      <c r="H36"/>
      <c r="I36"/>
      <c r="K36" s="208"/>
    </row>
    <row r="37" spans="1:11" ht="13" x14ac:dyDescent="0.3">
      <c r="A37" s="192" t="s">
        <v>691</v>
      </c>
      <c r="B37" s="193"/>
      <c r="C37" s="193"/>
      <c r="D37" s="193"/>
      <c r="E37" s="193"/>
      <c r="F37" s="193"/>
      <c r="G37" s="101"/>
      <c r="H37" s="102"/>
      <c r="I37" s="210"/>
      <c r="K37" s="208"/>
    </row>
    <row r="38" spans="1:11" ht="13" x14ac:dyDescent="0.3">
      <c r="A38" s="194" t="s">
        <v>667</v>
      </c>
      <c r="B38" s="195" t="s">
        <v>668</v>
      </c>
      <c r="C38" s="195" t="s">
        <v>669</v>
      </c>
      <c r="D38" s="195" t="s">
        <v>693</v>
      </c>
      <c r="E38" s="195" t="s">
        <v>683</v>
      </c>
      <c r="F38" s="195" t="s">
        <v>670</v>
      </c>
      <c r="G38" s="41" t="s">
        <v>829</v>
      </c>
      <c r="H38" s="46"/>
      <c r="I38" s="79"/>
      <c r="K38" s="208"/>
    </row>
    <row r="39" spans="1:11" ht="13" thickBot="1" x14ac:dyDescent="0.3">
      <c r="A39" s="196" t="s">
        <v>844</v>
      </c>
      <c r="B39" s="197">
        <v>27.5</v>
      </c>
      <c r="C39" s="197">
        <v>0.65</v>
      </c>
      <c r="D39" s="197" t="s">
        <v>1224</v>
      </c>
      <c r="E39" s="197">
        <v>3</v>
      </c>
      <c r="F39" s="197" t="s">
        <v>845</v>
      </c>
      <c r="G39" s="197">
        <v>-9.5</v>
      </c>
      <c r="H39" s="91"/>
      <c r="I39" s="92"/>
      <c r="K39" s="208">
        <v>37</v>
      </c>
    </row>
    <row r="40" spans="1:11" ht="13" thickBot="1" x14ac:dyDescent="0.3">
      <c r="H40"/>
      <c r="I40"/>
      <c r="K40" s="208"/>
    </row>
    <row r="41" spans="1:11" ht="13" x14ac:dyDescent="0.3">
      <c r="A41" s="192" t="s">
        <v>691</v>
      </c>
      <c r="B41" s="193"/>
      <c r="C41" s="193"/>
      <c r="D41" s="193"/>
      <c r="E41" s="193"/>
      <c r="F41" s="193"/>
      <c r="G41" s="101"/>
      <c r="H41" s="102"/>
      <c r="I41" s="210"/>
      <c r="K41" s="208"/>
    </row>
    <row r="42" spans="1:11" ht="13" x14ac:dyDescent="0.3">
      <c r="A42" s="194" t="s">
        <v>667</v>
      </c>
      <c r="B42" s="195" t="s">
        <v>668</v>
      </c>
      <c r="C42" s="195" t="s">
        <v>669</v>
      </c>
      <c r="D42" s="195" t="s">
        <v>693</v>
      </c>
      <c r="E42" s="195" t="s">
        <v>683</v>
      </c>
      <c r="F42" s="195" t="s">
        <v>670</v>
      </c>
      <c r="G42" s="41" t="s">
        <v>829</v>
      </c>
      <c r="H42" s="46"/>
      <c r="I42" s="79"/>
      <c r="K42" s="208"/>
    </row>
    <row r="43" spans="1:11" ht="13" thickBot="1" x14ac:dyDescent="0.3">
      <c r="A43" s="196" t="s">
        <v>846</v>
      </c>
      <c r="B43" s="197">
        <v>27.5</v>
      </c>
      <c r="C43" s="197">
        <v>0.65</v>
      </c>
      <c r="D43" s="197" t="s">
        <v>1225</v>
      </c>
      <c r="E43" s="197">
        <v>3</v>
      </c>
      <c r="F43" s="197" t="s">
        <v>847</v>
      </c>
      <c r="G43" s="197">
        <v>-10.5</v>
      </c>
      <c r="H43" s="91"/>
      <c r="I43" s="92"/>
      <c r="K43" s="208">
        <v>41</v>
      </c>
    </row>
    <row r="44" spans="1:11" ht="13" thickBot="1" x14ac:dyDescent="0.3">
      <c r="H44"/>
      <c r="I44"/>
      <c r="K44" s="208"/>
    </row>
    <row r="45" spans="1:11" ht="13" x14ac:dyDescent="0.3">
      <c r="A45" s="192" t="s">
        <v>691</v>
      </c>
      <c r="B45" s="193"/>
      <c r="C45" s="193"/>
      <c r="D45" s="193"/>
      <c r="E45" s="193"/>
      <c r="F45" s="193"/>
      <c r="G45" s="101"/>
      <c r="H45" s="102"/>
      <c r="I45" s="210"/>
      <c r="K45" s="208"/>
    </row>
    <row r="46" spans="1:11" ht="13" x14ac:dyDescent="0.3">
      <c r="A46" s="194" t="s">
        <v>667</v>
      </c>
      <c r="B46" s="195" t="s">
        <v>668</v>
      </c>
      <c r="C46" s="195" t="s">
        <v>669</v>
      </c>
      <c r="D46" s="195" t="s">
        <v>693</v>
      </c>
      <c r="E46" s="195" t="s">
        <v>683</v>
      </c>
      <c r="F46" s="195" t="s">
        <v>670</v>
      </c>
      <c r="G46" s="41" t="s">
        <v>829</v>
      </c>
      <c r="H46" s="46"/>
      <c r="I46" s="79"/>
      <c r="K46" s="208"/>
    </row>
    <row r="47" spans="1:11" ht="13" thickBot="1" x14ac:dyDescent="0.3">
      <c r="A47" s="196" t="s">
        <v>848</v>
      </c>
      <c r="B47" s="197">
        <v>27.5</v>
      </c>
      <c r="C47" s="197">
        <v>0.65</v>
      </c>
      <c r="D47" s="197" t="s">
        <v>1226</v>
      </c>
      <c r="E47" s="197">
        <v>3</v>
      </c>
      <c r="F47" s="197" t="s">
        <v>849</v>
      </c>
      <c r="G47" s="197">
        <v>-11.5</v>
      </c>
      <c r="H47" s="91"/>
      <c r="I47" s="92"/>
      <c r="K47" s="208">
        <v>45</v>
      </c>
    </row>
    <row r="48" spans="1:11" ht="13" thickBot="1" x14ac:dyDescent="0.3">
      <c r="H48"/>
      <c r="I48"/>
      <c r="K48" s="208"/>
    </row>
    <row r="49" spans="1:11" ht="13" x14ac:dyDescent="0.3">
      <c r="A49" s="192" t="s">
        <v>691</v>
      </c>
      <c r="B49" s="193"/>
      <c r="C49" s="193"/>
      <c r="D49" s="193"/>
      <c r="E49" s="193"/>
      <c r="F49" s="193"/>
      <c r="G49" s="101"/>
      <c r="H49" s="102"/>
      <c r="I49" s="210"/>
      <c r="K49" s="208"/>
    </row>
    <row r="50" spans="1:11" ht="13" x14ac:dyDescent="0.3">
      <c r="A50" s="194" t="s">
        <v>667</v>
      </c>
      <c r="B50" s="195" t="s">
        <v>668</v>
      </c>
      <c r="C50" s="195" t="s">
        <v>669</v>
      </c>
      <c r="D50" s="195" t="s">
        <v>693</v>
      </c>
      <c r="E50" s="195" t="s">
        <v>683</v>
      </c>
      <c r="F50" s="195" t="s">
        <v>670</v>
      </c>
      <c r="G50" s="41" t="s">
        <v>829</v>
      </c>
      <c r="H50" s="46"/>
      <c r="I50" s="79"/>
      <c r="K50" s="208"/>
    </row>
    <row r="51" spans="1:11" ht="13" thickBot="1" x14ac:dyDescent="0.3">
      <c r="A51" s="196" t="s">
        <v>850</v>
      </c>
      <c r="B51" s="197">
        <v>27.5</v>
      </c>
      <c r="C51" s="197">
        <v>0.65</v>
      </c>
      <c r="D51" s="197" t="s">
        <v>1227</v>
      </c>
      <c r="E51" s="197">
        <v>3</v>
      </c>
      <c r="F51" s="197" t="s">
        <v>851</v>
      </c>
      <c r="G51" s="197">
        <v>-12.5</v>
      </c>
      <c r="H51" s="91"/>
      <c r="I51" s="92"/>
      <c r="K51" s="208">
        <v>49</v>
      </c>
    </row>
    <row r="52" spans="1:11" ht="13" thickBot="1" x14ac:dyDescent="0.3">
      <c r="H52"/>
      <c r="I52"/>
      <c r="K52" s="208"/>
    </row>
    <row r="53" spans="1:11" ht="13" x14ac:dyDescent="0.3">
      <c r="A53" s="192" t="s">
        <v>691</v>
      </c>
      <c r="B53" s="193"/>
      <c r="C53" s="193"/>
      <c r="D53" s="193"/>
      <c r="E53" s="193"/>
      <c r="F53" s="193"/>
      <c r="G53" s="101"/>
      <c r="H53" s="102"/>
      <c r="I53" s="210"/>
      <c r="K53" s="208"/>
    </row>
    <row r="54" spans="1:11" ht="13" x14ac:dyDescent="0.3">
      <c r="A54" s="194" t="s">
        <v>667</v>
      </c>
      <c r="B54" s="195" t="s">
        <v>668</v>
      </c>
      <c r="C54" s="195" t="s">
        <v>669</v>
      </c>
      <c r="D54" s="195" t="s">
        <v>693</v>
      </c>
      <c r="E54" s="195" t="s">
        <v>683</v>
      </c>
      <c r="F54" s="195" t="s">
        <v>670</v>
      </c>
      <c r="G54" s="41" t="s">
        <v>829</v>
      </c>
      <c r="H54" s="46"/>
      <c r="I54" s="79"/>
      <c r="K54" s="208"/>
    </row>
    <row r="55" spans="1:11" ht="13" thickBot="1" x14ac:dyDescent="0.3">
      <c r="A55" s="196" t="s">
        <v>852</v>
      </c>
      <c r="B55" s="197">
        <v>28.5</v>
      </c>
      <c r="C55" s="197">
        <v>0.65</v>
      </c>
      <c r="D55" s="197" t="s">
        <v>1228</v>
      </c>
      <c r="E55" s="197">
        <v>3</v>
      </c>
      <c r="F55" s="197" t="s">
        <v>853</v>
      </c>
      <c r="G55" s="197">
        <v>-1.5</v>
      </c>
      <c r="H55" s="91"/>
      <c r="I55" s="92"/>
      <c r="K55" s="208">
        <v>53</v>
      </c>
    </row>
    <row r="56" spans="1:11" ht="13" thickBot="1" x14ac:dyDescent="0.3">
      <c r="H56"/>
      <c r="I56"/>
      <c r="K56" s="208"/>
    </row>
    <row r="57" spans="1:11" ht="13" x14ac:dyDescent="0.3">
      <c r="A57" s="192" t="s">
        <v>691</v>
      </c>
      <c r="B57" s="193"/>
      <c r="C57" s="193"/>
      <c r="D57" s="193"/>
      <c r="E57" s="193"/>
      <c r="F57" s="193"/>
      <c r="G57" s="101"/>
      <c r="H57" s="102"/>
      <c r="I57" s="210"/>
      <c r="K57" s="208"/>
    </row>
    <row r="58" spans="1:11" ht="13" x14ac:dyDescent="0.3">
      <c r="A58" s="194" t="s">
        <v>667</v>
      </c>
      <c r="B58" s="195" t="s">
        <v>668</v>
      </c>
      <c r="C58" s="195" t="s">
        <v>669</v>
      </c>
      <c r="D58" s="195" t="s">
        <v>693</v>
      </c>
      <c r="E58" s="195" t="s">
        <v>683</v>
      </c>
      <c r="F58" s="195" t="s">
        <v>670</v>
      </c>
      <c r="G58" s="41" t="s">
        <v>829</v>
      </c>
      <c r="H58" s="46"/>
      <c r="I58" s="79"/>
      <c r="K58" s="208"/>
    </row>
    <row r="59" spans="1:11" ht="13" thickBot="1" x14ac:dyDescent="0.3">
      <c r="A59" s="196" t="s">
        <v>854</v>
      </c>
      <c r="B59" s="197">
        <v>28.5</v>
      </c>
      <c r="C59" s="197">
        <v>0.65</v>
      </c>
      <c r="D59" s="197" t="s">
        <v>1229</v>
      </c>
      <c r="E59" s="197">
        <v>3</v>
      </c>
      <c r="F59" s="197" t="s">
        <v>855</v>
      </c>
      <c r="G59" s="197">
        <v>-2.5</v>
      </c>
      <c r="H59" s="91"/>
      <c r="I59" s="92"/>
      <c r="K59" s="208">
        <v>57</v>
      </c>
    </row>
    <row r="60" spans="1:11" ht="13" thickBot="1" x14ac:dyDescent="0.3">
      <c r="H60"/>
      <c r="I60"/>
      <c r="K60" s="208"/>
    </row>
    <row r="61" spans="1:11" ht="13" x14ac:dyDescent="0.3">
      <c r="A61" s="192" t="s">
        <v>691</v>
      </c>
      <c r="B61" s="193"/>
      <c r="C61" s="193"/>
      <c r="D61" s="193"/>
      <c r="E61" s="193"/>
      <c r="F61" s="193"/>
      <c r="G61" s="101"/>
      <c r="H61" s="102"/>
      <c r="I61" s="210"/>
      <c r="K61" s="208"/>
    </row>
    <row r="62" spans="1:11" ht="13" x14ac:dyDescent="0.3">
      <c r="A62" s="194" t="s">
        <v>667</v>
      </c>
      <c r="B62" s="195" t="s">
        <v>668</v>
      </c>
      <c r="C62" s="195" t="s">
        <v>669</v>
      </c>
      <c r="D62" s="195" t="s">
        <v>693</v>
      </c>
      <c r="E62" s="195" t="s">
        <v>683</v>
      </c>
      <c r="F62" s="195" t="s">
        <v>670</v>
      </c>
      <c r="G62" s="41" t="s">
        <v>829</v>
      </c>
      <c r="H62" s="46"/>
      <c r="I62" s="79"/>
      <c r="K62" s="208"/>
    </row>
    <row r="63" spans="1:11" ht="13" thickBot="1" x14ac:dyDescent="0.3">
      <c r="A63" s="196" t="s">
        <v>856</v>
      </c>
      <c r="B63" s="197">
        <v>28.5</v>
      </c>
      <c r="C63" s="197">
        <v>0.65</v>
      </c>
      <c r="D63" s="197" t="s">
        <v>1230</v>
      </c>
      <c r="E63" s="197">
        <v>3</v>
      </c>
      <c r="F63" s="197" t="s">
        <v>857</v>
      </c>
      <c r="G63" s="197">
        <v>-3.5</v>
      </c>
      <c r="H63" s="91"/>
      <c r="I63" s="92"/>
      <c r="K63" s="208">
        <v>61</v>
      </c>
    </row>
    <row r="64" spans="1:11" ht="13" thickBot="1" x14ac:dyDescent="0.3">
      <c r="H64"/>
      <c r="I64"/>
      <c r="K64" s="208"/>
    </row>
    <row r="65" spans="1:11" ht="13" x14ac:dyDescent="0.3">
      <c r="A65" s="192" t="s">
        <v>691</v>
      </c>
      <c r="B65" s="193"/>
      <c r="C65" s="193"/>
      <c r="D65" s="193"/>
      <c r="E65" s="193"/>
      <c r="F65" s="193"/>
      <c r="G65" s="101"/>
      <c r="H65" s="102"/>
      <c r="I65" s="210"/>
      <c r="K65" s="208"/>
    </row>
    <row r="66" spans="1:11" ht="13" x14ac:dyDescent="0.3">
      <c r="A66" s="194" t="s">
        <v>667</v>
      </c>
      <c r="B66" s="195" t="s">
        <v>668</v>
      </c>
      <c r="C66" s="195" t="s">
        <v>669</v>
      </c>
      <c r="D66" s="195" t="s">
        <v>693</v>
      </c>
      <c r="E66" s="195" t="s">
        <v>683</v>
      </c>
      <c r="F66" s="195" t="s">
        <v>670</v>
      </c>
      <c r="G66" s="41" t="s">
        <v>829</v>
      </c>
      <c r="H66" s="46"/>
      <c r="I66" s="79"/>
      <c r="K66" s="208"/>
    </row>
    <row r="67" spans="1:11" ht="13" thickBot="1" x14ac:dyDescent="0.3">
      <c r="A67" s="196" t="s">
        <v>858</v>
      </c>
      <c r="B67" s="197">
        <v>28.5</v>
      </c>
      <c r="C67" s="197">
        <v>0.65</v>
      </c>
      <c r="D67" s="197" t="s">
        <v>1231</v>
      </c>
      <c r="E67" s="197">
        <v>3</v>
      </c>
      <c r="F67" s="197" t="s">
        <v>859</v>
      </c>
      <c r="G67" s="197">
        <v>-4.5</v>
      </c>
      <c r="H67" s="91"/>
      <c r="I67" s="92"/>
      <c r="K67" s="208">
        <v>65</v>
      </c>
    </row>
    <row r="68" spans="1:11" ht="13" thickBot="1" x14ac:dyDescent="0.3">
      <c r="H68"/>
      <c r="I68"/>
      <c r="K68" s="208"/>
    </row>
    <row r="69" spans="1:11" ht="13" x14ac:dyDescent="0.3">
      <c r="A69" s="192" t="s">
        <v>691</v>
      </c>
      <c r="B69" s="193"/>
      <c r="C69" s="193"/>
      <c r="D69" s="193"/>
      <c r="E69" s="193"/>
      <c r="F69" s="193"/>
      <c r="G69" s="101"/>
      <c r="H69" s="102"/>
      <c r="I69" s="210"/>
      <c r="K69" s="208"/>
    </row>
    <row r="70" spans="1:11" ht="13" x14ac:dyDescent="0.3">
      <c r="A70" s="194" t="s">
        <v>667</v>
      </c>
      <c r="B70" s="195" t="s">
        <v>668</v>
      </c>
      <c r="C70" s="195" t="s">
        <v>669</v>
      </c>
      <c r="D70" s="195" t="s">
        <v>693</v>
      </c>
      <c r="E70" s="195" t="s">
        <v>683</v>
      </c>
      <c r="F70" s="195" t="s">
        <v>670</v>
      </c>
      <c r="G70" s="41" t="s">
        <v>829</v>
      </c>
      <c r="H70" s="46"/>
      <c r="I70" s="79"/>
      <c r="K70" s="208"/>
    </row>
    <row r="71" spans="1:11" ht="13" thickBot="1" x14ac:dyDescent="0.3">
      <c r="A71" s="196" t="s">
        <v>860</v>
      </c>
      <c r="B71" s="197">
        <v>28.5</v>
      </c>
      <c r="C71" s="197">
        <v>0.65</v>
      </c>
      <c r="D71" s="197" t="s">
        <v>1232</v>
      </c>
      <c r="E71" s="197">
        <v>3</v>
      </c>
      <c r="F71" s="197" t="s">
        <v>861</v>
      </c>
      <c r="G71" s="197">
        <v>-5.5</v>
      </c>
      <c r="H71" s="91"/>
      <c r="I71" s="92"/>
      <c r="K71" s="208">
        <v>69</v>
      </c>
    </row>
    <row r="72" spans="1:11" ht="13" thickBot="1" x14ac:dyDescent="0.3">
      <c r="H72"/>
      <c r="I72"/>
      <c r="K72" s="208"/>
    </row>
    <row r="73" spans="1:11" ht="13" x14ac:dyDescent="0.3">
      <c r="A73" s="192" t="s">
        <v>691</v>
      </c>
      <c r="B73" s="193"/>
      <c r="C73" s="193"/>
      <c r="D73" s="193"/>
      <c r="E73" s="193"/>
      <c r="F73" s="193"/>
      <c r="G73" s="101"/>
      <c r="H73" s="102"/>
      <c r="I73" s="210"/>
      <c r="K73" s="208"/>
    </row>
    <row r="74" spans="1:11" ht="13" x14ac:dyDescent="0.3">
      <c r="A74" s="194" t="s">
        <v>667</v>
      </c>
      <c r="B74" s="195" t="s">
        <v>668</v>
      </c>
      <c r="C74" s="195" t="s">
        <v>669</v>
      </c>
      <c r="D74" s="195" t="s">
        <v>693</v>
      </c>
      <c r="E74" s="195" t="s">
        <v>683</v>
      </c>
      <c r="F74" s="195" t="s">
        <v>670</v>
      </c>
      <c r="G74" s="41" t="s">
        <v>829</v>
      </c>
      <c r="H74" s="46"/>
      <c r="I74" s="79"/>
      <c r="K74" s="208"/>
    </row>
    <row r="75" spans="1:11" ht="13" thickBot="1" x14ac:dyDescent="0.3">
      <c r="A75" s="196" t="s">
        <v>862</v>
      </c>
      <c r="B75" s="197">
        <v>28.5</v>
      </c>
      <c r="C75" s="197">
        <v>0.65</v>
      </c>
      <c r="D75" s="197" t="s">
        <v>1233</v>
      </c>
      <c r="E75" s="197">
        <v>3</v>
      </c>
      <c r="F75" s="197" t="s">
        <v>863</v>
      </c>
      <c r="G75" s="197">
        <v>-6.5</v>
      </c>
      <c r="H75" s="91"/>
      <c r="I75" s="92"/>
      <c r="K75" s="208">
        <v>73</v>
      </c>
    </row>
    <row r="76" spans="1:11" ht="13" thickBot="1" x14ac:dyDescent="0.3">
      <c r="H76"/>
      <c r="I76"/>
      <c r="K76" s="208"/>
    </row>
    <row r="77" spans="1:11" ht="13" x14ac:dyDescent="0.3">
      <c r="A77" s="192" t="s">
        <v>691</v>
      </c>
      <c r="B77" s="193"/>
      <c r="C77" s="193"/>
      <c r="D77" s="193"/>
      <c r="E77" s="193"/>
      <c r="F77" s="193"/>
      <c r="G77" s="101"/>
      <c r="H77" s="102"/>
      <c r="I77" s="210"/>
      <c r="K77" s="208"/>
    </row>
    <row r="78" spans="1:11" ht="13" x14ac:dyDescent="0.3">
      <c r="A78" s="194" t="s">
        <v>667</v>
      </c>
      <c r="B78" s="195" t="s">
        <v>668</v>
      </c>
      <c r="C78" s="195" t="s">
        <v>669</v>
      </c>
      <c r="D78" s="195" t="s">
        <v>693</v>
      </c>
      <c r="E78" s="195" t="s">
        <v>683</v>
      </c>
      <c r="F78" s="195" t="s">
        <v>670</v>
      </c>
      <c r="G78" s="41" t="s">
        <v>829</v>
      </c>
      <c r="H78" s="46"/>
      <c r="I78" s="79"/>
      <c r="K78" s="208"/>
    </row>
    <row r="79" spans="1:11" ht="13" thickBot="1" x14ac:dyDescent="0.3">
      <c r="A79" s="196" t="s">
        <v>864</v>
      </c>
      <c r="B79" s="197">
        <v>28.5</v>
      </c>
      <c r="C79" s="197">
        <v>0.65</v>
      </c>
      <c r="D79" s="197" t="s">
        <v>1234</v>
      </c>
      <c r="E79" s="197">
        <v>3</v>
      </c>
      <c r="F79" s="197" t="s">
        <v>865</v>
      </c>
      <c r="G79" s="197">
        <v>-7.5</v>
      </c>
      <c r="H79" s="91"/>
      <c r="I79" s="92"/>
      <c r="K79" s="208">
        <v>77</v>
      </c>
    </row>
    <row r="80" spans="1:11" ht="13" thickBot="1" x14ac:dyDescent="0.3">
      <c r="H80"/>
      <c r="I80"/>
      <c r="K80" s="208"/>
    </row>
    <row r="81" spans="1:11" ht="13" x14ac:dyDescent="0.3">
      <c r="A81" s="192" t="s">
        <v>691</v>
      </c>
      <c r="B81" s="193"/>
      <c r="C81" s="193"/>
      <c r="D81" s="193"/>
      <c r="E81" s="193"/>
      <c r="F81" s="193"/>
      <c r="G81" s="101"/>
      <c r="H81" s="102"/>
      <c r="I81" s="210"/>
      <c r="K81" s="208"/>
    </row>
    <row r="82" spans="1:11" ht="13" x14ac:dyDescent="0.3">
      <c r="A82" s="194" t="s">
        <v>667</v>
      </c>
      <c r="B82" s="195" t="s">
        <v>668</v>
      </c>
      <c r="C82" s="195" t="s">
        <v>669</v>
      </c>
      <c r="D82" s="195" t="s">
        <v>693</v>
      </c>
      <c r="E82" s="195" t="s">
        <v>683</v>
      </c>
      <c r="F82" s="195" t="s">
        <v>670</v>
      </c>
      <c r="G82" s="41" t="s">
        <v>829</v>
      </c>
      <c r="H82" s="46"/>
      <c r="I82" s="79"/>
      <c r="K82" s="208"/>
    </row>
    <row r="83" spans="1:11" ht="13" thickBot="1" x14ac:dyDescent="0.3">
      <c r="A83" s="196" t="s">
        <v>866</v>
      </c>
      <c r="B83" s="197">
        <v>28.5</v>
      </c>
      <c r="C83" s="197">
        <v>0.65</v>
      </c>
      <c r="D83" s="197" t="s">
        <v>1235</v>
      </c>
      <c r="E83" s="197">
        <v>3</v>
      </c>
      <c r="F83" s="197" t="s">
        <v>867</v>
      </c>
      <c r="G83" s="197">
        <v>-8.5</v>
      </c>
      <c r="H83" s="91"/>
      <c r="I83" s="92"/>
      <c r="K83" s="208">
        <v>81</v>
      </c>
    </row>
    <row r="84" spans="1:11" ht="13" thickBot="1" x14ac:dyDescent="0.3">
      <c r="H84"/>
      <c r="I84"/>
      <c r="K84" s="208"/>
    </row>
    <row r="85" spans="1:11" ht="13" x14ac:dyDescent="0.3">
      <c r="A85" s="192" t="s">
        <v>691</v>
      </c>
      <c r="B85" s="193"/>
      <c r="C85" s="193"/>
      <c r="D85" s="193"/>
      <c r="E85" s="193"/>
      <c r="F85" s="193"/>
      <c r="G85" s="101"/>
      <c r="H85" s="102"/>
      <c r="I85" s="210"/>
      <c r="K85" s="208"/>
    </row>
    <row r="86" spans="1:11" ht="13" x14ac:dyDescent="0.3">
      <c r="A86" s="194" t="s">
        <v>667</v>
      </c>
      <c r="B86" s="195" t="s">
        <v>668</v>
      </c>
      <c r="C86" s="195" t="s">
        <v>669</v>
      </c>
      <c r="D86" s="195" t="s">
        <v>693</v>
      </c>
      <c r="E86" s="195" t="s">
        <v>683</v>
      </c>
      <c r="F86" s="195" t="s">
        <v>670</v>
      </c>
      <c r="G86" s="41" t="s">
        <v>829</v>
      </c>
      <c r="H86" s="46"/>
      <c r="I86" s="79"/>
      <c r="K86" s="208"/>
    </row>
    <row r="87" spans="1:11" ht="13" thickBot="1" x14ac:dyDescent="0.3">
      <c r="A87" s="196" t="s">
        <v>868</v>
      </c>
      <c r="B87" s="197">
        <v>28.5</v>
      </c>
      <c r="C87" s="197">
        <v>0.65</v>
      </c>
      <c r="D87" s="197" t="s">
        <v>1236</v>
      </c>
      <c r="E87" s="197">
        <v>3</v>
      </c>
      <c r="F87" s="197" t="s">
        <v>869</v>
      </c>
      <c r="G87" s="197">
        <v>-9.5</v>
      </c>
      <c r="H87" s="91"/>
      <c r="I87" s="92"/>
      <c r="K87" s="208">
        <v>85</v>
      </c>
    </row>
    <row r="88" spans="1:11" ht="13" thickBot="1" x14ac:dyDescent="0.3">
      <c r="H88"/>
      <c r="I88"/>
      <c r="K88" s="208"/>
    </row>
    <row r="89" spans="1:11" ht="13" x14ac:dyDescent="0.3">
      <c r="A89" s="192" t="s">
        <v>691</v>
      </c>
      <c r="B89" s="193"/>
      <c r="C89" s="193"/>
      <c r="D89" s="193"/>
      <c r="E89" s="193"/>
      <c r="F89" s="193"/>
      <c r="G89" s="101"/>
      <c r="H89" s="102"/>
      <c r="I89" s="210"/>
      <c r="K89" s="208"/>
    </row>
    <row r="90" spans="1:11" ht="13" x14ac:dyDescent="0.3">
      <c r="A90" s="194" t="s">
        <v>667</v>
      </c>
      <c r="B90" s="195" t="s">
        <v>668</v>
      </c>
      <c r="C90" s="195" t="s">
        <v>669</v>
      </c>
      <c r="D90" s="195" t="s">
        <v>693</v>
      </c>
      <c r="E90" s="195" t="s">
        <v>683</v>
      </c>
      <c r="F90" s="195" t="s">
        <v>670</v>
      </c>
      <c r="G90" s="41" t="s">
        <v>829</v>
      </c>
      <c r="H90" s="46"/>
      <c r="I90" s="79"/>
      <c r="K90" s="208"/>
    </row>
    <row r="91" spans="1:11" ht="13" thickBot="1" x14ac:dyDescent="0.3">
      <c r="A91" s="196" t="s">
        <v>870</v>
      </c>
      <c r="B91" s="197">
        <v>28.5</v>
      </c>
      <c r="C91" s="197">
        <v>0.65</v>
      </c>
      <c r="D91" s="197" t="s">
        <v>1237</v>
      </c>
      <c r="E91" s="197">
        <v>3</v>
      </c>
      <c r="F91" s="197" t="s">
        <v>871</v>
      </c>
      <c r="G91" s="197">
        <v>-10.5</v>
      </c>
      <c r="H91" s="91"/>
      <c r="I91" s="92"/>
      <c r="K91" s="208">
        <v>89</v>
      </c>
    </row>
    <row r="92" spans="1:11" ht="13" thickBot="1" x14ac:dyDescent="0.3">
      <c r="H92"/>
      <c r="I92"/>
      <c r="K92" s="208"/>
    </row>
    <row r="93" spans="1:11" ht="13" x14ac:dyDescent="0.3">
      <c r="A93" s="192" t="s">
        <v>691</v>
      </c>
      <c r="B93" s="193"/>
      <c r="C93" s="193"/>
      <c r="D93" s="193"/>
      <c r="E93" s="193"/>
      <c r="F93" s="193"/>
      <c r="G93" s="101"/>
      <c r="H93" s="102"/>
      <c r="I93" s="210"/>
      <c r="K93" s="208"/>
    </row>
    <row r="94" spans="1:11" ht="13" x14ac:dyDescent="0.3">
      <c r="A94" s="194" t="s">
        <v>667</v>
      </c>
      <c r="B94" s="195" t="s">
        <v>668</v>
      </c>
      <c r="C94" s="195" t="s">
        <v>669</v>
      </c>
      <c r="D94" s="195" t="s">
        <v>693</v>
      </c>
      <c r="E94" s="195" t="s">
        <v>683</v>
      </c>
      <c r="F94" s="195" t="s">
        <v>670</v>
      </c>
      <c r="G94" s="41" t="s">
        <v>829</v>
      </c>
      <c r="H94" s="46"/>
      <c r="I94" s="79"/>
      <c r="K94" s="208"/>
    </row>
    <row r="95" spans="1:11" ht="13" thickBot="1" x14ac:dyDescent="0.3">
      <c r="A95" s="196" t="s">
        <v>872</v>
      </c>
      <c r="B95" s="197">
        <v>29.5</v>
      </c>
      <c r="C95" s="197">
        <v>0.65</v>
      </c>
      <c r="D95" s="197" t="s">
        <v>1238</v>
      </c>
      <c r="E95" s="197">
        <v>3</v>
      </c>
      <c r="F95" s="197" t="s">
        <v>873</v>
      </c>
      <c r="G95" s="197">
        <v>-1.5</v>
      </c>
      <c r="H95" s="91"/>
      <c r="I95" s="92"/>
      <c r="K95" s="208">
        <v>93</v>
      </c>
    </row>
    <row r="96" spans="1:11" ht="13" thickBot="1" x14ac:dyDescent="0.3">
      <c r="H96"/>
      <c r="I96"/>
      <c r="K96" s="208"/>
    </row>
    <row r="97" spans="1:11" ht="13" x14ac:dyDescent="0.3">
      <c r="A97" s="192" t="s">
        <v>691</v>
      </c>
      <c r="B97" s="193"/>
      <c r="C97" s="193"/>
      <c r="D97" s="193"/>
      <c r="E97" s="193"/>
      <c r="F97" s="193"/>
      <c r="G97" s="101"/>
      <c r="H97" s="102"/>
      <c r="I97" s="210"/>
      <c r="K97" s="208"/>
    </row>
    <row r="98" spans="1:11" ht="13" x14ac:dyDescent="0.3">
      <c r="A98" s="194" t="s">
        <v>667</v>
      </c>
      <c r="B98" s="195" t="s">
        <v>668</v>
      </c>
      <c r="C98" s="195" t="s">
        <v>669</v>
      </c>
      <c r="D98" s="195" t="s">
        <v>693</v>
      </c>
      <c r="E98" s="195" t="s">
        <v>683</v>
      </c>
      <c r="F98" s="195" t="s">
        <v>670</v>
      </c>
      <c r="G98" s="41" t="s">
        <v>829</v>
      </c>
      <c r="H98" s="46"/>
      <c r="I98" s="79"/>
      <c r="K98" s="208"/>
    </row>
    <row r="99" spans="1:11" ht="13" thickBot="1" x14ac:dyDescent="0.3">
      <c r="A99" s="196" t="s">
        <v>874</v>
      </c>
      <c r="B99" s="197">
        <v>29.5</v>
      </c>
      <c r="C99" s="197">
        <v>0.65</v>
      </c>
      <c r="D99" s="197" t="s">
        <v>1239</v>
      </c>
      <c r="E99" s="197">
        <v>3</v>
      </c>
      <c r="F99" s="197" t="s">
        <v>875</v>
      </c>
      <c r="G99" s="197">
        <v>-2.5</v>
      </c>
      <c r="H99" s="91"/>
      <c r="I99" s="92"/>
      <c r="K99" s="208">
        <v>97</v>
      </c>
    </row>
    <row r="100" spans="1:11" ht="13" thickBot="1" x14ac:dyDescent="0.3">
      <c r="H100"/>
      <c r="I100"/>
      <c r="K100" s="208"/>
    </row>
    <row r="101" spans="1:11" ht="13" x14ac:dyDescent="0.3">
      <c r="A101" s="192" t="s">
        <v>691</v>
      </c>
      <c r="B101" s="193"/>
      <c r="C101" s="193"/>
      <c r="D101" s="193"/>
      <c r="E101" s="193"/>
      <c r="F101" s="193"/>
      <c r="G101" s="101"/>
      <c r="H101" s="102"/>
      <c r="I101" s="210"/>
      <c r="K101" s="208"/>
    </row>
    <row r="102" spans="1:11" ht="13" x14ac:dyDescent="0.3">
      <c r="A102" s="194" t="s">
        <v>667</v>
      </c>
      <c r="B102" s="195" t="s">
        <v>668</v>
      </c>
      <c r="C102" s="195" t="s">
        <v>669</v>
      </c>
      <c r="D102" s="195" t="s">
        <v>693</v>
      </c>
      <c r="E102" s="195" t="s">
        <v>683</v>
      </c>
      <c r="F102" s="195" t="s">
        <v>670</v>
      </c>
      <c r="G102" s="41" t="s">
        <v>829</v>
      </c>
      <c r="H102" s="46"/>
      <c r="I102" s="79"/>
      <c r="K102" s="208"/>
    </row>
    <row r="103" spans="1:11" ht="13" thickBot="1" x14ac:dyDescent="0.3">
      <c r="A103" s="196" t="s">
        <v>876</v>
      </c>
      <c r="B103" s="197">
        <v>29.5</v>
      </c>
      <c r="C103" s="197">
        <v>0.65</v>
      </c>
      <c r="D103" s="197" t="s">
        <v>1240</v>
      </c>
      <c r="E103" s="197">
        <v>3</v>
      </c>
      <c r="F103" s="197" t="s">
        <v>877</v>
      </c>
      <c r="G103" s="197">
        <v>-3.5</v>
      </c>
      <c r="H103" s="91"/>
      <c r="I103" s="92"/>
      <c r="K103" s="208">
        <v>101</v>
      </c>
    </row>
    <row r="104" spans="1:11" ht="13" thickBot="1" x14ac:dyDescent="0.3">
      <c r="H104"/>
      <c r="I104"/>
      <c r="K104" s="208"/>
    </row>
    <row r="105" spans="1:11" ht="13" x14ac:dyDescent="0.3">
      <c r="A105" s="192" t="s">
        <v>691</v>
      </c>
      <c r="B105" s="193"/>
      <c r="C105" s="193"/>
      <c r="D105" s="193"/>
      <c r="E105" s="193"/>
      <c r="F105" s="193"/>
      <c r="G105" s="101"/>
      <c r="H105" s="102"/>
      <c r="I105" s="210"/>
      <c r="K105" s="208"/>
    </row>
    <row r="106" spans="1:11" ht="13" x14ac:dyDescent="0.3">
      <c r="A106" s="194" t="s">
        <v>667</v>
      </c>
      <c r="B106" s="195" t="s">
        <v>668</v>
      </c>
      <c r="C106" s="195" t="s">
        <v>669</v>
      </c>
      <c r="D106" s="195" t="s">
        <v>693</v>
      </c>
      <c r="E106" s="195" t="s">
        <v>683</v>
      </c>
      <c r="F106" s="195" t="s">
        <v>670</v>
      </c>
      <c r="G106" s="41" t="s">
        <v>829</v>
      </c>
      <c r="H106" s="46"/>
      <c r="I106" s="79"/>
      <c r="K106" s="208"/>
    </row>
    <row r="107" spans="1:11" ht="13" thickBot="1" x14ac:dyDescent="0.3">
      <c r="A107" s="196" t="s">
        <v>878</v>
      </c>
      <c r="B107" s="197">
        <v>29.5</v>
      </c>
      <c r="C107" s="197">
        <v>0.65</v>
      </c>
      <c r="D107" s="197" t="s">
        <v>1241</v>
      </c>
      <c r="E107" s="197">
        <v>3</v>
      </c>
      <c r="F107" s="197" t="s">
        <v>879</v>
      </c>
      <c r="G107" s="197">
        <v>-4.5</v>
      </c>
      <c r="H107" s="91"/>
      <c r="I107" s="92"/>
      <c r="K107" s="208">
        <v>105</v>
      </c>
    </row>
    <row r="108" spans="1:11" ht="13" thickBot="1" x14ac:dyDescent="0.3">
      <c r="H108"/>
      <c r="I108"/>
      <c r="K108" s="208"/>
    </row>
    <row r="109" spans="1:11" ht="13" x14ac:dyDescent="0.3">
      <c r="A109" s="192" t="s">
        <v>691</v>
      </c>
      <c r="B109" s="193"/>
      <c r="C109" s="193"/>
      <c r="D109" s="193"/>
      <c r="E109" s="193"/>
      <c r="F109" s="193"/>
      <c r="G109" s="101"/>
      <c r="H109" s="102"/>
      <c r="I109" s="210"/>
      <c r="K109" s="208"/>
    </row>
    <row r="110" spans="1:11" ht="13" x14ac:dyDescent="0.3">
      <c r="A110" s="194" t="s">
        <v>667</v>
      </c>
      <c r="B110" s="195" t="s">
        <v>668</v>
      </c>
      <c r="C110" s="195" t="s">
        <v>669</v>
      </c>
      <c r="D110" s="195" t="s">
        <v>693</v>
      </c>
      <c r="E110" s="195" t="s">
        <v>683</v>
      </c>
      <c r="F110" s="195" t="s">
        <v>670</v>
      </c>
      <c r="G110" s="41" t="s">
        <v>829</v>
      </c>
      <c r="H110" s="46"/>
      <c r="I110" s="79"/>
      <c r="K110" s="208"/>
    </row>
    <row r="111" spans="1:11" ht="13" thickBot="1" x14ac:dyDescent="0.3">
      <c r="A111" s="196" t="s">
        <v>880</v>
      </c>
      <c r="B111" s="197">
        <v>29.5</v>
      </c>
      <c r="C111" s="197">
        <v>0.65</v>
      </c>
      <c r="D111" s="197" t="s">
        <v>1242</v>
      </c>
      <c r="E111" s="197">
        <v>3</v>
      </c>
      <c r="F111" s="197" t="s">
        <v>881</v>
      </c>
      <c r="G111" s="197">
        <v>-5.5</v>
      </c>
      <c r="H111" s="91"/>
      <c r="I111" s="92"/>
      <c r="K111" s="208">
        <v>109</v>
      </c>
    </row>
    <row r="112" spans="1:11" ht="13" thickBot="1" x14ac:dyDescent="0.3">
      <c r="H112"/>
      <c r="I112"/>
      <c r="K112" s="208"/>
    </row>
    <row r="113" spans="1:11" ht="13" x14ac:dyDescent="0.3">
      <c r="A113" s="192" t="s">
        <v>691</v>
      </c>
      <c r="B113" s="193"/>
      <c r="C113" s="193"/>
      <c r="D113" s="193"/>
      <c r="E113" s="193"/>
      <c r="F113" s="193"/>
      <c r="G113" s="101"/>
      <c r="H113" s="102"/>
      <c r="I113" s="210"/>
      <c r="K113" s="208"/>
    </row>
    <row r="114" spans="1:11" ht="13" x14ac:dyDescent="0.3">
      <c r="A114" s="194" t="s">
        <v>667</v>
      </c>
      <c r="B114" s="195" t="s">
        <v>668</v>
      </c>
      <c r="C114" s="195" t="s">
        <v>669</v>
      </c>
      <c r="D114" s="195" t="s">
        <v>693</v>
      </c>
      <c r="E114" s="195" t="s">
        <v>683</v>
      </c>
      <c r="F114" s="195" t="s">
        <v>670</v>
      </c>
      <c r="G114" s="41" t="s">
        <v>829</v>
      </c>
      <c r="H114" s="46"/>
      <c r="I114" s="79"/>
      <c r="K114" s="208"/>
    </row>
    <row r="115" spans="1:11" ht="13" thickBot="1" x14ac:dyDescent="0.3">
      <c r="A115" s="196" t="s">
        <v>882</v>
      </c>
      <c r="B115" s="197">
        <v>29.5</v>
      </c>
      <c r="C115" s="197">
        <v>0.65</v>
      </c>
      <c r="D115" s="197" t="s">
        <v>1243</v>
      </c>
      <c r="E115" s="197">
        <v>3</v>
      </c>
      <c r="F115" s="197" t="s">
        <v>883</v>
      </c>
      <c r="G115" s="197">
        <v>-6.5</v>
      </c>
      <c r="H115" s="91"/>
      <c r="I115" s="92"/>
      <c r="K115" s="208">
        <v>113</v>
      </c>
    </row>
    <row r="116" spans="1:11" ht="13" thickBot="1" x14ac:dyDescent="0.3">
      <c r="H116"/>
      <c r="I116"/>
      <c r="K116" s="208"/>
    </row>
    <row r="117" spans="1:11" ht="13" x14ac:dyDescent="0.3">
      <c r="A117" s="192" t="s">
        <v>691</v>
      </c>
      <c r="B117" s="193"/>
      <c r="C117" s="193"/>
      <c r="D117" s="193"/>
      <c r="E117" s="193"/>
      <c r="F117" s="193"/>
      <c r="G117" s="101"/>
      <c r="H117" s="102"/>
      <c r="I117" s="210"/>
      <c r="K117" s="208"/>
    </row>
    <row r="118" spans="1:11" ht="13" x14ac:dyDescent="0.3">
      <c r="A118" s="194" t="s">
        <v>667</v>
      </c>
      <c r="B118" s="195" t="s">
        <v>668</v>
      </c>
      <c r="C118" s="195" t="s">
        <v>669</v>
      </c>
      <c r="D118" s="195" t="s">
        <v>693</v>
      </c>
      <c r="E118" s="195" t="s">
        <v>683</v>
      </c>
      <c r="F118" s="195" t="s">
        <v>670</v>
      </c>
      <c r="G118" s="41" t="s">
        <v>829</v>
      </c>
      <c r="H118" s="46"/>
      <c r="I118" s="79"/>
      <c r="K118" s="208"/>
    </row>
    <row r="119" spans="1:11" ht="13" thickBot="1" x14ac:dyDescent="0.3">
      <c r="A119" s="196" t="s">
        <v>884</v>
      </c>
      <c r="B119" s="197">
        <v>29.5</v>
      </c>
      <c r="C119" s="197">
        <v>0.65</v>
      </c>
      <c r="D119" s="197" t="s">
        <v>1244</v>
      </c>
      <c r="E119" s="197">
        <v>3</v>
      </c>
      <c r="F119" s="197" t="s">
        <v>885</v>
      </c>
      <c r="G119" s="197">
        <v>-7.5</v>
      </c>
      <c r="H119" s="91"/>
      <c r="I119" s="92"/>
      <c r="K119" s="208">
        <v>117</v>
      </c>
    </row>
    <row r="120" spans="1:11" ht="13" thickBot="1" x14ac:dyDescent="0.3">
      <c r="H120"/>
      <c r="I120"/>
      <c r="K120" s="208"/>
    </row>
    <row r="121" spans="1:11" ht="13" x14ac:dyDescent="0.3">
      <c r="A121" s="192" t="s">
        <v>691</v>
      </c>
      <c r="B121" s="193"/>
      <c r="C121" s="193"/>
      <c r="D121" s="193"/>
      <c r="E121" s="193"/>
      <c r="F121" s="193"/>
      <c r="G121" s="101"/>
      <c r="H121" s="102"/>
      <c r="I121" s="210"/>
      <c r="K121" s="208"/>
    </row>
    <row r="122" spans="1:11" ht="13" x14ac:dyDescent="0.3">
      <c r="A122" s="194" t="s">
        <v>667</v>
      </c>
      <c r="B122" s="195" t="s">
        <v>668</v>
      </c>
      <c r="C122" s="195" t="s">
        <v>669</v>
      </c>
      <c r="D122" s="195" t="s">
        <v>693</v>
      </c>
      <c r="E122" s="195" t="s">
        <v>683</v>
      </c>
      <c r="F122" s="195" t="s">
        <v>670</v>
      </c>
      <c r="G122" s="41" t="s">
        <v>829</v>
      </c>
      <c r="H122" s="46"/>
      <c r="I122" s="79"/>
      <c r="K122" s="208"/>
    </row>
    <row r="123" spans="1:11" ht="13" thickBot="1" x14ac:dyDescent="0.3">
      <c r="A123" s="196" t="s">
        <v>886</v>
      </c>
      <c r="B123" s="197">
        <v>29.5</v>
      </c>
      <c r="C123" s="197">
        <v>0.65</v>
      </c>
      <c r="D123" s="197" t="s">
        <v>1245</v>
      </c>
      <c r="E123" s="197">
        <v>3</v>
      </c>
      <c r="F123" s="197" t="s">
        <v>887</v>
      </c>
      <c r="G123" s="197">
        <v>-8.5</v>
      </c>
      <c r="H123" s="91"/>
      <c r="I123" s="92"/>
      <c r="K123" s="208">
        <v>121</v>
      </c>
    </row>
    <row r="124" spans="1:11" ht="13" thickBot="1" x14ac:dyDescent="0.3">
      <c r="H124"/>
      <c r="I124"/>
      <c r="K124" s="208"/>
    </row>
    <row r="125" spans="1:11" ht="13" x14ac:dyDescent="0.3">
      <c r="A125" s="192" t="s">
        <v>691</v>
      </c>
      <c r="B125" s="193"/>
      <c r="C125" s="193"/>
      <c r="D125" s="193"/>
      <c r="E125" s="193"/>
      <c r="F125" s="193"/>
      <c r="G125" s="101"/>
      <c r="H125" s="102"/>
      <c r="I125" s="210"/>
      <c r="K125" s="208"/>
    </row>
    <row r="126" spans="1:11" ht="13" x14ac:dyDescent="0.3">
      <c r="A126" s="194" t="s">
        <v>667</v>
      </c>
      <c r="B126" s="195" t="s">
        <v>668</v>
      </c>
      <c r="C126" s="195" t="s">
        <v>669</v>
      </c>
      <c r="D126" s="195" t="s">
        <v>693</v>
      </c>
      <c r="E126" s="195" t="s">
        <v>683</v>
      </c>
      <c r="F126" s="195" t="s">
        <v>670</v>
      </c>
      <c r="G126" s="41" t="s">
        <v>829</v>
      </c>
      <c r="H126" s="46"/>
      <c r="I126" s="79"/>
      <c r="K126" s="208"/>
    </row>
    <row r="127" spans="1:11" ht="13" thickBot="1" x14ac:dyDescent="0.3">
      <c r="A127" s="196" t="s">
        <v>888</v>
      </c>
      <c r="B127" s="197">
        <v>29.5</v>
      </c>
      <c r="C127" s="197">
        <v>0.65</v>
      </c>
      <c r="D127" s="197" t="s">
        <v>1246</v>
      </c>
      <c r="E127" s="197">
        <v>3</v>
      </c>
      <c r="F127" s="197" t="s">
        <v>889</v>
      </c>
      <c r="G127" s="197">
        <v>-9.5</v>
      </c>
      <c r="H127" s="91"/>
      <c r="I127" s="92"/>
      <c r="K127" s="208">
        <v>125</v>
      </c>
    </row>
    <row r="128" spans="1:11" ht="13" thickBot="1" x14ac:dyDescent="0.3">
      <c r="H128"/>
      <c r="I128"/>
      <c r="K128" s="208"/>
    </row>
    <row r="129" spans="1:11" ht="13" x14ac:dyDescent="0.3">
      <c r="A129" s="192" t="s">
        <v>691</v>
      </c>
      <c r="B129" s="193"/>
      <c r="C129" s="193"/>
      <c r="D129" s="193"/>
      <c r="E129" s="193"/>
      <c r="F129" s="193"/>
      <c r="G129" s="101"/>
      <c r="H129" s="102"/>
      <c r="I129" s="210"/>
      <c r="K129" s="208"/>
    </row>
    <row r="130" spans="1:11" ht="13" x14ac:dyDescent="0.3">
      <c r="A130" s="194" t="s">
        <v>667</v>
      </c>
      <c r="B130" s="195" t="s">
        <v>668</v>
      </c>
      <c r="C130" s="195" t="s">
        <v>669</v>
      </c>
      <c r="D130" s="195" t="s">
        <v>693</v>
      </c>
      <c r="E130" s="195" t="s">
        <v>683</v>
      </c>
      <c r="F130" s="195" t="s">
        <v>670</v>
      </c>
      <c r="G130" s="41" t="s">
        <v>829</v>
      </c>
      <c r="H130" s="46"/>
      <c r="I130" s="79"/>
      <c r="K130" s="208"/>
    </row>
    <row r="131" spans="1:11" ht="13" thickBot="1" x14ac:dyDescent="0.3">
      <c r="A131" s="196" t="s">
        <v>890</v>
      </c>
      <c r="B131" s="197">
        <v>30.5</v>
      </c>
      <c r="C131" s="197">
        <v>0.65</v>
      </c>
      <c r="D131" s="197" t="s">
        <v>1247</v>
      </c>
      <c r="E131" s="197">
        <v>3</v>
      </c>
      <c r="F131" s="197" t="s">
        <v>891</v>
      </c>
      <c r="G131" s="197">
        <v>-1.5</v>
      </c>
      <c r="H131" s="91"/>
      <c r="I131" s="92"/>
      <c r="K131" s="208">
        <v>129</v>
      </c>
    </row>
    <row r="132" spans="1:11" ht="13" thickBot="1" x14ac:dyDescent="0.3">
      <c r="H132"/>
      <c r="I132"/>
      <c r="K132" s="208"/>
    </row>
    <row r="133" spans="1:11" ht="13" x14ac:dyDescent="0.3">
      <c r="A133" s="192" t="s">
        <v>691</v>
      </c>
      <c r="B133" s="193"/>
      <c r="C133" s="193"/>
      <c r="D133" s="193"/>
      <c r="E133" s="193"/>
      <c r="F133" s="193"/>
      <c r="G133" s="101"/>
      <c r="H133" s="102"/>
      <c r="I133" s="210"/>
      <c r="K133" s="208"/>
    </row>
    <row r="134" spans="1:11" ht="13" x14ac:dyDescent="0.3">
      <c r="A134" s="194" t="s">
        <v>667</v>
      </c>
      <c r="B134" s="195" t="s">
        <v>668</v>
      </c>
      <c r="C134" s="195" t="s">
        <v>669</v>
      </c>
      <c r="D134" s="195" t="s">
        <v>693</v>
      </c>
      <c r="E134" s="195" t="s">
        <v>683</v>
      </c>
      <c r="F134" s="195" t="s">
        <v>670</v>
      </c>
      <c r="G134" s="41" t="s">
        <v>829</v>
      </c>
      <c r="H134" s="46"/>
      <c r="I134" s="79"/>
      <c r="K134" s="208"/>
    </row>
    <row r="135" spans="1:11" ht="13" thickBot="1" x14ac:dyDescent="0.3">
      <c r="A135" s="196" t="s">
        <v>892</v>
      </c>
      <c r="B135" s="197">
        <v>30.5</v>
      </c>
      <c r="C135" s="197">
        <v>0.65</v>
      </c>
      <c r="D135" s="197" t="s">
        <v>1248</v>
      </c>
      <c r="E135" s="197">
        <v>3</v>
      </c>
      <c r="F135" s="197" t="s">
        <v>893</v>
      </c>
      <c r="G135" s="197">
        <v>-2.5</v>
      </c>
      <c r="H135" s="91"/>
      <c r="I135" s="92"/>
      <c r="K135" s="208">
        <v>133</v>
      </c>
    </row>
    <row r="136" spans="1:11" ht="13" thickBot="1" x14ac:dyDescent="0.3">
      <c r="H136"/>
      <c r="I136"/>
      <c r="K136" s="208"/>
    </row>
    <row r="137" spans="1:11" ht="13" x14ac:dyDescent="0.3">
      <c r="A137" s="192" t="s">
        <v>691</v>
      </c>
      <c r="B137" s="193"/>
      <c r="C137" s="193"/>
      <c r="D137" s="193"/>
      <c r="E137" s="193"/>
      <c r="F137" s="193"/>
      <c r="G137" s="101"/>
      <c r="H137" s="102"/>
      <c r="I137" s="210"/>
      <c r="K137" s="208"/>
    </row>
    <row r="138" spans="1:11" ht="13" x14ac:dyDescent="0.3">
      <c r="A138" s="194" t="s">
        <v>667</v>
      </c>
      <c r="B138" s="195" t="s">
        <v>668</v>
      </c>
      <c r="C138" s="195" t="s">
        <v>669</v>
      </c>
      <c r="D138" s="195" t="s">
        <v>693</v>
      </c>
      <c r="E138" s="195" t="s">
        <v>683</v>
      </c>
      <c r="F138" s="195" t="s">
        <v>670</v>
      </c>
      <c r="G138" s="41" t="s">
        <v>829</v>
      </c>
      <c r="H138" s="46"/>
      <c r="I138" s="79"/>
      <c r="K138" s="208"/>
    </row>
    <row r="139" spans="1:11" ht="13" thickBot="1" x14ac:dyDescent="0.3">
      <c r="A139" s="196" t="s">
        <v>894</v>
      </c>
      <c r="B139" s="197">
        <v>30.5</v>
      </c>
      <c r="C139" s="197">
        <v>0.65</v>
      </c>
      <c r="D139" s="197" t="s">
        <v>1249</v>
      </c>
      <c r="E139" s="197">
        <v>3</v>
      </c>
      <c r="F139" s="197" t="s">
        <v>895</v>
      </c>
      <c r="G139" s="197">
        <v>-3.5</v>
      </c>
      <c r="H139" s="91"/>
      <c r="I139" s="92"/>
      <c r="K139" s="208">
        <v>137</v>
      </c>
    </row>
    <row r="140" spans="1:11" x14ac:dyDescent="0.25">
      <c r="H140"/>
      <c r="I140"/>
      <c r="K140" s="208"/>
    </row>
    <row r="141" spans="1:11" x14ac:dyDescent="0.25">
      <c r="A141" s="3" t="s">
        <v>691</v>
      </c>
      <c r="K141" s="208"/>
    </row>
    <row r="142" spans="1:11" x14ac:dyDescent="0.25">
      <c r="A142" s="3" t="s">
        <v>667</v>
      </c>
      <c r="B142" s="3" t="s">
        <v>668</v>
      </c>
      <c r="C142" s="3" t="s">
        <v>669</v>
      </c>
      <c r="D142" s="3" t="s">
        <v>693</v>
      </c>
      <c r="E142" s="3" t="s">
        <v>683</v>
      </c>
      <c r="F142" s="3" t="s">
        <v>670</v>
      </c>
      <c r="G142" s="3" t="s">
        <v>829</v>
      </c>
      <c r="K142" s="208"/>
    </row>
    <row r="143" spans="1:11" x14ac:dyDescent="0.25">
      <c r="A143" s="3" t="s">
        <v>896</v>
      </c>
      <c r="B143" s="3">
        <v>30.5</v>
      </c>
      <c r="C143" s="3">
        <v>0.65</v>
      </c>
      <c r="D143" s="3" t="s">
        <v>1250</v>
      </c>
      <c r="E143" s="3">
        <v>3</v>
      </c>
      <c r="F143" s="3" t="s">
        <v>897</v>
      </c>
      <c r="G143" s="3">
        <v>-4.5</v>
      </c>
      <c r="K143" s="208">
        <v>141</v>
      </c>
    </row>
    <row r="144" spans="1:11" x14ac:dyDescent="0.25">
      <c r="K144" s="208"/>
    </row>
    <row r="145" spans="1:11" x14ac:dyDescent="0.25">
      <c r="A145" s="3" t="s">
        <v>691</v>
      </c>
      <c r="K145" s="208"/>
    </row>
    <row r="146" spans="1:11" x14ac:dyDescent="0.25">
      <c r="A146" s="3" t="s">
        <v>667</v>
      </c>
      <c r="B146" s="3" t="s">
        <v>668</v>
      </c>
      <c r="C146" s="3" t="s">
        <v>669</v>
      </c>
      <c r="D146" s="3" t="s">
        <v>693</v>
      </c>
      <c r="E146" s="3" t="s">
        <v>683</v>
      </c>
      <c r="F146" s="3" t="s">
        <v>670</v>
      </c>
      <c r="G146" s="3" t="s">
        <v>829</v>
      </c>
      <c r="K146" s="208"/>
    </row>
    <row r="147" spans="1:11" x14ac:dyDescent="0.25">
      <c r="A147" s="3" t="s">
        <v>898</v>
      </c>
      <c r="B147" s="3">
        <v>30.5</v>
      </c>
      <c r="C147" s="3">
        <v>0.65</v>
      </c>
      <c r="D147" s="3" t="s">
        <v>1251</v>
      </c>
      <c r="E147" s="3">
        <v>3</v>
      </c>
      <c r="F147" s="3" t="s">
        <v>899</v>
      </c>
      <c r="G147" s="3">
        <v>-5.5</v>
      </c>
      <c r="K147" s="208">
        <v>145</v>
      </c>
    </row>
    <row r="148" spans="1:11" x14ac:dyDescent="0.25">
      <c r="K148" s="208"/>
    </row>
    <row r="149" spans="1:11" x14ac:dyDescent="0.25">
      <c r="A149" s="3" t="s">
        <v>691</v>
      </c>
      <c r="K149" s="208"/>
    </row>
    <row r="150" spans="1:11" x14ac:dyDescent="0.25">
      <c r="A150" s="3" t="s">
        <v>667</v>
      </c>
      <c r="B150" s="3" t="s">
        <v>668</v>
      </c>
      <c r="C150" s="3" t="s">
        <v>669</v>
      </c>
      <c r="D150" s="3" t="s">
        <v>693</v>
      </c>
      <c r="E150" s="3" t="s">
        <v>683</v>
      </c>
      <c r="F150" s="3" t="s">
        <v>670</v>
      </c>
      <c r="G150" s="3" t="s">
        <v>829</v>
      </c>
      <c r="K150" s="208"/>
    </row>
    <row r="151" spans="1:11" x14ac:dyDescent="0.25">
      <c r="A151" s="3" t="s">
        <v>900</v>
      </c>
      <c r="B151" s="3">
        <v>30.5</v>
      </c>
      <c r="C151" s="3">
        <v>0.65</v>
      </c>
      <c r="D151" s="3" t="s">
        <v>1252</v>
      </c>
      <c r="E151" s="3">
        <v>3</v>
      </c>
      <c r="F151" s="3" t="s">
        <v>901</v>
      </c>
      <c r="G151" s="3">
        <v>-6.5</v>
      </c>
      <c r="K151" s="208">
        <v>149</v>
      </c>
    </row>
    <row r="152" spans="1:11" x14ac:dyDescent="0.25">
      <c r="K152" s="208"/>
    </row>
    <row r="153" spans="1:11" x14ac:dyDescent="0.25">
      <c r="A153" s="3" t="s">
        <v>691</v>
      </c>
      <c r="K153" s="208"/>
    </row>
    <row r="154" spans="1:11" x14ac:dyDescent="0.25">
      <c r="A154" s="3" t="s">
        <v>667</v>
      </c>
      <c r="B154" s="3" t="s">
        <v>668</v>
      </c>
      <c r="C154" s="3" t="s">
        <v>669</v>
      </c>
      <c r="D154" s="3" t="s">
        <v>693</v>
      </c>
      <c r="E154" s="3" t="s">
        <v>683</v>
      </c>
      <c r="F154" s="3" t="s">
        <v>670</v>
      </c>
      <c r="G154" s="3" t="s">
        <v>829</v>
      </c>
      <c r="K154" s="208"/>
    </row>
    <row r="155" spans="1:11" x14ac:dyDescent="0.25">
      <c r="A155" s="3" t="s">
        <v>902</v>
      </c>
      <c r="B155" s="3">
        <v>30.5</v>
      </c>
      <c r="C155" s="3">
        <v>0.65</v>
      </c>
      <c r="D155" s="3" t="s">
        <v>1253</v>
      </c>
      <c r="E155" s="3">
        <v>3</v>
      </c>
      <c r="F155" s="3" t="s">
        <v>903</v>
      </c>
      <c r="G155" s="3">
        <v>-7.5</v>
      </c>
      <c r="K155" s="208">
        <v>153</v>
      </c>
    </row>
    <row r="156" spans="1:11" x14ac:dyDescent="0.25">
      <c r="K156" s="208"/>
    </row>
    <row r="157" spans="1:11" x14ac:dyDescent="0.25">
      <c r="A157" s="3" t="s">
        <v>691</v>
      </c>
      <c r="K157" s="208"/>
    </row>
    <row r="158" spans="1:11" x14ac:dyDescent="0.25">
      <c r="A158" s="3" t="s">
        <v>667</v>
      </c>
      <c r="B158" s="3" t="s">
        <v>668</v>
      </c>
      <c r="C158" s="3" t="s">
        <v>669</v>
      </c>
      <c r="D158" s="3" t="s">
        <v>693</v>
      </c>
      <c r="E158" s="3" t="s">
        <v>683</v>
      </c>
      <c r="F158" s="3" t="s">
        <v>670</v>
      </c>
      <c r="G158" s="3" t="s">
        <v>829</v>
      </c>
      <c r="K158" s="208"/>
    </row>
    <row r="159" spans="1:11" x14ac:dyDescent="0.25">
      <c r="A159" s="3" t="s">
        <v>904</v>
      </c>
      <c r="B159" s="3">
        <v>30.5</v>
      </c>
      <c r="C159" s="3">
        <v>0.65</v>
      </c>
      <c r="D159" s="3" t="s">
        <v>1254</v>
      </c>
      <c r="E159" s="3">
        <v>3</v>
      </c>
      <c r="F159" s="3" t="s">
        <v>905</v>
      </c>
      <c r="G159" s="3">
        <v>-8.5</v>
      </c>
      <c r="K159" s="208">
        <v>157</v>
      </c>
    </row>
    <row r="160" spans="1:11" x14ac:dyDescent="0.25">
      <c r="K160" s="208"/>
    </row>
    <row r="161" spans="1:11" x14ac:dyDescent="0.25">
      <c r="A161" s="3" t="s">
        <v>691</v>
      </c>
      <c r="K161" s="208"/>
    </row>
    <row r="162" spans="1:11" x14ac:dyDescent="0.25">
      <c r="A162" s="3" t="s">
        <v>667</v>
      </c>
      <c r="B162" s="3" t="s">
        <v>668</v>
      </c>
      <c r="C162" s="3" t="s">
        <v>669</v>
      </c>
      <c r="D162" s="3" t="s">
        <v>693</v>
      </c>
      <c r="E162" s="3" t="s">
        <v>683</v>
      </c>
      <c r="F162" s="3" t="s">
        <v>670</v>
      </c>
      <c r="G162" s="3" t="s">
        <v>829</v>
      </c>
      <c r="K162" s="208"/>
    </row>
    <row r="163" spans="1:11" x14ac:dyDescent="0.25">
      <c r="A163" s="3" t="s">
        <v>906</v>
      </c>
      <c r="B163" s="3">
        <v>30.5</v>
      </c>
      <c r="C163" s="3">
        <v>0.65</v>
      </c>
      <c r="D163" s="3" t="s">
        <v>1255</v>
      </c>
      <c r="E163" s="3">
        <v>3</v>
      </c>
      <c r="F163" s="3" t="s">
        <v>907</v>
      </c>
      <c r="G163" s="3">
        <v>-9.5</v>
      </c>
      <c r="K163" s="208">
        <v>161</v>
      </c>
    </row>
    <row r="164" spans="1:11" x14ac:dyDescent="0.25">
      <c r="K164" s="208"/>
    </row>
    <row r="165" spans="1:11" x14ac:dyDescent="0.25">
      <c r="A165" s="3" t="s">
        <v>691</v>
      </c>
      <c r="K165" s="208"/>
    </row>
    <row r="166" spans="1:11" x14ac:dyDescent="0.25">
      <c r="A166" s="3" t="s">
        <v>667</v>
      </c>
      <c r="B166" s="3" t="s">
        <v>668</v>
      </c>
      <c r="C166" s="3" t="s">
        <v>669</v>
      </c>
      <c r="D166" s="3" t="s">
        <v>693</v>
      </c>
      <c r="E166" s="3" t="s">
        <v>683</v>
      </c>
      <c r="F166" s="3" t="s">
        <v>670</v>
      </c>
      <c r="G166" s="3" t="s">
        <v>829</v>
      </c>
      <c r="K166" s="208"/>
    </row>
    <row r="167" spans="1:11" x14ac:dyDescent="0.25">
      <c r="A167" s="3" t="s">
        <v>908</v>
      </c>
      <c r="B167" s="3">
        <v>31.5</v>
      </c>
      <c r="C167" s="3">
        <v>0.65</v>
      </c>
      <c r="D167" s="3" t="s">
        <v>1256</v>
      </c>
      <c r="E167" s="3">
        <v>3</v>
      </c>
      <c r="F167" s="3" t="s">
        <v>909</v>
      </c>
      <c r="G167" s="3">
        <v>-1.5</v>
      </c>
      <c r="K167" s="208">
        <v>165</v>
      </c>
    </row>
    <row r="168" spans="1:11" x14ac:dyDescent="0.25">
      <c r="K168" s="208"/>
    </row>
    <row r="169" spans="1:11" x14ac:dyDescent="0.25">
      <c r="A169" s="3" t="s">
        <v>691</v>
      </c>
      <c r="K169" s="208"/>
    </row>
    <row r="170" spans="1:11" x14ac:dyDescent="0.25">
      <c r="A170" s="3" t="s">
        <v>667</v>
      </c>
      <c r="B170" s="3" t="s">
        <v>668</v>
      </c>
      <c r="C170" s="3" t="s">
        <v>669</v>
      </c>
      <c r="D170" s="3" t="s">
        <v>693</v>
      </c>
      <c r="E170" s="3" t="s">
        <v>683</v>
      </c>
      <c r="F170" s="3" t="s">
        <v>670</v>
      </c>
      <c r="G170" s="3" t="s">
        <v>829</v>
      </c>
      <c r="K170" s="208"/>
    </row>
    <row r="171" spans="1:11" x14ac:dyDescent="0.25">
      <c r="A171" s="3" t="s">
        <v>910</v>
      </c>
      <c r="B171" s="3">
        <v>31.5</v>
      </c>
      <c r="C171" s="3">
        <v>0.65</v>
      </c>
      <c r="D171" s="3" t="s">
        <v>1257</v>
      </c>
      <c r="E171" s="3">
        <v>3</v>
      </c>
      <c r="F171" s="3" t="s">
        <v>911</v>
      </c>
      <c r="G171" s="3">
        <v>-2.5</v>
      </c>
      <c r="K171" s="208">
        <v>169</v>
      </c>
    </row>
    <row r="172" spans="1:11" x14ac:dyDescent="0.25">
      <c r="K172" s="208"/>
    </row>
    <row r="173" spans="1:11" x14ac:dyDescent="0.25">
      <c r="A173" s="3" t="s">
        <v>691</v>
      </c>
      <c r="K173" s="208"/>
    </row>
    <row r="174" spans="1:11" x14ac:dyDescent="0.25">
      <c r="A174" s="3" t="s">
        <v>667</v>
      </c>
      <c r="B174" s="3" t="s">
        <v>668</v>
      </c>
      <c r="C174" s="3" t="s">
        <v>669</v>
      </c>
      <c r="D174" s="3" t="s">
        <v>693</v>
      </c>
      <c r="E174" s="3" t="s">
        <v>683</v>
      </c>
      <c r="F174" s="3" t="s">
        <v>670</v>
      </c>
      <c r="G174" s="3" t="s">
        <v>829</v>
      </c>
      <c r="K174" s="208"/>
    </row>
    <row r="175" spans="1:11" x14ac:dyDescent="0.25">
      <c r="A175" s="3" t="s">
        <v>912</v>
      </c>
      <c r="B175" s="3">
        <v>31.5</v>
      </c>
      <c r="C175" s="3">
        <v>0.65</v>
      </c>
      <c r="D175" s="3" t="s">
        <v>1258</v>
      </c>
      <c r="E175" s="3">
        <v>3</v>
      </c>
      <c r="F175" s="3" t="s">
        <v>913</v>
      </c>
      <c r="G175" s="3">
        <v>-3.5</v>
      </c>
      <c r="K175" s="208">
        <v>173</v>
      </c>
    </row>
    <row r="176" spans="1:11" x14ac:dyDescent="0.25">
      <c r="K176" s="208"/>
    </row>
    <row r="177" spans="1:11" x14ac:dyDescent="0.25">
      <c r="A177" s="3" t="s">
        <v>691</v>
      </c>
      <c r="K177" s="208"/>
    </row>
    <row r="178" spans="1:11" x14ac:dyDescent="0.25">
      <c r="A178" s="3" t="s">
        <v>667</v>
      </c>
      <c r="B178" s="3" t="s">
        <v>668</v>
      </c>
      <c r="C178" s="3" t="s">
        <v>669</v>
      </c>
      <c r="D178" s="3" t="s">
        <v>693</v>
      </c>
      <c r="E178" s="3" t="s">
        <v>683</v>
      </c>
      <c r="F178" s="3" t="s">
        <v>670</v>
      </c>
      <c r="G178" s="3" t="s">
        <v>829</v>
      </c>
      <c r="K178" s="208"/>
    </row>
    <row r="179" spans="1:11" x14ac:dyDescent="0.25">
      <c r="A179" s="3" t="s">
        <v>914</v>
      </c>
      <c r="B179" s="3">
        <v>31.5</v>
      </c>
      <c r="C179" s="3">
        <v>0.65</v>
      </c>
      <c r="D179" s="3" t="s">
        <v>1259</v>
      </c>
      <c r="E179" s="3">
        <v>3</v>
      </c>
      <c r="F179" s="3" t="s">
        <v>915</v>
      </c>
      <c r="G179" s="3">
        <v>-4.5</v>
      </c>
      <c r="K179" s="208">
        <v>177</v>
      </c>
    </row>
    <row r="180" spans="1:11" x14ac:dyDescent="0.25">
      <c r="K180" s="208"/>
    </row>
    <row r="181" spans="1:11" x14ac:dyDescent="0.25">
      <c r="A181" s="3" t="s">
        <v>691</v>
      </c>
      <c r="K181" s="208"/>
    </row>
    <row r="182" spans="1:11" x14ac:dyDescent="0.25">
      <c r="A182" s="3" t="s">
        <v>667</v>
      </c>
      <c r="B182" s="3" t="s">
        <v>668</v>
      </c>
      <c r="C182" s="3" t="s">
        <v>669</v>
      </c>
      <c r="D182" s="3" t="s">
        <v>693</v>
      </c>
      <c r="E182" s="3" t="s">
        <v>683</v>
      </c>
      <c r="F182" s="3" t="s">
        <v>670</v>
      </c>
      <c r="G182" s="3" t="s">
        <v>829</v>
      </c>
      <c r="K182" s="208"/>
    </row>
    <row r="183" spans="1:11" x14ac:dyDescent="0.25">
      <c r="A183" s="3" t="s">
        <v>916</v>
      </c>
      <c r="B183" s="3">
        <v>31.5</v>
      </c>
      <c r="C183" s="3">
        <v>0.65</v>
      </c>
      <c r="D183" s="3" t="s">
        <v>1260</v>
      </c>
      <c r="E183" s="3">
        <v>3</v>
      </c>
      <c r="F183" s="3" t="s">
        <v>917</v>
      </c>
      <c r="G183" s="3">
        <v>-5.5</v>
      </c>
      <c r="K183" s="208">
        <v>181</v>
      </c>
    </row>
    <row r="184" spans="1:11" x14ac:dyDescent="0.25">
      <c r="K184" s="208"/>
    </row>
    <row r="185" spans="1:11" x14ac:dyDescent="0.25">
      <c r="A185" s="3" t="s">
        <v>691</v>
      </c>
      <c r="K185" s="208"/>
    </row>
    <row r="186" spans="1:11" x14ac:dyDescent="0.25">
      <c r="A186" s="3" t="s">
        <v>667</v>
      </c>
      <c r="B186" s="3" t="s">
        <v>668</v>
      </c>
      <c r="C186" s="3" t="s">
        <v>669</v>
      </c>
      <c r="D186" s="3" t="s">
        <v>693</v>
      </c>
      <c r="E186" s="3" t="s">
        <v>683</v>
      </c>
      <c r="F186" s="3" t="s">
        <v>670</v>
      </c>
      <c r="G186" s="3" t="s">
        <v>829</v>
      </c>
      <c r="K186" s="208"/>
    </row>
    <row r="187" spans="1:11" x14ac:dyDescent="0.25">
      <c r="A187" s="3" t="s">
        <v>918</v>
      </c>
      <c r="B187" s="3">
        <v>31.5</v>
      </c>
      <c r="C187" s="3">
        <v>0.65</v>
      </c>
      <c r="D187" s="3" t="s">
        <v>1261</v>
      </c>
      <c r="E187" s="3">
        <v>3</v>
      </c>
      <c r="F187" s="3" t="s">
        <v>919</v>
      </c>
      <c r="G187" s="3">
        <v>-6.5</v>
      </c>
      <c r="K187" s="208">
        <v>185</v>
      </c>
    </row>
    <row r="188" spans="1:11" x14ac:dyDescent="0.25">
      <c r="K188" s="208"/>
    </row>
    <row r="189" spans="1:11" x14ac:dyDescent="0.25">
      <c r="A189" s="3" t="s">
        <v>691</v>
      </c>
      <c r="K189" s="208"/>
    </row>
    <row r="190" spans="1:11" x14ac:dyDescent="0.25">
      <c r="A190" s="3" t="s">
        <v>667</v>
      </c>
      <c r="B190" s="3" t="s">
        <v>668</v>
      </c>
      <c r="C190" s="3" t="s">
        <v>669</v>
      </c>
      <c r="D190" s="3" t="s">
        <v>693</v>
      </c>
      <c r="E190" s="3" t="s">
        <v>683</v>
      </c>
      <c r="F190" s="3" t="s">
        <v>670</v>
      </c>
      <c r="G190" s="3" t="s">
        <v>829</v>
      </c>
      <c r="K190" s="208"/>
    </row>
    <row r="191" spans="1:11" x14ac:dyDescent="0.25">
      <c r="A191" s="3" t="s">
        <v>920</v>
      </c>
      <c r="B191" s="3">
        <v>31.5</v>
      </c>
      <c r="C191" s="3">
        <v>0.65</v>
      </c>
      <c r="D191" s="3" t="s">
        <v>1262</v>
      </c>
      <c r="E191" s="3">
        <v>3</v>
      </c>
      <c r="F191" s="3" t="s">
        <v>921</v>
      </c>
      <c r="G191" s="3">
        <v>-7.5</v>
      </c>
      <c r="K191" s="208">
        <v>189</v>
      </c>
    </row>
    <row r="192" spans="1:11" x14ac:dyDescent="0.25">
      <c r="K192" s="208"/>
    </row>
    <row r="193" spans="1:11" x14ac:dyDescent="0.25">
      <c r="A193" s="3" t="s">
        <v>691</v>
      </c>
      <c r="K193" s="208"/>
    </row>
    <row r="194" spans="1:11" x14ac:dyDescent="0.25">
      <c r="A194" s="3" t="s">
        <v>667</v>
      </c>
      <c r="B194" s="3" t="s">
        <v>668</v>
      </c>
      <c r="C194" s="3" t="s">
        <v>669</v>
      </c>
      <c r="D194" s="3" t="s">
        <v>693</v>
      </c>
      <c r="E194" s="3" t="s">
        <v>683</v>
      </c>
      <c r="F194" s="3" t="s">
        <v>670</v>
      </c>
      <c r="G194" s="3" t="s">
        <v>829</v>
      </c>
      <c r="K194" s="208"/>
    </row>
    <row r="195" spans="1:11" x14ac:dyDescent="0.25">
      <c r="A195" s="3" t="s">
        <v>922</v>
      </c>
      <c r="B195" s="3">
        <v>31.5</v>
      </c>
      <c r="C195" s="3">
        <v>0.65</v>
      </c>
      <c r="D195" s="3" t="s">
        <v>1263</v>
      </c>
      <c r="E195" s="3">
        <v>3</v>
      </c>
      <c r="F195" s="3" t="s">
        <v>923</v>
      </c>
      <c r="G195" s="3">
        <v>-8.5</v>
      </c>
      <c r="K195" s="208">
        <v>193</v>
      </c>
    </row>
    <row r="196" spans="1:11" x14ac:dyDescent="0.25">
      <c r="K196" s="208"/>
    </row>
    <row r="197" spans="1:11" x14ac:dyDescent="0.25">
      <c r="A197" s="3" t="s">
        <v>691</v>
      </c>
      <c r="K197" s="208"/>
    </row>
    <row r="198" spans="1:11" x14ac:dyDescent="0.25">
      <c r="A198" s="3" t="s">
        <v>667</v>
      </c>
      <c r="B198" s="3" t="s">
        <v>668</v>
      </c>
      <c r="C198" s="3" t="s">
        <v>669</v>
      </c>
      <c r="D198" s="3" t="s">
        <v>693</v>
      </c>
      <c r="E198" s="3" t="s">
        <v>683</v>
      </c>
      <c r="F198" s="3" t="s">
        <v>670</v>
      </c>
      <c r="G198" s="3" t="s">
        <v>829</v>
      </c>
      <c r="K198" s="208"/>
    </row>
    <row r="199" spans="1:11" x14ac:dyDescent="0.25">
      <c r="A199" s="3" t="s">
        <v>924</v>
      </c>
      <c r="B199" s="3">
        <v>31.5</v>
      </c>
      <c r="C199" s="3">
        <v>0.65</v>
      </c>
      <c r="D199" s="3" t="s">
        <v>1264</v>
      </c>
      <c r="E199" s="3">
        <v>3</v>
      </c>
      <c r="F199" s="3" t="s">
        <v>925</v>
      </c>
      <c r="G199" s="3">
        <v>-9.5</v>
      </c>
      <c r="K199" s="208">
        <v>197</v>
      </c>
    </row>
    <row r="200" spans="1:11" x14ac:dyDescent="0.25">
      <c r="K200" s="208"/>
    </row>
    <row r="201" spans="1:11" x14ac:dyDescent="0.25">
      <c r="A201" s="3" t="s">
        <v>691</v>
      </c>
      <c r="K201" s="208"/>
    </row>
    <row r="202" spans="1:11" x14ac:dyDescent="0.25">
      <c r="A202" s="3" t="s">
        <v>667</v>
      </c>
      <c r="B202" s="3" t="s">
        <v>668</v>
      </c>
      <c r="C202" s="3" t="s">
        <v>669</v>
      </c>
      <c r="D202" s="3" t="s">
        <v>693</v>
      </c>
      <c r="E202" s="3" t="s">
        <v>683</v>
      </c>
      <c r="F202" s="3" t="s">
        <v>670</v>
      </c>
      <c r="G202" s="3" t="s">
        <v>829</v>
      </c>
      <c r="K202" s="208"/>
    </row>
    <row r="203" spans="1:11" x14ac:dyDescent="0.25">
      <c r="A203" s="3" t="s">
        <v>926</v>
      </c>
      <c r="B203" s="3">
        <v>32.5</v>
      </c>
      <c r="C203" s="3">
        <v>0.65</v>
      </c>
      <c r="D203" s="3" t="s">
        <v>1265</v>
      </c>
      <c r="E203" s="3">
        <v>3</v>
      </c>
      <c r="F203" s="3" t="s">
        <v>927</v>
      </c>
      <c r="G203" s="3">
        <v>-1.5</v>
      </c>
      <c r="K203" s="208">
        <v>201</v>
      </c>
    </row>
    <row r="204" spans="1:11" x14ac:dyDescent="0.25">
      <c r="K204" s="208"/>
    </row>
    <row r="205" spans="1:11" x14ac:dyDescent="0.25">
      <c r="A205" s="3" t="s">
        <v>691</v>
      </c>
      <c r="K205" s="208"/>
    </row>
    <row r="206" spans="1:11" x14ac:dyDescent="0.25">
      <c r="A206" s="3" t="s">
        <v>667</v>
      </c>
      <c r="B206" s="3" t="s">
        <v>668</v>
      </c>
      <c r="C206" s="3" t="s">
        <v>669</v>
      </c>
      <c r="D206" s="3" t="s">
        <v>693</v>
      </c>
      <c r="E206" s="3" t="s">
        <v>683</v>
      </c>
      <c r="F206" s="3" t="s">
        <v>670</v>
      </c>
      <c r="G206" s="3" t="s">
        <v>829</v>
      </c>
      <c r="K206" s="208"/>
    </row>
    <row r="207" spans="1:11" x14ac:dyDescent="0.25">
      <c r="A207" s="3" t="s">
        <v>928</v>
      </c>
      <c r="B207" s="3">
        <v>32.5</v>
      </c>
      <c r="C207" s="3">
        <v>0.65</v>
      </c>
      <c r="D207" s="3" t="s">
        <v>1266</v>
      </c>
      <c r="E207" s="3">
        <v>3</v>
      </c>
      <c r="F207" s="3" t="s">
        <v>929</v>
      </c>
      <c r="G207" s="3">
        <v>-2.5</v>
      </c>
      <c r="K207" s="208">
        <v>205</v>
      </c>
    </row>
    <row r="208" spans="1:11" x14ac:dyDescent="0.25">
      <c r="K208" s="208"/>
    </row>
    <row r="209" spans="1:11" x14ac:dyDescent="0.25">
      <c r="A209" s="3" t="s">
        <v>691</v>
      </c>
      <c r="K209" s="208"/>
    </row>
    <row r="210" spans="1:11" x14ac:dyDescent="0.25">
      <c r="A210" s="3" t="s">
        <v>667</v>
      </c>
      <c r="B210" s="3" t="s">
        <v>668</v>
      </c>
      <c r="C210" s="3" t="s">
        <v>669</v>
      </c>
      <c r="D210" s="3" t="s">
        <v>693</v>
      </c>
      <c r="E210" s="3" t="s">
        <v>683</v>
      </c>
      <c r="F210" s="3" t="s">
        <v>670</v>
      </c>
      <c r="G210" s="3" t="s">
        <v>829</v>
      </c>
      <c r="K210" s="208"/>
    </row>
    <row r="211" spans="1:11" x14ac:dyDescent="0.25">
      <c r="A211" s="3" t="s">
        <v>930</v>
      </c>
      <c r="B211" s="3">
        <v>32.5</v>
      </c>
      <c r="C211" s="3">
        <v>0.65</v>
      </c>
      <c r="D211" s="3" t="s">
        <v>1267</v>
      </c>
      <c r="E211" s="3">
        <v>3</v>
      </c>
      <c r="F211" s="3" t="s">
        <v>931</v>
      </c>
      <c r="G211" s="3">
        <v>-3.5</v>
      </c>
      <c r="K211" s="208">
        <v>209</v>
      </c>
    </row>
    <row r="212" spans="1:11" x14ac:dyDescent="0.25">
      <c r="K212" s="208"/>
    </row>
    <row r="213" spans="1:11" x14ac:dyDescent="0.25">
      <c r="A213" s="3" t="s">
        <v>691</v>
      </c>
      <c r="K213" s="208"/>
    </row>
    <row r="214" spans="1:11" x14ac:dyDescent="0.25">
      <c r="A214" s="3" t="s">
        <v>667</v>
      </c>
      <c r="B214" s="3" t="s">
        <v>668</v>
      </c>
      <c r="C214" s="3" t="s">
        <v>669</v>
      </c>
      <c r="D214" s="3" t="s">
        <v>693</v>
      </c>
      <c r="E214" s="3" t="s">
        <v>683</v>
      </c>
      <c r="F214" s="3" t="s">
        <v>670</v>
      </c>
      <c r="G214" s="3" t="s">
        <v>829</v>
      </c>
      <c r="K214" s="208"/>
    </row>
    <row r="215" spans="1:11" x14ac:dyDescent="0.25">
      <c r="A215" s="3" t="s">
        <v>932</v>
      </c>
      <c r="B215" s="3">
        <v>32.5</v>
      </c>
      <c r="C215" s="3">
        <v>0.65</v>
      </c>
      <c r="D215" s="3" t="s">
        <v>1268</v>
      </c>
      <c r="E215" s="3">
        <v>3</v>
      </c>
      <c r="F215" s="3" t="s">
        <v>933</v>
      </c>
      <c r="G215" s="3">
        <v>-4.5</v>
      </c>
      <c r="K215" s="208">
        <v>213</v>
      </c>
    </row>
    <row r="216" spans="1:11" x14ac:dyDescent="0.25">
      <c r="K216" s="208"/>
    </row>
    <row r="217" spans="1:11" x14ac:dyDescent="0.25">
      <c r="A217" s="3" t="s">
        <v>691</v>
      </c>
      <c r="K217" s="208"/>
    </row>
    <row r="218" spans="1:11" x14ac:dyDescent="0.25">
      <c r="A218" s="3" t="s">
        <v>667</v>
      </c>
      <c r="B218" s="3" t="s">
        <v>668</v>
      </c>
      <c r="C218" s="3" t="s">
        <v>669</v>
      </c>
      <c r="D218" s="3" t="s">
        <v>693</v>
      </c>
      <c r="E218" s="3" t="s">
        <v>683</v>
      </c>
      <c r="F218" s="3" t="s">
        <v>670</v>
      </c>
      <c r="G218" s="3" t="s">
        <v>829</v>
      </c>
      <c r="K218" s="208"/>
    </row>
    <row r="219" spans="1:11" x14ac:dyDescent="0.25">
      <c r="A219" s="3" t="s">
        <v>934</v>
      </c>
      <c r="B219" s="3">
        <v>32.5</v>
      </c>
      <c r="C219" s="3">
        <v>0.65</v>
      </c>
      <c r="D219" s="3" t="s">
        <v>1269</v>
      </c>
      <c r="E219" s="3">
        <v>3</v>
      </c>
      <c r="F219" s="3" t="s">
        <v>935</v>
      </c>
      <c r="G219" s="3">
        <v>-5.5</v>
      </c>
      <c r="K219" s="208">
        <v>217</v>
      </c>
    </row>
    <row r="220" spans="1:11" x14ac:dyDescent="0.25">
      <c r="K220" s="208"/>
    </row>
    <row r="221" spans="1:11" x14ac:dyDescent="0.25">
      <c r="A221" s="3" t="s">
        <v>691</v>
      </c>
      <c r="K221" s="208"/>
    </row>
    <row r="222" spans="1:11" x14ac:dyDescent="0.25">
      <c r="A222" s="3" t="s">
        <v>667</v>
      </c>
      <c r="B222" s="3" t="s">
        <v>668</v>
      </c>
      <c r="C222" s="3" t="s">
        <v>669</v>
      </c>
      <c r="D222" s="3" t="s">
        <v>693</v>
      </c>
      <c r="E222" s="3" t="s">
        <v>683</v>
      </c>
      <c r="F222" s="3" t="s">
        <v>670</v>
      </c>
      <c r="G222" s="3" t="s">
        <v>829</v>
      </c>
      <c r="K222" s="208"/>
    </row>
    <row r="223" spans="1:11" x14ac:dyDescent="0.25">
      <c r="A223" s="3" t="s">
        <v>936</v>
      </c>
      <c r="B223" s="3">
        <v>32.5</v>
      </c>
      <c r="C223" s="3">
        <v>0.65</v>
      </c>
      <c r="D223" s="3" t="s">
        <v>1270</v>
      </c>
      <c r="E223" s="3">
        <v>3</v>
      </c>
      <c r="F223" s="3" t="s">
        <v>937</v>
      </c>
      <c r="G223" s="3">
        <v>-6.5</v>
      </c>
      <c r="K223" s="208">
        <v>221</v>
      </c>
    </row>
    <row r="224" spans="1:11" x14ac:dyDescent="0.25">
      <c r="K224" s="208"/>
    </row>
    <row r="225" spans="1:11" x14ac:dyDescent="0.25">
      <c r="A225" s="3" t="s">
        <v>691</v>
      </c>
      <c r="K225" s="208"/>
    </row>
    <row r="226" spans="1:11" x14ac:dyDescent="0.25">
      <c r="A226" s="3" t="s">
        <v>667</v>
      </c>
      <c r="B226" s="3" t="s">
        <v>668</v>
      </c>
      <c r="C226" s="3" t="s">
        <v>669</v>
      </c>
      <c r="D226" s="3" t="s">
        <v>693</v>
      </c>
      <c r="E226" s="3" t="s">
        <v>683</v>
      </c>
      <c r="F226" s="3" t="s">
        <v>670</v>
      </c>
      <c r="G226" s="3" t="s">
        <v>829</v>
      </c>
      <c r="K226" s="208"/>
    </row>
    <row r="227" spans="1:11" x14ac:dyDescent="0.25">
      <c r="A227" s="3" t="s">
        <v>938</v>
      </c>
      <c r="B227" s="3">
        <v>32.5</v>
      </c>
      <c r="C227" s="3">
        <v>0.65</v>
      </c>
      <c r="D227" s="3" t="s">
        <v>1271</v>
      </c>
      <c r="E227" s="3">
        <v>3</v>
      </c>
      <c r="F227" s="3" t="s">
        <v>939</v>
      </c>
      <c r="G227" s="3">
        <v>-7.5</v>
      </c>
      <c r="K227" s="208">
        <v>225</v>
      </c>
    </row>
    <row r="228" spans="1:11" x14ac:dyDescent="0.25">
      <c r="K228" s="208"/>
    </row>
    <row r="229" spans="1:11" x14ac:dyDescent="0.25">
      <c r="A229" s="3" t="s">
        <v>691</v>
      </c>
      <c r="K229" s="208"/>
    </row>
    <row r="230" spans="1:11" x14ac:dyDescent="0.25">
      <c r="A230" s="3" t="s">
        <v>667</v>
      </c>
      <c r="B230" s="3" t="s">
        <v>668</v>
      </c>
      <c r="C230" s="3" t="s">
        <v>669</v>
      </c>
      <c r="D230" s="3" t="s">
        <v>693</v>
      </c>
      <c r="E230" s="3" t="s">
        <v>683</v>
      </c>
      <c r="F230" s="3" t="s">
        <v>670</v>
      </c>
      <c r="G230" s="3" t="s">
        <v>829</v>
      </c>
      <c r="K230" s="208"/>
    </row>
    <row r="231" spans="1:11" x14ac:dyDescent="0.25">
      <c r="A231" s="3" t="s">
        <v>940</v>
      </c>
      <c r="B231" s="3">
        <v>32.5</v>
      </c>
      <c r="C231" s="3">
        <v>0.65</v>
      </c>
      <c r="D231" s="3" t="s">
        <v>1272</v>
      </c>
      <c r="E231" s="3">
        <v>3</v>
      </c>
      <c r="F231" s="3" t="s">
        <v>941</v>
      </c>
      <c r="G231" s="3">
        <v>-8.5</v>
      </c>
      <c r="K231" s="208">
        <v>229</v>
      </c>
    </row>
    <row r="232" spans="1:11" x14ac:dyDescent="0.25">
      <c r="K232" s="208"/>
    </row>
    <row r="233" spans="1:11" x14ac:dyDescent="0.25">
      <c r="A233" s="3" t="s">
        <v>691</v>
      </c>
      <c r="K233" s="208"/>
    </row>
    <row r="234" spans="1:11" x14ac:dyDescent="0.25">
      <c r="A234" s="3" t="s">
        <v>667</v>
      </c>
      <c r="B234" s="3" t="s">
        <v>668</v>
      </c>
      <c r="C234" s="3" t="s">
        <v>669</v>
      </c>
      <c r="D234" s="3" t="s">
        <v>693</v>
      </c>
      <c r="E234" s="3" t="s">
        <v>683</v>
      </c>
      <c r="F234" s="3" t="s">
        <v>670</v>
      </c>
      <c r="G234" s="3" t="s">
        <v>829</v>
      </c>
      <c r="K234" s="208"/>
    </row>
    <row r="235" spans="1:11" x14ac:dyDescent="0.25">
      <c r="A235" s="3" t="s">
        <v>942</v>
      </c>
      <c r="B235" s="3">
        <v>33.5</v>
      </c>
      <c r="C235" s="3">
        <v>0.65</v>
      </c>
      <c r="D235" s="3" t="s">
        <v>1273</v>
      </c>
      <c r="E235" s="3">
        <v>3</v>
      </c>
      <c r="F235" s="3" t="s">
        <v>943</v>
      </c>
      <c r="G235" s="3">
        <v>-1.5</v>
      </c>
      <c r="K235" s="208">
        <v>233</v>
      </c>
    </row>
    <row r="236" spans="1:11" x14ac:dyDescent="0.25">
      <c r="K236" s="208"/>
    </row>
    <row r="237" spans="1:11" x14ac:dyDescent="0.25">
      <c r="A237" s="3" t="s">
        <v>691</v>
      </c>
      <c r="K237" s="208"/>
    </row>
    <row r="238" spans="1:11" x14ac:dyDescent="0.25">
      <c r="A238" s="3" t="s">
        <v>667</v>
      </c>
      <c r="B238" s="3" t="s">
        <v>668</v>
      </c>
      <c r="C238" s="3" t="s">
        <v>669</v>
      </c>
      <c r="D238" s="3" t="s">
        <v>693</v>
      </c>
      <c r="E238" s="3" t="s">
        <v>683</v>
      </c>
      <c r="F238" s="3" t="s">
        <v>670</v>
      </c>
      <c r="G238" s="3" t="s">
        <v>829</v>
      </c>
      <c r="K238" s="208"/>
    </row>
    <row r="239" spans="1:11" x14ac:dyDescent="0.25">
      <c r="A239" s="3" t="s">
        <v>944</v>
      </c>
      <c r="B239" s="3">
        <v>33.5</v>
      </c>
      <c r="C239" s="3">
        <v>0.65</v>
      </c>
      <c r="D239" s="3" t="s">
        <v>1274</v>
      </c>
      <c r="E239" s="3">
        <v>3</v>
      </c>
      <c r="F239" s="3" t="s">
        <v>945</v>
      </c>
      <c r="G239" s="3">
        <v>-2.5</v>
      </c>
      <c r="K239" s="208">
        <v>237</v>
      </c>
    </row>
    <row r="240" spans="1:11" x14ac:dyDescent="0.25">
      <c r="K240" s="208"/>
    </row>
    <row r="241" spans="1:11" x14ac:dyDescent="0.25">
      <c r="A241" s="3" t="s">
        <v>691</v>
      </c>
      <c r="K241" s="208"/>
    </row>
    <row r="242" spans="1:11" x14ac:dyDescent="0.25">
      <c r="A242" s="3" t="s">
        <v>667</v>
      </c>
      <c r="B242" s="3" t="s">
        <v>668</v>
      </c>
      <c r="C242" s="3" t="s">
        <v>669</v>
      </c>
      <c r="D242" s="3" t="s">
        <v>693</v>
      </c>
      <c r="E242" s="3" t="s">
        <v>683</v>
      </c>
      <c r="F242" s="3" t="s">
        <v>670</v>
      </c>
      <c r="G242" s="3" t="s">
        <v>829</v>
      </c>
      <c r="K242" s="208"/>
    </row>
    <row r="243" spans="1:11" x14ac:dyDescent="0.25">
      <c r="A243" s="3" t="s">
        <v>946</v>
      </c>
      <c r="B243" s="3">
        <v>33.5</v>
      </c>
      <c r="C243" s="3">
        <v>0.65</v>
      </c>
      <c r="D243" s="3" t="s">
        <v>1275</v>
      </c>
      <c r="E243" s="3">
        <v>3</v>
      </c>
      <c r="F243" s="3" t="s">
        <v>947</v>
      </c>
      <c r="G243" s="3">
        <v>-3.5</v>
      </c>
      <c r="K243" s="208">
        <v>241</v>
      </c>
    </row>
    <row r="244" spans="1:11" x14ac:dyDescent="0.25">
      <c r="K244" s="208"/>
    </row>
    <row r="245" spans="1:11" x14ac:dyDescent="0.25">
      <c r="A245" s="3" t="s">
        <v>691</v>
      </c>
      <c r="K245" s="208"/>
    </row>
    <row r="246" spans="1:11" x14ac:dyDescent="0.25">
      <c r="A246" s="3" t="s">
        <v>667</v>
      </c>
      <c r="B246" s="3" t="s">
        <v>668</v>
      </c>
      <c r="C246" s="3" t="s">
        <v>669</v>
      </c>
      <c r="D246" s="3" t="s">
        <v>693</v>
      </c>
      <c r="E246" s="3" t="s">
        <v>683</v>
      </c>
      <c r="F246" s="3" t="s">
        <v>670</v>
      </c>
      <c r="G246" s="3" t="s">
        <v>829</v>
      </c>
      <c r="K246" s="208"/>
    </row>
    <row r="247" spans="1:11" x14ac:dyDescent="0.25">
      <c r="A247" s="3" t="s">
        <v>948</v>
      </c>
      <c r="B247" s="3">
        <v>33.5</v>
      </c>
      <c r="C247" s="3">
        <v>0.65</v>
      </c>
      <c r="D247" s="3" t="s">
        <v>1276</v>
      </c>
      <c r="E247" s="3">
        <v>3</v>
      </c>
      <c r="F247" s="3" t="s">
        <v>949</v>
      </c>
      <c r="G247" s="3">
        <v>-4.5</v>
      </c>
      <c r="K247" s="208">
        <v>245</v>
      </c>
    </row>
    <row r="248" spans="1:11" x14ac:dyDescent="0.25">
      <c r="K248" s="208"/>
    </row>
    <row r="249" spans="1:11" x14ac:dyDescent="0.25">
      <c r="A249" s="3" t="s">
        <v>691</v>
      </c>
      <c r="K249" s="208"/>
    </row>
    <row r="250" spans="1:11" x14ac:dyDescent="0.25">
      <c r="A250" s="3" t="s">
        <v>667</v>
      </c>
      <c r="B250" s="3" t="s">
        <v>668</v>
      </c>
      <c r="C250" s="3" t="s">
        <v>669</v>
      </c>
      <c r="D250" s="3" t="s">
        <v>693</v>
      </c>
      <c r="E250" s="3" t="s">
        <v>683</v>
      </c>
      <c r="F250" s="3" t="s">
        <v>670</v>
      </c>
      <c r="G250" s="3" t="s">
        <v>829</v>
      </c>
      <c r="K250" s="208"/>
    </row>
    <row r="251" spans="1:11" x14ac:dyDescent="0.25">
      <c r="A251" s="3" t="s">
        <v>950</v>
      </c>
      <c r="B251" s="3">
        <v>33.5</v>
      </c>
      <c r="C251" s="3">
        <v>0.65</v>
      </c>
      <c r="D251" s="3" t="s">
        <v>1277</v>
      </c>
      <c r="E251" s="3">
        <v>3</v>
      </c>
      <c r="F251" s="3" t="s">
        <v>951</v>
      </c>
      <c r="G251" s="3">
        <v>-5.5</v>
      </c>
      <c r="K251" s="208">
        <v>249</v>
      </c>
    </row>
    <row r="252" spans="1:11" x14ac:dyDescent="0.25">
      <c r="K252" s="208"/>
    </row>
    <row r="253" spans="1:11" x14ac:dyDescent="0.25">
      <c r="A253" s="3" t="s">
        <v>691</v>
      </c>
      <c r="K253" s="208"/>
    </row>
    <row r="254" spans="1:11" x14ac:dyDescent="0.25">
      <c r="A254" s="3" t="s">
        <v>667</v>
      </c>
      <c r="B254" s="3" t="s">
        <v>668</v>
      </c>
      <c r="C254" s="3" t="s">
        <v>669</v>
      </c>
      <c r="D254" s="3" t="s">
        <v>693</v>
      </c>
      <c r="E254" s="3" t="s">
        <v>683</v>
      </c>
      <c r="F254" s="3" t="s">
        <v>670</v>
      </c>
      <c r="G254" s="3" t="s">
        <v>829</v>
      </c>
      <c r="K254" s="208"/>
    </row>
    <row r="255" spans="1:11" x14ac:dyDescent="0.25">
      <c r="A255" s="3" t="s">
        <v>952</v>
      </c>
      <c r="B255" s="3">
        <v>33.5</v>
      </c>
      <c r="C255" s="3">
        <v>0.65</v>
      </c>
      <c r="D255" s="3" t="s">
        <v>1278</v>
      </c>
      <c r="E255" s="3">
        <v>3</v>
      </c>
      <c r="F255" s="3" t="s">
        <v>953</v>
      </c>
      <c r="G255" s="3">
        <v>-6.5</v>
      </c>
      <c r="K255" s="208">
        <v>253</v>
      </c>
    </row>
    <row r="256" spans="1:11" x14ac:dyDescent="0.25">
      <c r="K256" s="208"/>
    </row>
    <row r="257" spans="1:11" x14ac:dyDescent="0.25">
      <c r="A257" s="3" t="s">
        <v>691</v>
      </c>
      <c r="K257" s="208"/>
    </row>
    <row r="258" spans="1:11" x14ac:dyDescent="0.25">
      <c r="A258" s="3" t="s">
        <v>667</v>
      </c>
      <c r="B258" s="3" t="s">
        <v>668</v>
      </c>
      <c r="C258" s="3" t="s">
        <v>669</v>
      </c>
      <c r="D258" s="3" t="s">
        <v>693</v>
      </c>
      <c r="E258" s="3" t="s">
        <v>683</v>
      </c>
      <c r="F258" s="3" t="s">
        <v>670</v>
      </c>
      <c r="G258" s="3" t="s">
        <v>829</v>
      </c>
      <c r="K258" s="208"/>
    </row>
    <row r="259" spans="1:11" x14ac:dyDescent="0.25">
      <c r="A259" s="3" t="s">
        <v>954</v>
      </c>
      <c r="B259" s="3">
        <v>33.5</v>
      </c>
      <c r="C259" s="3">
        <v>0.65</v>
      </c>
      <c r="D259" s="3" t="s">
        <v>1279</v>
      </c>
      <c r="E259" s="3">
        <v>3</v>
      </c>
      <c r="F259" s="3" t="s">
        <v>955</v>
      </c>
      <c r="G259" s="3">
        <v>-7.5</v>
      </c>
      <c r="K259" s="208">
        <v>257</v>
      </c>
    </row>
    <row r="260" spans="1:11" x14ac:dyDescent="0.25">
      <c r="K260" s="208"/>
    </row>
    <row r="261" spans="1:11" x14ac:dyDescent="0.25">
      <c r="A261" s="3" t="s">
        <v>691</v>
      </c>
      <c r="K261" s="208"/>
    </row>
    <row r="262" spans="1:11" x14ac:dyDescent="0.25">
      <c r="A262" s="3" t="s">
        <v>667</v>
      </c>
      <c r="B262" s="3" t="s">
        <v>668</v>
      </c>
      <c r="C262" s="3" t="s">
        <v>669</v>
      </c>
      <c r="D262" s="3" t="s">
        <v>693</v>
      </c>
      <c r="E262" s="3" t="s">
        <v>683</v>
      </c>
      <c r="F262" s="3" t="s">
        <v>670</v>
      </c>
      <c r="G262" s="3" t="s">
        <v>829</v>
      </c>
      <c r="K262" s="208"/>
    </row>
    <row r="263" spans="1:11" x14ac:dyDescent="0.25">
      <c r="A263" s="3" t="s">
        <v>956</v>
      </c>
      <c r="B263" s="3">
        <v>34.5</v>
      </c>
      <c r="C263" s="3">
        <v>0.65</v>
      </c>
      <c r="D263" s="3" t="s">
        <v>1280</v>
      </c>
      <c r="E263" s="3">
        <v>3</v>
      </c>
      <c r="F263" s="3" t="s">
        <v>957</v>
      </c>
      <c r="G263" s="3">
        <v>-1.5</v>
      </c>
      <c r="K263" s="208">
        <v>261</v>
      </c>
    </row>
    <row r="264" spans="1:11" x14ac:dyDescent="0.25">
      <c r="K264" s="208"/>
    </row>
    <row r="265" spans="1:11" x14ac:dyDescent="0.25">
      <c r="A265" s="3" t="s">
        <v>691</v>
      </c>
      <c r="K265" s="208"/>
    </row>
    <row r="266" spans="1:11" x14ac:dyDescent="0.25">
      <c r="A266" s="3" t="s">
        <v>667</v>
      </c>
      <c r="B266" s="3" t="s">
        <v>668</v>
      </c>
      <c r="C266" s="3" t="s">
        <v>669</v>
      </c>
      <c r="D266" s="3" t="s">
        <v>693</v>
      </c>
      <c r="E266" s="3" t="s">
        <v>683</v>
      </c>
      <c r="F266" s="3" t="s">
        <v>670</v>
      </c>
      <c r="G266" s="3" t="s">
        <v>829</v>
      </c>
      <c r="K266" s="208"/>
    </row>
    <row r="267" spans="1:11" x14ac:dyDescent="0.25">
      <c r="A267" s="3" t="s">
        <v>958</v>
      </c>
      <c r="B267" s="3">
        <v>34.5</v>
      </c>
      <c r="C267" s="3">
        <v>0.65</v>
      </c>
      <c r="D267" s="3" t="s">
        <v>1281</v>
      </c>
      <c r="E267" s="3">
        <v>3</v>
      </c>
      <c r="F267" s="3" t="s">
        <v>959</v>
      </c>
      <c r="G267" s="3">
        <v>-2.5</v>
      </c>
      <c r="K267" s="208">
        <v>265</v>
      </c>
    </row>
    <row r="268" spans="1:11" x14ac:dyDescent="0.25">
      <c r="K268" s="208"/>
    </row>
    <row r="269" spans="1:11" x14ac:dyDescent="0.25">
      <c r="A269" s="3" t="s">
        <v>691</v>
      </c>
      <c r="K269" s="208"/>
    </row>
    <row r="270" spans="1:11" x14ac:dyDescent="0.25">
      <c r="A270" s="3" t="s">
        <v>667</v>
      </c>
      <c r="B270" s="3" t="s">
        <v>668</v>
      </c>
      <c r="C270" s="3" t="s">
        <v>669</v>
      </c>
      <c r="D270" s="3" t="s">
        <v>693</v>
      </c>
      <c r="E270" s="3" t="s">
        <v>683</v>
      </c>
      <c r="F270" s="3" t="s">
        <v>670</v>
      </c>
      <c r="G270" s="3" t="s">
        <v>829</v>
      </c>
      <c r="K270" s="208"/>
    </row>
    <row r="271" spans="1:11" x14ac:dyDescent="0.25">
      <c r="A271" s="3" t="s">
        <v>960</v>
      </c>
      <c r="B271" s="3">
        <v>34.5</v>
      </c>
      <c r="C271" s="3">
        <v>0.65</v>
      </c>
      <c r="D271" s="3" t="s">
        <v>1282</v>
      </c>
      <c r="E271" s="3">
        <v>3</v>
      </c>
      <c r="F271" s="3" t="s">
        <v>961</v>
      </c>
      <c r="G271" s="3">
        <v>-3.5</v>
      </c>
      <c r="K271" s="208">
        <v>269</v>
      </c>
    </row>
    <row r="272" spans="1:11" x14ac:dyDescent="0.25">
      <c r="K272" s="208"/>
    </row>
    <row r="273" spans="1:11" x14ac:dyDescent="0.25">
      <c r="A273" s="3" t="s">
        <v>691</v>
      </c>
      <c r="K273" s="208"/>
    </row>
    <row r="274" spans="1:11" x14ac:dyDescent="0.25">
      <c r="A274" s="3" t="s">
        <v>667</v>
      </c>
      <c r="B274" s="3" t="s">
        <v>668</v>
      </c>
      <c r="C274" s="3" t="s">
        <v>669</v>
      </c>
      <c r="D274" s="3" t="s">
        <v>693</v>
      </c>
      <c r="E274" s="3" t="s">
        <v>683</v>
      </c>
      <c r="F274" s="3" t="s">
        <v>670</v>
      </c>
      <c r="G274" s="3" t="s">
        <v>829</v>
      </c>
      <c r="K274" s="208"/>
    </row>
    <row r="275" spans="1:11" x14ac:dyDescent="0.25">
      <c r="A275" s="3" t="s">
        <v>962</v>
      </c>
      <c r="B275" s="3">
        <v>34.5</v>
      </c>
      <c r="C275" s="3">
        <v>0.65</v>
      </c>
      <c r="D275" s="3" t="s">
        <v>1283</v>
      </c>
      <c r="E275" s="3">
        <v>3</v>
      </c>
      <c r="F275" s="3" t="s">
        <v>963</v>
      </c>
      <c r="G275" s="3">
        <v>-4.5</v>
      </c>
      <c r="K275" s="208">
        <v>273</v>
      </c>
    </row>
    <row r="276" spans="1:11" x14ac:dyDescent="0.25">
      <c r="K276" s="208"/>
    </row>
    <row r="277" spans="1:11" x14ac:dyDescent="0.25">
      <c r="A277" s="3" t="s">
        <v>691</v>
      </c>
      <c r="K277" s="208"/>
    </row>
    <row r="278" spans="1:11" x14ac:dyDescent="0.25">
      <c r="A278" s="3" t="s">
        <v>667</v>
      </c>
      <c r="B278" s="3" t="s">
        <v>668</v>
      </c>
      <c r="C278" s="3" t="s">
        <v>669</v>
      </c>
      <c r="D278" s="3" t="s">
        <v>693</v>
      </c>
      <c r="E278" s="3" t="s">
        <v>683</v>
      </c>
      <c r="F278" s="3" t="s">
        <v>670</v>
      </c>
      <c r="G278" s="3" t="s">
        <v>829</v>
      </c>
      <c r="K278" s="208"/>
    </row>
    <row r="279" spans="1:11" x14ac:dyDescent="0.25">
      <c r="A279" s="3" t="s">
        <v>964</v>
      </c>
      <c r="B279" s="3">
        <v>34.5</v>
      </c>
      <c r="C279" s="3">
        <v>0.65</v>
      </c>
      <c r="D279" s="3" t="s">
        <v>1284</v>
      </c>
      <c r="E279" s="3">
        <v>3</v>
      </c>
      <c r="F279" s="3" t="s">
        <v>965</v>
      </c>
      <c r="G279" s="3">
        <v>-5.5</v>
      </c>
      <c r="K279" s="208">
        <v>277</v>
      </c>
    </row>
    <row r="280" spans="1:11" x14ac:dyDescent="0.25">
      <c r="K280" s="208"/>
    </row>
    <row r="281" spans="1:11" x14ac:dyDescent="0.25">
      <c r="A281" s="3" t="s">
        <v>691</v>
      </c>
      <c r="K281" s="208"/>
    </row>
    <row r="282" spans="1:11" x14ac:dyDescent="0.25">
      <c r="A282" s="3" t="s">
        <v>667</v>
      </c>
      <c r="B282" s="3" t="s">
        <v>668</v>
      </c>
      <c r="C282" s="3" t="s">
        <v>669</v>
      </c>
      <c r="D282" s="3" t="s">
        <v>693</v>
      </c>
      <c r="E282" s="3" t="s">
        <v>683</v>
      </c>
      <c r="F282" s="3" t="s">
        <v>670</v>
      </c>
      <c r="G282" s="3" t="s">
        <v>829</v>
      </c>
      <c r="K282" s="208"/>
    </row>
    <row r="283" spans="1:11" x14ac:dyDescent="0.25">
      <c r="A283" s="3" t="s">
        <v>827</v>
      </c>
      <c r="B283" s="3">
        <v>34.5</v>
      </c>
      <c r="C283" s="3">
        <v>0.65</v>
      </c>
      <c r="D283" s="3" t="s">
        <v>1285</v>
      </c>
      <c r="E283" s="3">
        <v>4</v>
      </c>
      <c r="F283" s="3" t="s">
        <v>828</v>
      </c>
      <c r="G283" s="3">
        <v>-6.5</v>
      </c>
      <c r="K283" s="208">
        <v>281</v>
      </c>
    </row>
    <row r="284" spans="1:11" x14ac:dyDescent="0.25">
      <c r="K284" s="208"/>
    </row>
    <row r="285" spans="1:11" x14ac:dyDescent="0.25">
      <c r="K285" s="208"/>
    </row>
    <row r="286" spans="1:11" x14ac:dyDescent="0.25">
      <c r="K286" s="208"/>
    </row>
    <row r="287" spans="1:11" x14ac:dyDescent="0.25">
      <c r="K287" s="208"/>
    </row>
    <row r="288" spans="1:11" x14ac:dyDescent="0.25">
      <c r="K288" s="208"/>
    </row>
    <row r="289" spans="11:11" x14ac:dyDescent="0.25">
      <c r="K289" s="208"/>
    </row>
    <row r="290" spans="11:11" x14ac:dyDescent="0.25">
      <c r="K290" s="208"/>
    </row>
    <row r="291" spans="11:11" x14ac:dyDescent="0.25">
      <c r="K291" s="208"/>
    </row>
    <row r="292" spans="11:11" x14ac:dyDescent="0.25">
      <c r="K292" s="208"/>
    </row>
    <row r="293" spans="11:11" x14ac:dyDescent="0.25">
      <c r="K293" s="208"/>
    </row>
    <row r="294" spans="11:11" x14ac:dyDescent="0.25">
      <c r="K294" s="208"/>
    </row>
    <row r="295" spans="11:11" x14ac:dyDescent="0.25">
      <c r="K295" s="208"/>
    </row>
    <row r="296" spans="11:11" x14ac:dyDescent="0.25">
      <c r="K296" s="208"/>
    </row>
    <row r="297" spans="11:11" x14ac:dyDescent="0.25">
      <c r="K297" s="208"/>
    </row>
    <row r="298" spans="11:11" x14ac:dyDescent="0.25">
      <c r="K298" s="208"/>
    </row>
    <row r="299" spans="11:11" x14ac:dyDescent="0.25">
      <c r="K299" s="208"/>
    </row>
    <row r="300" spans="11:11" x14ac:dyDescent="0.25">
      <c r="K300" s="208"/>
    </row>
    <row r="301" spans="11:11" x14ac:dyDescent="0.25">
      <c r="K301" s="208"/>
    </row>
    <row r="302" spans="11:11" x14ac:dyDescent="0.25">
      <c r="K302" s="208"/>
    </row>
    <row r="303" spans="11:11" x14ac:dyDescent="0.25">
      <c r="K303" s="208"/>
    </row>
    <row r="304" spans="11:11" x14ac:dyDescent="0.25">
      <c r="K304" s="208"/>
    </row>
    <row r="305" spans="11:11" x14ac:dyDescent="0.25">
      <c r="K305" s="208"/>
    </row>
    <row r="306" spans="11:11" x14ac:dyDescent="0.25">
      <c r="K306" s="208"/>
    </row>
    <row r="307" spans="11:11" x14ac:dyDescent="0.25">
      <c r="K307" s="208"/>
    </row>
    <row r="308" spans="11:11" x14ac:dyDescent="0.25">
      <c r="K308" s="208"/>
    </row>
    <row r="309" spans="11:11" x14ac:dyDescent="0.25">
      <c r="K309" s="208"/>
    </row>
    <row r="310" spans="11:11" x14ac:dyDescent="0.25">
      <c r="K310" s="208"/>
    </row>
    <row r="311" spans="11:11" x14ac:dyDescent="0.25">
      <c r="K311" s="208"/>
    </row>
    <row r="312" spans="11:11" x14ac:dyDescent="0.25">
      <c r="K312" s="208"/>
    </row>
    <row r="313" spans="11:11" x14ac:dyDescent="0.25">
      <c r="K313" s="208"/>
    </row>
    <row r="314" spans="11:11" x14ac:dyDescent="0.25">
      <c r="K314" s="208"/>
    </row>
    <row r="315" spans="11:11" x14ac:dyDescent="0.25">
      <c r="K315" s="208"/>
    </row>
    <row r="316" spans="11:11" x14ac:dyDescent="0.25">
      <c r="K316" s="208"/>
    </row>
    <row r="317" spans="11:11" x14ac:dyDescent="0.25">
      <c r="K317" s="208"/>
    </row>
    <row r="318" spans="11:11" x14ac:dyDescent="0.25">
      <c r="K318" s="208"/>
    </row>
    <row r="319" spans="11:11" x14ac:dyDescent="0.25">
      <c r="K319" s="208"/>
    </row>
    <row r="320" spans="11:11" x14ac:dyDescent="0.25">
      <c r="K320" s="208"/>
    </row>
    <row r="321" spans="11:11" x14ac:dyDescent="0.25">
      <c r="K321" s="208"/>
    </row>
    <row r="322" spans="11:11" x14ac:dyDescent="0.25">
      <c r="K322" s="208"/>
    </row>
    <row r="323" spans="11:11" x14ac:dyDescent="0.25">
      <c r="K323" s="208"/>
    </row>
    <row r="324" spans="11:11" x14ac:dyDescent="0.25">
      <c r="K324" s="208"/>
    </row>
    <row r="325" spans="11:11" x14ac:dyDescent="0.25">
      <c r="K325" s="208"/>
    </row>
    <row r="326" spans="11:11" x14ac:dyDescent="0.25">
      <c r="K326" s="208"/>
    </row>
    <row r="327" spans="11:11" x14ac:dyDescent="0.25">
      <c r="K327" s="208"/>
    </row>
    <row r="328" spans="11:11" x14ac:dyDescent="0.25">
      <c r="K328" s="208"/>
    </row>
    <row r="329" spans="11:11" x14ac:dyDescent="0.25">
      <c r="K329" s="208"/>
    </row>
    <row r="330" spans="11:11" x14ac:dyDescent="0.25">
      <c r="K330" s="208"/>
    </row>
    <row r="331" spans="11:11" x14ac:dyDescent="0.25">
      <c r="K331" s="208"/>
    </row>
    <row r="332" spans="11:11" x14ac:dyDescent="0.25">
      <c r="K332" s="208"/>
    </row>
    <row r="333" spans="11:11" x14ac:dyDescent="0.25">
      <c r="K333" s="208"/>
    </row>
    <row r="334" spans="11:11" x14ac:dyDescent="0.25">
      <c r="K334" s="208"/>
    </row>
    <row r="335" spans="11:11" x14ac:dyDescent="0.25">
      <c r="K335" s="208"/>
    </row>
    <row r="336" spans="11:11" x14ac:dyDescent="0.25">
      <c r="K336" s="208"/>
    </row>
    <row r="337" spans="11:11" x14ac:dyDescent="0.25">
      <c r="K337" s="208"/>
    </row>
    <row r="338" spans="11:11" x14ac:dyDescent="0.25">
      <c r="K338" s="208"/>
    </row>
    <row r="339" spans="11:11" x14ac:dyDescent="0.25">
      <c r="K339" s="208"/>
    </row>
    <row r="340" spans="11:11" x14ac:dyDescent="0.25">
      <c r="K340" s="208"/>
    </row>
    <row r="341" spans="11:11" x14ac:dyDescent="0.25">
      <c r="K341" s="208"/>
    </row>
    <row r="342" spans="11:11" x14ac:dyDescent="0.25">
      <c r="K342" s="208"/>
    </row>
    <row r="343" spans="11:11" x14ac:dyDescent="0.25">
      <c r="K343" s="208"/>
    </row>
    <row r="344" spans="11:11" x14ac:dyDescent="0.25">
      <c r="K344" s="208"/>
    </row>
    <row r="345" spans="11:11" x14ac:dyDescent="0.25">
      <c r="K345" s="208"/>
    </row>
    <row r="346" spans="11:11" x14ac:dyDescent="0.25">
      <c r="K346" s="208"/>
    </row>
    <row r="347" spans="11:11" x14ac:dyDescent="0.25">
      <c r="K347" s="208"/>
    </row>
    <row r="348" spans="11:11" x14ac:dyDescent="0.25">
      <c r="K348" s="208"/>
    </row>
    <row r="349" spans="11:11" x14ac:dyDescent="0.25">
      <c r="K349" s="208"/>
    </row>
    <row r="350" spans="11:11" x14ac:dyDescent="0.25">
      <c r="K350" s="208"/>
    </row>
    <row r="351" spans="11:11" x14ac:dyDescent="0.25">
      <c r="K351" s="208"/>
    </row>
    <row r="352" spans="11:11" x14ac:dyDescent="0.25">
      <c r="K352" s="208"/>
    </row>
    <row r="353" spans="11:11" x14ac:dyDescent="0.25">
      <c r="K353" s="208"/>
    </row>
    <row r="354" spans="11:11" x14ac:dyDescent="0.25">
      <c r="K354" s="208"/>
    </row>
    <row r="355" spans="11:11" x14ac:dyDescent="0.25">
      <c r="K355" s="208"/>
    </row>
    <row r="356" spans="11:11" x14ac:dyDescent="0.25">
      <c r="K356" s="208"/>
    </row>
    <row r="357" spans="11:11" x14ac:dyDescent="0.25">
      <c r="K357" s="208"/>
    </row>
    <row r="358" spans="11:11" x14ac:dyDescent="0.25">
      <c r="K358" s="208"/>
    </row>
    <row r="359" spans="11:11" x14ac:dyDescent="0.25">
      <c r="K359" s="208"/>
    </row>
    <row r="360" spans="11:11" x14ac:dyDescent="0.25">
      <c r="K360" s="208"/>
    </row>
    <row r="361" spans="11:11" x14ac:dyDescent="0.25">
      <c r="K361" s="208"/>
    </row>
    <row r="362" spans="11:11" x14ac:dyDescent="0.25">
      <c r="K362" s="208"/>
    </row>
    <row r="363" spans="11:11" x14ac:dyDescent="0.25">
      <c r="K363" s="208"/>
    </row>
    <row r="364" spans="11:11" x14ac:dyDescent="0.25">
      <c r="K364" s="208"/>
    </row>
    <row r="365" spans="11:11" x14ac:dyDescent="0.25">
      <c r="K365" s="208"/>
    </row>
    <row r="366" spans="11:11" x14ac:dyDescent="0.25">
      <c r="K366" s="208"/>
    </row>
    <row r="367" spans="11:11" x14ac:dyDescent="0.25">
      <c r="K367" s="208"/>
    </row>
    <row r="368" spans="11:11" x14ac:dyDescent="0.25">
      <c r="K368" s="208"/>
    </row>
    <row r="369" spans="11:11" x14ac:dyDescent="0.25">
      <c r="K369" s="208"/>
    </row>
    <row r="370" spans="11:11" x14ac:dyDescent="0.25">
      <c r="K370" s="208"/>
    </row>
    <row r="371" spans="11:11" x14ac:dyDescent="0.25">
      <c r="K371" s="208"/>
    </row>
    <row r="372" spans="11:11" x14ac:dyDescent="0.25">
      <c r="K372" s="208"/>
    </row>
    <row r="373" spans="11:11" x14ac:dyDescent="0.25">
      <c r="K373" s="208"/>
    </row>
    <row r="374" spans="11:11" x14ac:dyDescent="0.25">
      <c r="K374" s="208"/>
    </row>
    <row r="375" spans="11:11" x14ac:dyDescent="0.25">
      <c r="K375" s="208"/>
    </row>
    <row r="376" spans="11:11" x14ac:dyDescent="0.25">
      <c r="K376" s="208"/>
    </row>
    <row r="377" spans="11:11" x14ac:dyDescent="0.25">
      <c r="K377" s="208"/>
    </row>
    <row r="378" spans="11:11" x14ac:dyDescent="0.25">
      <c r="K378" s="208"/>
    </row>
    <row r="379" spans="11:11" x14ac:dyDescent="0.25">
      <c r="K379" s="208"/>
    </row>
    <row r="380" spans="11:11" x14ac:dyDescent="0.25">
      <c r="K380" s="208"/>
    </row>
    <row r="381" spans="11:11" x14ac:dyDescent="0.25">
      <c r="K381" s="208"/>
    </row>
    <row r="382" spans="11:11" x14ac:dyDescent="0.25">
      <c r="K382" s="208"/>
    </row>
    <row r="383" spans="11:11" x14ac:dyDescent="0.25">
      <c r="K383" s="208"/>
    </row>
    <row r="384" spans="11:11" x14ac:dyDescent="0.25">
      <c r="K384" s="208"/>
    </row>
    <row r="385" spans="11:11" x14ac:dyDescent="0.25">
      <c r="K385" s="208"/>
    </row>
    <row r="386" spans="11:11" x14ac:dyDescent="0.25">
      <c r="K386" s="208"/>
    </row>
    <row r="387" spans="11:11" x14ac:dyDescent="0.25">
      <c r="K387" s="208"/>
    </row>
    <row r="388" spans="11:11" x14ac:dyDescent="0.25">
      <c r="K388" s="208"/>
    </row>
    <row r="389" spans="11:11" x14ac:dyDescent="0.25">
      <c r="K389" s="208"/>
    </row>
    <row r="390" spans="11:11" x14ac:dyDescent="0.25">
      <c r="K390" s="208"/>
    </row>
    <row r="391" spans="11:11" x14ac:dyDescent="0.25">
      <c r="K391" s="208"/>
    </row>
    <row r="392" spans="11:11" x14ac:dyDescent="0.25">
      <c r="K392" s="208"/>
    </row>
    <row r="393" spans="11:11" x14ac:dyDescent="0.25">
      <c r="K393" s="208"/>
    </row>
    <row r="394" spans="11:11" x14ac:dyDescent="0.25">
      <c r="K394" s="208"/>
    </row>
    <row r="395" spans="11:11" x14ac:dyDescent="0.25">
      <c r="K395" s="208"/>
    </row>
    <row r="396" spans="11:11" x14ac:dyDescent="0.25">
      <c r="K396" s="208"/>
    </row>
    <row r="397" spans="11:11" x14ac:dyDescent="0.25">
      <c r="K397" s="208"/>
    </row>
    <row r="398" spans="11:11" x14ac:dyDescent="0.25">
      <c r="K398" s="208"/>
    </row>
    <row r="399" spans="11:11" x14ac:dyDescent="0.25">
      <c r="K399" s="208"/>
    </row>
    <row r="400" spans="11:11" x14ac:dyDescent="0.25">
      <c r="K400" s="208"/>
    </row>
    <row r="401" spans="11:11" x14ac:dyDescent="0.25">
      <c r="K401" s="208"/>
    </row>
    <row r="402" spans="11:11" x14ac:dyDescent="0.25">
      <c r="K402" s="208"/>
    </row>
    <row r="403" spans="11:11" x14ac:dyDescent="0.25">
      <c r="K403" s="208"/>
    </row>
    <row r="404" spans="11:11" x14ac:dyDescent="0.25">
      <c r="K404" s="208"/>
    </row>
    <row r="405" spans="11:11" x14ac:dyDescent="0.25">
      <c r="K405" s="208"/>
    </row>
    <row r="406" spans="11:11" x14ac:dyDescent="0.25">
      <c r="K406" s="208"/>
    </row>
    <row r="407" spans="11:11" x14ac:dyDescent="0.25">
      <c r="K407" s="208"/>
    </row>
    <row r="408" spans="11:11" x14ac:dyDescent="0.25">
      <c r="K408" s="208"/>
    </row>
    <row r="409" spans="11:11" x14ac:dyDescent="0.25">
      <c r="K409" s="208"/>
    </row>
    <row r="410" spans="11:11" x14ac:dyDescent="0.25">
      <c r="K410" s="208"/>
    </row>
    <row r="411" spans="11:11" x14ac:dyDescent="0.25">
      <c r="K411" s="208"/>
    </row>
    <row r="412" spans="11:11" x14ac:dyDescent="0.25">
      <c r="K412" s="208"/>
    </row>
    <row r="413" spans="11:11" x14ac:dyDescent="0.25">
      <c r="K413" s="208"/>
    </row>
    <row r="414" spans="11:11" x14ac:dyDescent="0.25">
      <c r="K414" s="208"/>
    </row>
    <row r="415" spans="11:11" x14ac:dyDescent="0.25">
      <c r="K415" s="208"/>
    </row>
    <row r="416" spans="11:11" x14ac:dyDescent="0.25">
      <c r="K416" s="208"/>
    </row>
    <row r="417" spans="11:11" x14ac:dyDescent="0.25">
      <c r="K417" s="208"/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3956"/>
  <sheetViews>
    <sheetView zoomScale="80" zoomScaleNormal="80" workbookViewId="0">
      <pane ySplit="10" topLeftCell="A11" activePane="bottomLeft" state="frozen"/>
      <selection pane="bottomLeft" activeCell="C32" sqref="C32"/>
    </sheetView>
  </sheetViews>
  <sheetFormatPr baseColWidth="10" defaultColWidth="8.81640625" defaultRowHeight="12.5" x14ac:dyDescent="0.25"/>
  <cols>
    <col min="1" max="1" width="29.453125" customWidth="1"/>
    <col min="2" max="2" width="10.54296875" customWidth="1"/>
    <col min="3" max="3" width="11.81640625" customWidth="1"/>
    <col min="4" max="4" width="10.54296875" customWidth="1"/>
    <col min="5" max="5" width="27.81640625" customWidth="1"/>
    <col min="6" max="6" width="10.54296875" customWidth="1"/>
    <col min="7" max="7" width="12" customWidth="1"/>
    <col min="8" max="8" width="10.1796875" customWidth="1"/>
    <col min="9" max="12" width="10.54296875" customWidth="1"/>
    <col min="14" max="14" width="25.453125" customWidth="1"/>
    <col min="16" max="16" width="10.54296875" customWidth="1"/>
  </cols>
  <sheetData>
    <row r="1" spans="1:24" ht="13" x14ac:dyDescent="0.3">
      <c r="A1" s="109" t="s">
        <v>102</v>
      </c>
      <c r="B1" s="110"/>
      <c r="C1" s="110"/>
      <c r="E1" s="111" t="s">
        <v>106</v>
      </c>
      <c r="F1" s="112" t="s">
        <v>86</v>
      </c>
      <c r="G1" s="112" t="s">
        <v>87</v>
      </c>
      <c r="H1" s="112" t="s">
        <v>88</v>
      </c>
      <c r="L1" s="169"/>
    </row>
    <row r="2" spans="1:24" x14ac:dyDescent="0.25">
      <c r="A2" s="109" t="s">
        <v>103</v>
      </c>
      <c r="B2" s="110"/>
      <c r="C2" s="110"/>
      <c r="E2" s="113" t="s">
        <v>85</v>
      </c>
      <c r="F2" s="114">
        <v>10</v>
      </c>
      <c r="G2" s="114">
        <v>15</v>
      </c>
      <c r="H2" s="114">
        <v>25</v>
      </c>
      <c r="I2" s="14"/>
      <c r="J2" s="14"/>
      <c r="L2" s="169"/>
    </row>
    <row r="3" spans="1:24" ht="13" x14ac:dyDescent="0.3">
      <c r="A3" s="109" t="s">
        <v>104</v>
      </c>
      <c r="B3" s="110"/>
      <c r="C3" s="110"/>
      <c r="E3" s="113" t="s">
        <v>89</v>
      </c>
      <c r="F3" s="114">
        <v>2</v>
      </c>
      <c r="G3" s="114">
        <v>3</v>
      </c>
      <c r="H3" s="114">
        <v>5</v>
      </c>
      <c r="I3" s="13"/>
      <c r="J3" s="13"/>
      <c r="L3" s="169"/>
    </row>
    <row r="4" spans="1:24" x14ac:dyDescent="0.25">
      <c r="A4" s="109" t="s">
        <v>712</v>
      </c>
      <c r="B4" s="110"/>
      <c r="C4" s="110"/>
      <c r="E4" s="113" t="s">
        <v>90</v>
      </c>
      <c r="F4" s="114">
        <v>4</v>
      </c>
      <c r="G4" s="114">
        <v>8</v>
      </c>
      <c r="H4" s="114">
        <v>15</v>
      </c>
      <c r="I4" s="15"/>
      <c r="J4" s="15"/>
      <c r="L4" s="169"/>
    </row>
    <row r="5" spans="1:24" x14ac:dyDescent="0.25">
      <c r="A5" s="109"/>
      <c r="B5" s="110"/>
      <c r="C5" s="110"/>
      <c r="E5" s="113" t="s">
        <v>94</v>
      </c>
      <c r="F5" s="114">
        <v>1</v>
      </c>
      <c r="G5" s="114">
        <v>1</v>
      </c>
      <c r="H5" s="114">
        <v>2</v>
      </c>
      <c r="L5" s="169"/>
    </row>
    <row r="6" spans="1:24" x14ac:dyDescent="0.25">
      <c r="A6" s="109" t="s">
        <v>105</v>
      </c>
      <c r="B6" s="110"/>
      <c r="C6" s="110"/>
      <c r="E6" s="113" t="s">
        <v>91</v>
      </c>
      <c r="F6" s="114">
        <v>2</v>
      </c>
      <c r="G6" s="114">
        <v>4</v>
      </c>
      <c r="H6" s="114">
        <v>10</v>
      </c>
      <c r="L6" s="169"/>
    </row>
    <row r="7" spans="1:24" x14ac:dyDescent="0.25">
      <c r="A7" s="109" t="s">
        <v>645</v>
      </c>
      <c r="B7" s="110"/>
      <c r="C7" s="110"/>
      <c r="E7" s="113" t="s">
        <v>92</v>
      </c>
      <c r="F7" s="114">
        <v>0</v>
      </c>
      <c r="G7" s="114">
        <v>5</v>
      </c>
      <c r="H7" s="114">
        <v>1</v>
      </c>
      <c r="L7" s="169"/>
    </row>
    <row r="8" spans="1:24" x14ac:dyDescent="0.25">
      <c r="E8" s="113" t="s">
        <v>93</v>
      </c>
      <c r="F8" s="114">
        <v>1</v>
      </c>
      <c r="G8" s="114">
        <v>2</v>
      </c>
      <c r="H8" s="114">
        <v>3</v>
      </c>
      <c r="L8" s="169"/>
    </row>
    <row r="9" spans="1:24" x14ac:dyDescent="0.25">
      <c r="E9" s="115" t="s">
        <v>96</v>
      </c>
      <c r="F9" s="115"/>
      <c r="G9" s="115"/>
      <c r="H9" s="115"/>
      <c r="L9" s="169"/>
    </row>
    <row r="10" spans="1:24" s="108" customFormat="1" x14ac:dyDescent="0.25"/>
    <row r="11" spans="1:24" x14ac:dyDescent="0.25">
      <c r="G11" s="46"/>
      <c r="H11" s="10"/>
      <c r="I11" s="10"/>
      <c r="J11" s="10"/>
      <c r="K11" s="10"/>
      <c r="L11" s="169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</row>
    <row r="12" spans="1:24" ht="13" thickBot="1" x14ac:dyDescent="0.3">
      <c r="G12" s="46"/>
      <c r="H12" s="10"/>
      <c r="I12" s="10"/>
      <c r="J12" s="10"/>
      <c r="K12" s="10"/>
      <c r="L12" s="169"/>
      <c r="N12" s="14"/>
      <c r="O12" s="14"/>
      <c r="P12" s="14"/>
    </row>
    <row r="13" spans="1:24" ht="13" x14ac:dyDescent="0.3">
      <c r="A13" s="74" t="s">
        <v>671</v>
      </c>
      <c r="B13" s="76"/>
      <c r="C13" s="76"/>
      <c r="D13" s="76"/>
      <c r="E13" s="76"/>
      <c r="F13" s="76"/>
      <c r="G13" s="76"/>
      <c r="H13" s="102"/>
      <c r="I13" s="102"/>
      <c r="J13" s="102"/>
      <c r="K13" s="103"/>
      <c r="L13" s="169"/>
      <c r="N13" s="14"/>
      <c r="O13" s="14"/>
      <c r="P13" s="14"/>
    </row>
    <row r="14" spans="1:24" ht="13" x14ac:dyDescent="0.3">
      <c r="A14" s="77" t="s">
        <v>672</v>
      </c>
      <c r="B14" s="41"/>
      <c r="C14" s="41" t="s">
        <v>673</v>
      </c>
      <c r="D14" s="46"/>
      <c r="E14" s="46"/>
      <c r="F14" s="46"/>
      <c r="G14" s="46"/>
      <c r="H14" s="14"/>
      <c r="I14" s="14"/>
      <c r="J14" s="14"/>
      <c r="K14" s="146"/>
      <c r="L14" s="169"/>
      <c r="N14" s="14"/>
      <c r="O14" s="14"/>
      <c r="P14" s="14"/>
    </row>
    <row r="15" spans="1:24" x14ac:dyDescent="0.25">
      <c r="A15" s="183" t="s">
        <v>986</v>
      </c>
      <c r="B15" s="46"/>
      <c r="C15" s="183">
        <v>0</v>
      </c>
      <c r="D15" s="46"/>
      <c r="E15" s="46"/>
      <c r="F15" s="46"/>
      <c r="G15" s="46"/>
      <c r="H15" s="14"/>
      <c r="I15" s="14"/>
      <c r="J15" s="14"/>
      <c r="K15" s="146"/>
      <c r="L15" s="169"/>
      <c r="N15" s="14"/>
      <c r="O15" s="14"/>
      <c r="P15" s="14"/>
    </row>
    <row r="16" spans="1:24" ht="13" x14ac:dyDescent="0.3">
      <c r="A16" s="77" t="s">
        <v>674</v>
      </c>
      <c r="B16" s="41" t="s">
        <v>675</v>
      </c>
      <c r="C16" s="41" t="s">
        <v>775</v>
      </c>
      <c r="D16" s="41" t="s">
        <v>777</v>
      </c>
      <c r="E16" s="138" t="s">
        <v>776</v>
      </c>
      <c r="F16" s="138" t="s">
        <v>818</v>
      </c>
      <c r="G16" s="138" t="s">
        <v>823</v>
      </c>
      <c r="H16" s="138" t="s">
        <v>774</v>
      </c>
      <c r="I16" s="138" t="s">
        <v>773</v>
      </c>
      <c r="J16" s="138" t="s">
        <v>790</v>
      </c>
      <c r="K16" s="139" t="s">
        <v>822</v>
      </c>
      <c r="L16" s="169"/>
      <c r="N16" s="14"/>
      <c r="O16" s="14"/>
      <c r="P16" s="14"/>
    </row>
    <row r="17" spans="1:16" x14ac:dyDescent="0.25">
      <c r="A17" s="87">
        <v>4</v>
      </c>
      <c r="B17" s="78">
        <v>2007</v>
      </c>
      <c r="C17" s="78">
        <v>1</v>
      </c>
      <c r="D17" s="78">
        <v>20</v>
      </c>
      <c r="E17" s="78">
        <v>288</v>
      </c>
      <c r="F17" s="78">
        <v>20</v>
      </c>
      <c r="G17" s="78">
        <v>280</v>
      </c>
      <c r="H17" s="78" t="s">
        <v>39</v>
      </c>
      <c r="I17" s="78">
        <v>0.3</v>
      </c>
      <c r="J17" s="78">
        <v>280</v>
      </c>
      <c r="K17" s="83">
        <v>0.01</v>
      </c>
      <c r="L17" s="169"/>
      <c r="N17" s="14"/>
      <c r="O17" s="14"/>
      <c r="P17" s="14"/>
    </row>
    <row r="18" spans="1:16" x14ac:dyDescent="0.25">
      <c r="A18" s="93"/>
      <c r="B18" s="46"/>
      <c r="C18" s="46"/>
      <c r="D18" s="46"/>
      <c r="E18" s="46"/>
      <c r="F18" s="46"/>
      <c r="G18" s="46"/>
      <c r="H18" s="14"/>
      <c r="I18" s="14"/>
      <c r="J18" s="14"/>
      <c r="K18" s="146"/>
      <c r="L18" s="169"/>
      <c r="N18" s="14"/>
      <c r="O18" s="14"/>
      <c r="P18" s="14"/>
    </row>
    <row r="19" spans="1:16" ht="13" x14ac:dyDescent="0.3">
      <c r="A19" s="94" t="s">
        <v>98</v>
      </c>
      <c r="B19" s="78">
        <v>2</v>
      </c>
      <c r="C19" s="6"/>
      <c r="D19" s="14"/>
      <c r="E19" s="116" t="s">
        <v>704</v>
      </c>
      <c r="F19" s="78">
        <v>2</v>
      </c>
      <c r="G19" s="144" t="s">
        <v>676</v>
      </c>
      <c r="H19" s="14"/>
      <c r="I19" s="14"/>
      <c r="J19" s="14"/>
      <c r="K19" s="146"/>
      <c r="L19" s="169"/>
      <c r="N19" s="14"/>
      <c r="O19" s="14"/>
      <c r="P19" s="14"/>
    </row>
    <row r="20" spans="1:16" ht="13" x14ac:dyDescent="0.3">
      <c r="A20" s="95" t="s">
        <v>81</v>
      </c>
      <c r="B20" s="78">
        <v>1</v>
      </c>
      <c r="C20" s="14"/>
      <c r="D20" s="14"/>
      <c r="E20" s="118" t="s">
        <v>711</v>
      </c>
      <c r="F20" s="78">
        <v>0</v>
      </c>
      <c r="G20" s="78">
        <v>0</v>
      </c>
      <c r="H20" s="14"/>
      <c r="I20" s="14"/>
      <c r="J20" s="14"/>
      <c r="K20" s="146"/>
      <c r="L20" s="169"/>
      <c r="N20" s="14"/>
      <c r="O20" s="14"/>
      <c r="P20" s="14"/>
    </row>
    <row r="21" spans="1:16" ht="13" x14ac:dyDescent="0.3">
      <c r="A21" s="95" t="s">
        <v>705</v>
      </c>
      <c r="B21" s="78">
        <v>1</v>
      </c>
      <c r="C21" s="14"/>
      <c r="D21" s="14"/>
      <c r="E21" s="118" t="s">
        <v>705</v>
      </c>
      <c r="F21" s="78">
        <v>0</v>
      </c>
      <c r="G21" s="6"/>
      <c r="H21" s="14"/>
      <c r="I21" s="14"/>
      <c r="J21" s="14"/>
      <c r="K21" s="146"/>
      <c r="L21" s="169"/>
      <c r="N21" s="14"/>
      <c r="O21" s="14"/>
      <c r="P21" s="14"/>
    </row>
    <row r="22" spans="1:16" ht="13" x14ac:dyDescent="0.3">
      <c r="A22" s="96"/>
      <c r="B22" s="97" t="s">
        <v>665</v>
      </c>
      <c r="C22" s="97" t="s">
        <v>55</v>
      </c>
      <c r="D22" s="97" t="s">
        <v>95</v>
      </c>
      <c r="E22" s="117" t="s">
        <v>706</v>
      </c>
      <c r="F22" s="117" t="s">
        <v>707</v>
      </c>
      <c r="G22" s="145"/>
      <c r="H22" s="14"/>
      <c r="I22" s="14"/>
      <c r="J22" s="14"/>
      <c r="K22" s="146"/>
      <c r="L22" s="169"/>
      <c r="N22" s="14"/>
      <c r="O22" s="14"/>
      <c r="P22" s="14"/>
    </row>
    <row r="23" spans="1:16" ht="13" x14ac:dyDescent="0.3">
      <c r="A23" s="96" t="s">
        <v>710</v>
      </c>
      <c r="B23" s="98" t="s">
        <v>69</v>
      </c>
      <c r="C23" s="97" t="s">
        <v>107</v>
      </c>
      <c r="D23" s="98" t="s">
        <v>61</v>
      </c>
      <c r="E23" s="117" t="s">
        <v>709</v>
      </c>
      <c r="F23" s="117" t="s">
        <v>708</v>
      </c>
      <c r="G23" s="145"/>
      <c r="H23" s="14"/>
      <c r="I23" s="14"/>
      <c r="J23" s="14"/>
      <c r="K23" s="146"/>
      <c r="L23" s="169"/>
      <c r="N23" s="14"/>
      <c r="O23" s="14"/>
      <c r="P23" s="14"/>
    </row>
    <row r="24" spans="1:16" x14ac:dyDescent="0.25">
      <c r="A24" s="99">
        <v>1</v>
      </c>
      <c r="B24" s="78">
        <v>1</v>
      </c>
      <c r="C24" s="78">
        <v>5</v>
      </c>
      <c r="D24" s="78">
        <v>7</v>
      </c>
      <c r="E24" s="78">
        <v>0</v>
      </c>
      <c r="F24" s="78">
        <v>0</v>
      </c>
      <c r="G24" s="46"/>
      <c r="H24" s="14"/>
      <c r="I24" s="14"/>
      <c r="J24" s="14"/>
      <c r="K24" s="146"/>
      <c r="L24" s="169"/>
      <c r="N24" s="14"/>
      <c r="O24" s="14"/>
      <c r="P24" s="14"/>
    </row>
    <row r="25" spans="1:16" x14ac:dyDescent="0.25">
      <c r="A25" s="99">
        <v>2</v>
      </c>
      <c r="B25" s="78" t="s">
        <v>39</v>
      </c>
      <c r="C25" s="78" t="s">
        <v>39</v>
      </c>
      <c r="D25" s="78" t="s">
        <v>39</v>
      </c>
      <c r="E25" s="78">
        <v>0</v>
      </c>
      <c r="F25" s="78">
        <v>0</v>
      </c>
      <c r="G25" s="46"/>
      <c r="H25" s="14"/>
      <c r="I25" s="14"/>
      <c r="J25" s="14"/>
      <c r="K25" s="146"/>
      <c r="L25" s="169"/>
      <c r="N25" s="14"/>
      <c r="O25" s="14"/>
      <c r="P25" s="14"/>
    </row>
    <row r="26" spans="1:16" x14ac:dyDescent="0.25">
      <c r="A26" s="99">
        <v>3</v>
      </c>
      <c r="B26" s="78" t="s">
        <v>39</v>
      </c>
      <c r="C26" s="78" t="s">
        <v>39</v>
      </c>
      <c r="D26" s="78" t="s">
        <v>39</v>
      </c>
      <c r="E26" s="78">
        <v>0</v>
      </c>
      <c r="F26" s="78">
        <v>0</v>
      </c>
      <c r="G26" s="46"/>
      <c r="H26" s="14"/>
      <c r="I26" s="14"/>
      <c r="J26" s="14"/>
      <c r="K26" s="146"/>
      <c r="L26" s="169"/>
      <c r="N26" s="14"/>
      <c r="O26" s="14"/>
      <c r="P26" s="14"/>
    </row>
    <row r="27" spans="1:16" x14ac:dyDescent="0.25">
      <c r="A27" s="88">
        <v>4</v>
      </c>
      <c r="B27" s="78" t="s">
        <v>39</v>
      </c>
      <c r="C27" s="78" t="s">
        <v>39</v>
      </c>
      <c r="D27" s="78" t="s">
        <v>39</v>
      </c>
      <c r="E27" s="78">
        <v>0</v>
      </c>
      <c r="F27" s="78">
        <v>0</v>
      </c>
      <c r="G27" s="46"/>
      <c r="H27" s="14"/>
      <c r="I27" s="14"/>
      <c r="J27" s="14"/>
      <c r="K27" s="146"/>
      <c r="L27" s="169"/>
      <c r="N27" s="14"/>
      <c r="O27" s="14"/>
      <c r="P27" s="14"/>
    </row>
    <row r="28" spans="1:16" x14ac:dyDescent="0.25">
      <c r="A28" s="88">
        <v>5</v>
      </c>
      <c r="B28" s="78" t="s">
        <v>39</v>
      </c>
      <c r="C28" s="78" t="s">
        <v>39</v>
      </c>
      <c r="D28" s="78" t="s">
        <v>39</v>
      </c>
      <c r="E28" s="78">
        <v>0</v>
      </c>
      <c r="F28" s="78">
        <v>0</v>
      </c>
      <c r="G28" s="46"/>
      <c r="H28" s="14"/>
      <c r="I28" s="14"/>
      <c r="J28" s="14"/>
      <c r="K28" s="146"/>
      <c r="L28" s="169"/>
      <c r="N28" s="14"/>
      <c r="O28" s="14"/>
      <c r="P28" s="14"/>
    </row>
    <row r="29" spans="1:16" x14ac:dyDescent="0.25">
      <c r="A29" s="88">
        <v>6</v>
      </c>
      <c r="B29" s="78" t="s">
        <v>39</v>
      </c>
      <c r="C29" s="78" t="s">
        <v>39</v>
      </c>
      <c r="D29" s="78" t="s">
        <v>39</v>
      </c>
      <c r="E29" s="78">
        <v>0</v>
      </c>
      <c r="F29" s="78">
        <v>0</v>
      </c>
      <c r="G29" s="46"/>
      <c r="H29" s="14"/>
      <c r="I29" s="14"/>
      <c r="J29" s="14"/>
      <c r="K29" s="146"/>
      <c r="L29" s="169"/>
      <c r="N29" s="14"/>
      <c r="O29" s="14"/>
      <c r="P29" s="14"/>
    </row>
    <row r="30" spans="1:16" x14ac:dyDescent="0.25">
      <c r="A30" s="88">
        <v>7</v>
      </c>
      <c r="B30" s="78" t="s">
        <v>39</v>
      </c>
      <c r="C30" s="78" t="s">
        <v>39</v>
      </c>
      <c r="D30" s="78" t="s">
        <v>39</v>
      </c>
      <c r="E30" s="78">
        <v>0</v>
      </c>
      <c r="F30" s="78">
        <v>0</v>
      </c>
      <c r="G30" s="46"/>
      <c r="H30" s="14"/>
      <c r="I30" s="14"/>
      <c r="J30" s="14"/>
      <c r="K30" s="146"/>
      <c r="L30" s="169"/>
      <c r="N30" s="14"/>
      <c r="O30" s="14"/>
      <c r="P30" s="14"/>
    </row>
    <row r="31" spans="1:16" x14ac:dyDescent="0.25">
      <c r="A31" s="88">
        <v>8</v>
      </c>
      <c r="B31" s="78" t="s">
        <v>39</v>
      </c>
      <c r="C31" s="78" t="s">
        <v>39</v>
      </c>
      <c r="D31" s="78" t="s">
        <v>39</v>
      </c>
      <c r="E31" s="78">
        <v>0</v>
      </c>
      <c r="F31" s="78">
        <v>0</v>
      </c>
      <c r="G31" s="46"/>
      <c r="H31" s="14"/>
      <c r="I31" s="14"/>
      <c r="J31" s="14"/>
      <c r="K31" s="146"/>
      <c r="L31" s="169"/>
      <c r="N31" s="14"/>
      <c r="O31" s="14"/>
      <c r="P31" s="14"/>
    </row>
    <row r="32" spans="1:16" x14ac:dyDescent="0.25">
      <c r="A32" s="88">
        <v>9</v>
      </c>
      <c r="B32" s="78" t="s">
        <v>39</v>
      </c>
      <c r="C32" s="78" t="s">
        <v>39</v>
      </c>
      <c r="D32" s="78" t="s">
        <v>39</v>
      </c>
      <c r="E32" s="78">
        <v>0</v>
      </c>
      <c r="F32" s="78">
        <v>0</v>
      </c>
      <c r="G32" s="46"/>
      <c r="H32" s="14"/>
      <c r="I32" s="14"/>
      <c r="J32" s="14"/>
      <c r="K32" s="146"/>
      <c r="L32" s="169"/>
      <c r="N32" s="14"/>
      <c r="O32" s="14"/>
      <c r="P32" s="14"/>
    </row>
    <row r="33" spans="1:24" ht="13" thickBot="1" x14ac:dyDescent="0.3">
      <c r="A33" s="100">
        <v>10</v>
      </c>
      <c r="B33" s="90" t="s">
        <v>39</v>
      </c>
      <c r="C33" s="90" t="s">
        <v>39</v>
      </c>
      <c r="D33" s="90" t="s">
        <v>39</v>
      </c>
      <c r="E33" s="90">
        <v>0</v>
      </c>
      <c r="F33" s="90">
        <v>0</v>
      </c>
      <c r="G33" s="91"/>
      <c r="H33" s="147"/>
      <c r="I33" s="147"/>
      <c r="J33" s="147"/>
      <c r="K33" s="148"/>
      <c r="L33" s="169"/>
      <c r="N33" s="14"/>
      <c r="O33" s="14"/>
      <c r="P33" s="14"/>
    </row>
    <row r="34" spans="1:24" x14ac:dyDescent="0.25">
      <c r="G34" s="46"/>
      <c r="H34" s="10"/>
      <c r="I34" s="10"/>
      <c r="J34" s="10"/>
      <c r="K34" s="10"/>
      <c r="L34" s="169"/>
      <c r="N34" s="14"/>
      <c r="O34" s="14"/>
      <c r="P34" s="14"/>
    </row>
    <row r="35" spans="1:24" ht="13" thickBot="1" x14ac:dyDescent="0.3">
      <c r="G35" s="46"/>
      <c r="H35" s="10"/>
      <c r="I35" s="10"/>
      <c r="J35" s="10"/>
      <c r="K35" s="10"/>
      <c r="L35" s="169"/>
      <c r="N35" s="14"/>
      <c r="O35" s="14"/>
      <c r="P35" s="14"/>
    </row>
    <row r="36" spans="1:24" ht="13" x14ac:dyDescent="0.3">
      <c r="A36" s="74" t="s">
        <v>671</v>
      </c>
      <c r="B36" s="76"/>
      <c r="C36" s="76"/>
      <c r="D36" s="76"/>
      <c r="E36" s="76"/>
      <c r="F36" s="76"/>
      <c r="G36" s="76"/>
      <c r="H36" s="102"/>
      <c r="I36" s="102"/>
      <c r="J36" s="102"/>
      <c r="K36" s="103"/>
      <c r="L36" s="169"/>
      <c r="N36" s="14"/>
      <c r="O36" s="14"/>
      <c r="P36" s="14"/>
    </row>
    <row r="37" spans="1:24" ht="13" x14ac:dyDescent="0.3">
      <c r="A37" s="77" t="s">
        <v>672</v>
      </c>
      <c r="B37" s="41"/>
      <c r="C37" s="41" t="s">
        <v>673</v>
      </c>
      <c r="D37" s="46"/>
      <c r="E37" s="46"/>
      <c r="F37" s="46"/>
      <c r="G37" s="46"/>
      <c r="H37" s="14"/>
      <c r="I37" s="14"/>
      <c r="J37" s="14"/>
      <c r="K37" s="146"/>
      <c r="L37" s="169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</row>
    <row r="38" spans="1:24" x14ac:dyDescent="0.25">
      <c r="A38" s="183" t="s">
        <v>987</v>
      </c>
      <c r="B38" s="46"/>
      <c r="C38" s="183">
        <v>0</v>
      </c>
      <c r="D38" s="46"/>
      <c r="E38" s="46"/>
      <c r="F38" s="46"/>
      <c r="G38" s="46"/>
      <c r="H38" s="14"/>
      <c r="I38" s="14"/>
      <c r="J38" s="14"/>
      <c r="K38" s="146"/>
      <c r="L38" s="169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</row>
    <row r="39" spans="1:24" ht="13" x14ac:dyDescent="0.3">
      <c r="A39" s="77" t="s">
        <v>674</v>
      </c>
      <c r="B39" s="41" t="s">
        <v>675</v>
      </c>
      <c r="C39" s="41" t="s">
        <v>775</v>
      </c>
      <c r="D39" s="41" t="s">
        <v>777</v>
      </c>
      <c r="E39" s="138" t="s">
        <v>776</v>
      </c>
      <c r="F39" s="138" t="s">
        <v>818</v>
      </c>
      <c r="G39" s="138" t="s">
        <v>823</v>
      </c>
      <c r="H39" s="138" t="s">
        <v>774</v>
      </c>
      <c r="I39" s="138" t="s">
        <v>773</v>
      </c>
      <c r="J39" s="138" t="s">
        <v>790</v>
      </c>
      <c r="K39" s="139" t="s">
        <v>822</v>
      </c>
      <c r="L39" s="169"/>
      <c r="N39" s="13"/>
      <c r="O39" s="13"/>
      <c r="P39" s="13"/>
      <c r="Q39" s="14"/>
      <c r="R39" s="14"/>
      <c r="S39" s="14"/>
      <c r="T39" s="14"/>
      <c r="U39" s="14"/>
      <c r="V39" s="14"/>
      <c r="W39" s="14"/>
      <c r="X39" s="14"/>
    </row>
    <row r="40" spans="1:24" x14ac:dyDescent="0.25">
      <c r="A40" s="87">
        <v>4</v>
      </c>
      <c r="B40" s="78">
        <v>1981</v>
      </c>
      <c r="C40" s="78">
        <v>1</v>
      </c>
      <c r="D40" s="78">
        <v>116</v>
      </c>
      <c r="E40" s="78">
        <v>288</v>
      </c>
      <c r="F40" s="78">
        <v>20</v>
      </c>
      <c r="G40" s="78">
        <v>280</v>
      </c>
      <c r="H40" s="78" t="s">
        <v>39</v>
      </c>
      <c r="I40" s="78">
        <v>0.3</v>
      </c>
      <c r="J40" s="78">
        <v>280</v>
      </c>
      <c r="K40" s="83">
        <v>0.64892767691432707</v>
      </c>
      <c r="L40" s="169"/>
      <c r="N40" s="14"/>
      <c r="O40" s="14"/>
      <c r="P40" s="15"/>
      <c r="Q40" s="14"/>
      <c r="R40" s="14"/>
      <c r="S40" s="14"/>
      <c r="T40" s="14"/>
      <c r="U40" s="14"/>
      <c r="V40" s="14"/>
      <c r="W40" s="14"/>
      <c r="X40" s="14"/>
    </row>
    <row r="41" spans="1:24" x14ac:dyDescent="0.25">
      <c r="A41" s="93"/>
      <c r="B41" s="46"/>
      <c r="C41" s="46"/>
      <c r="D41" s="46"/>
      <c r="E41" s="46"/>
      <c r="F41" s="46"/>
      <c r="G41" s="46"/>
      <c r="H41" s="14"/>
      <c r="I41" s="14"/>
      <c r="J41" s="14"/>
      <c r="K41" s="83"/>
      <c r="L41" s="169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</row>
    <row r="42" spans="1:24" ht="13" x14ac:dyDescent="0.3">
      <c r="A42" s="94" t="s">
        <v>98</v>
      </c>
      <c r="B42" s="78">
        <v>2</v>
      </c>
      <c r="C42" s="6"/>
      <c r="D42" s="14"/>
      <c r="E42" s="116" t="s">
        <v>704</v>
      </c>
      <c r="F42" s="78">
        <v>1</v>
      </c>
      <c r="G42" s="144" t="s">
        <v>676</v>
      </c>
      <c r="H42" s="14"/>
      <c r="I42" s="14"/>
      <c r="J42" s="14"/>
      <c r="K42" s="146"/>
      <c r="L42" s="169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</row>
    <row r="43" spans="1:24" ht="13" x14ac:dyDescent="0.3">
      <c r="A43" s="95" t="s">
        <v>81</v>
      </c>
      <c r="B43" s="78">
        <v>1</v>
      </c>
      <c r="C43" s="14"/>
      <c r="D43" s="14"/>
      <c r="E43" s="118" t="s">
        <v>711</v>
      </c>
      <c r="F43" s="78">
        <v>0</v>
      </c>
      <c r="G43" s="78">
        <v>0.25</v>
      </c>
      <c r="H43" s="14"/>
      <c r="I43" s="14"/>
      <c r="J43" s="14"/>
      <c r="K43" s="146"/>
      <c r="L43" s="169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</row>
    <row r="44" spans="1:24" ht="13" x14ac:dyDescent="0.3">
      <c r="A44" s="95" t="s">
        <v>705</v>
      </c>
      <c r="B44" s="78">
        <v>1</v>
      </c>
      <c r="C44" s="14"/>
      <c r="D44" s="14"/>
      <c r="E44" s="118" t="s">
        <v>705</v>
      </c>
      <c r="F44" s="78">
        <v>0</v>
      </c>
      <c r="G44" s="6"/>
      <c r="H44" s="14"/>
      <c r="I44" s="14"/>
      <c r="J44" s="14"/>
      <c r="K44" s="146"/>
      <c r="L44" s="169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</row>
    <row r="45" spans="1:24" ht="13" x14ac:dyDescent="0.3">
      <c r="A45" s="96"/>
      <c r="B45" s="97" t="s">
        <v>665</v>
      </c>
      <c r="C45" s="97" t="s">
        <v>55</v>
      </c>
      <c r="D45" s="97" t="s">
        <v>95</v>
      </c>
      <c r="E45" s="117" t="s">
        <v>706</v>
      </c>
      <c r="F45" s="117" t="s">
        <v>707</v>
      </c>
      <c r="G45" s="145"/>
      <c r="H45" s="14"/>
      <c r="I45" s="14"/>
      <c r="J45" s="14"/>
      <c r="K45" s="146"/>
      <c r="L45" s="169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</row>
    <row r="46" spans="1:24" ht="13" x14ac:dyDescent="0.3">
      <c r="A46" s="96" t="s">
        <v>710</v>
      </c>
      <c r="B46" s="98" t="s">
        <v>69</v>
      </c>
      <c r="C46" s="98" t="s">
        <v>107</v>
      </c>
      <c r="D46" s="98" t="s">
        <v>61</v>
      </c>
      <c r="E46" s="117" t="s">
        <v>709</v>
      </c>
      <c r="F46" s="117" t="s">
        <v>708</v>
      </c>
      <c r="G46" s="145"/>
      <c r="H46" s="14"/>
      <c r="I46" s="14"/>
      <c r="J46" s="14"/>
      <c r="K46" s="146"/>
      <c r="L46" s="169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</row>
    <row r="47" spans="1:24" x14ac:dyDescent="0.25">
      <c r="A47" s="99">
        <v>1</v>
      </c>
      <c r="B47" s="78">
        <v>1</v>
      </c>
      <c r="C47" s="78">
        <v>5</v>
      </c>
      <c r="D47" s="78">
        <v>7</v>
      </c>
      <c r="E47" s="78">
        <v>0</v>
      </c>
      <c r="F47" s="78">
        <v>0</v>
      </c>
      <c r="G47" s="46"/>
      <c r="H47" s="14"/>
      <c r="I47" s="14"/>
      <c r="J47" s="14"/>
      <c r="K47" s="146"/>
      <c r="L47" s="169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</row>
    <row r="48" spans="1:24" x14ac:dyDescent="0.25">
      <c r="A48" s="99">
        <v>2</v>
      </c>
      <c r="B48" s="78" t="s">
        <v>39</v>
      </c>
      <c r="C48" s="78" t="s">
        <v>39</v>
      </c>
      <c r="D48" s="78" t="s">
        <v>39</v>
      </c>
      <c r="E48" s="78">
        <v>0</v>
      </c>
      <c r="F48" s="78">
        <v>0</v>
      </c>
      <c r="G48" s="46"/>
      <c r="H48" s="14"/>
      <c r="I48" s="14"/>
      <c r="J48" s="14"/>
      <c r="K48" s="146"/>
      <c r="L48" s="169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</row>
    <row r="49" spans="1:24" x14ac:dyDescent="0.25">
      <c r="A49" s="99">
        <v>3</v>
      </c>
      <c r="B49" s="78" t="s">
        <v>39</v>
      </c>
      <c r="C49" s="78" t="s">
        <v>39</v>
      </c>
      <c r="D49" s="78" t="s">
        <v>39</v>
      </c>
      <c r="E49" s="78">
        <v>0</v>
      </c>
      <c r="F49" s="78">
        <v>0</v>
      </c>
      <c r="G49" s="46"/>
      <c r="H49" s="14"/>
      <c r="I49" s="14"/>
      <c r="J49" s="14"/>
      <c r="K49" s="146"/>
      <c r="L49" s="169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</row>
    <row r="50" spans="1:24" x14ac:dyDescent="0.25">
      <c r="A50" s="88">
        <v>4</v>
      </c>
      <c r="B50" s="78" t="s">
        <v>39</v>
      </c>
      <c r="C50" s="78" t="s">
        <v>39</v>
      </c>
      <c r="D50" s="78" t="s">
        <v>39</v>
      </c>
      <c r="E50" s="78">
        <v>0</v>
      </c>
      <c r="F50" s="78">
        <v>0</v>
      </c>
      <c r="G50" s="46"/>
      <c r="H50" s="14"/>
      <c r="I50" s="14"/>
      <c r="J50" s="14"/>
      <c r="K50" s="146"/>
      <c r="L50" s="169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</row>
    <row r="51" spans="1:24" x14ac:dyDescent="0.25">
      <c r="A51" s="88">
        <v>5</v>
      </c>
      <c r="B51" s="78" t="s">
        <v>39</v>
      </c>
      <c r="C51" s="78" t="s">
        <v>39</v>
      </c>
      <c r="D51" s="78" t="s">
        <v>39</v>
      </c>
      <c r="E51" s="78">
        <v>0</v>
      </c>
      <c r="F51" s="78">
        <v>0</v>
      </c>
      <c r="G51" s="46"/>
      <c r="H51" s="14"/>
      <c r="I51" s="14"/>
      <c r="J51" s="14"/>
      <c r="K51" s="146"/>
      <c r="L51" s="169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</row>
    <row r="52" spans="1:24" x14ac:dyDescent="0.25">
      <c r="A52" s="88">
        <v>6</v>
      </c>
      <c r="B52" s="78" t="s">
        <v>39</v>
      </c>
      <c r="C52" s="78" t="s">
        <v>39</v>
      </c>
      <c r="D52" s="78" t="s">
        <v>39</v>
      </c>
      <c r="E52" s="78">
        <v>0</v>
      </c>
      <c r="F52" s="78">
        <v>0</v>
      </c>
      <c r="G52" s="46"/>
      <c r="H52" s="14"/>
      <c r="I52" s="14"/>
      <c r="J52" s="14"/>
      <c r="K52" s="146"/>
      <c r="L52" s="169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</row>
    <row r="53" spans="1:24" x14ac:dyDescent="0.25">
      <c r="A53" s="88">
        <v>7</v>
      </c>
      <c r="B53" s="78" t="s">
        <v>39</v>
      </c>
      <c r="C53" s="78" t="s">
        <v>39</v>
      </c>
      <c r="D53" s="78" t="s">
        <v>39</v>
      </c>
      <c r="E53" s="78">
        <v>0</v>
      </c>
      <c r="F53" s="78">
        <v>0</v>
      </c>
      <c r="G53" s="46"/>
      <c r="H53" s="14"/>
      <c r="I53" s="14"/>
      <c r="J53" s="14"/>
      <c r="K53" s="146"/>
      <c r="L53" s="169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</row>
    <row r="54" spans="1:24" x14ac:dyDescent="0.25">
      <c r="A54" s="88">
        <v>8</v>
      </c>
      <c r="B54" s="78" t="s">
        <v>39</v>
      </c>
      <c r="C54" s="78" t="s">
        <v>39</v>
      </c>
      <c r="D54" s="78" t="s">
        <v>39</v>
      </c>
      <c r="E54" s="78">
        <v>0</v>
      </c>
      <c r="F54" s="78">
        <v>0</v>
      </c>
      <c r="G54" s="46"/>
      <c r="H54" s="14"/>
      <c r="I54" s="14"/>
      <c r="J54" s="14"/>
      <c r="K54" s="146"/>
      <c r="L54" s="169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</row>
    <row r="55" spans="1:24" x14ac:dyDescent="0.25">
      <c r="A55" s="88">
        <v>9</v>
      </c>
      <c r="B55" s="78" t="s">
        <v>39</v>
      </c>
      <c r="C55" s="78" t="s">
        <v>39</v>
      </c>
      <c r="D55" s="78" t="s">
        <v>39</v>
      </c>
      <c r="E55" s="78">
        <v>0</v>
      </c>
      <c r="F55" s="78">
        <v>0</v>
      </c>
      <c r="G55" s="46"/>
      <c r="H55" s="14"/>
      <c r="I55" s="14"/>
      <c r="J55" s="14"/>
      <c r="K55" s="146"/>
      <c r="L55" s="169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</row>
    <row r="56" spans="1:24" ht="13" thickBot="1" x14ac:dyDescent="0.3">
      <c r="A56" s="100">
        <v>10</v>
      </c>
      <c r="B56" s="90" t="s">
        <v>39</v>
      </c>
      <c r="C56" s="90" t="s">
        <v>39</v>
      </c>
      <c r="D56" s="90" t="s">
        <v>39</v>
      </c>
      <c r="E56" s="90">
        <v>0</v>
      </c>
      <c r="F56" s="90">
        <v>0</v>
      </c>
      <c r="G56" s="91"/>
      <c r="H56" s="147"/>
      <c r="I56" s="147"/>
      <c r="J56" s="147"/>
      <c r="K56" s="148"/>
      <c r="L56" s="169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</row>
    <row r="57" spans="1:24" x14ac:dyDescent="0.25">
      <c r="G57" s="46"/>
      <c r="H57" s="10"/>
      <c r="I57" s="10"/>
      <c r="J57" s="10"/>
      <c r="K57" s="10"/>
      <c r="L57" s="169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</row>
    <row r="58" spans="1:24" ht="13" thickBot="1" x14ac:dyDescent="0.3">
      <c r="G58" s="46"/>
      <c r="H58" s="10"/>
      <c r="I58" s="10"/>
      <c r="J58" s="10"/>
      <c r="K58" s="10"/>
      <c r="L58" s="169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</row>
    <row r="59" spans="1:24" ht="13" x14ac:dyDescent="0.3">
      <c r="A59" s="74" t="s">
        <v>671</v>
      </c>
      <c r="B59" s="76"/>
      <c r="C59" s="76"/>
      <c r="D59" s="76"/>
      <c r="E59" s="76"/>
      <c r="F59" s="76"/>
      <c r="G59" s="76"/>
      <c r="H59" s="102"/>
      <c r="I59" s="102"/>
      <c r="J59" s="102"/>
      <c r="K59" s="103"/>
      <c r="L59" s="169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</row>
    <row r="60" spans="1:24" ht="13" x14ac:dyDescent="0.3">
      <c r="A60" s="77" t="s">
        <v>672</v>
      </c>
      <c r="B60" s="41"/>
      <c r="C60" s="41" t="s">
        <v>673</v>
      </c>
      <c r="D60" s="46"/>
      <c r="E60" s="46"/>
      <c r="F60" s="46"/>
      <c r="G60" s="46"/>
      <c r="H60" s="14"/>
      <c r="I60" s="14"/>
      <c r="J60" s="14"/>
      <c r="K60" s="146"/>
      <c r="L60" s="169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</row>
    <row r="61" spans="1:24" x14ac:dyDescent="0.25">
      <c r="A61" s="183" t="s">
        <v>988</v>
      </c>
      <c r="B61" s="46"/>
      <c r="C61" s="183">
        <v>0</v>
      </c>
      <c r="D61" s="46"/>
      <c r="E61" s="46"/>
      <c r="F61" s="46"/>
      <c r="G61" s="46"/>
      <c r="H61" s="14"/>
      <c r="I61" s="14"/>
      <c r="J61" s="14"/>
      <c r="K61" s="146"/>
      <c r="L61" s="169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</row>
    <row r="62" spans="1:24" ht="13" x14ac:dyDescent="0.3">
      <c r="A62" s="77" t="s">
        <v>674</v>
      </c>
      <c r="B62" s="41" t="s">
        <v>675</v>
      </c>
      <c r="C62" s="41" t="s">
        <v>775</v>
      </c>
      <c r="D62" s="41" t="s">
        <v>777</v>
      </c>
      <c r="E62" s="138" t="s">
        <v>776</v>
      </c>
      <c r="F62" s="138" t="s">
        <v>818</v>
      </c>
      <c r="G62" s="138" t="s">
        <v>823</v>
      </c>
      <c r="H62" s="138" t="s">
        <v>774</v>
      </c>
      <c r="I62" s="138" t="s">
        <v>773</v>
      </c>
      <c r="J62" s="138" t="s">
        <v>790</v>
      </c>
      <c r="K62" s="139" t="s">
        <v>822</v>
      </c>
      <c r="L62" s="169"/>
      <c r="N62" s="13"/>
      <c r="O62" s="13"/>
      <c r="P62" s="13"/>
      <c r="Q62" s="14"/>
      <c r="R62" s="14"/>
      <c r="S62" s="14"/>
      <c r="T62" s="14"/>
      <c r="U62" s="14"/>
      <c r="V62" s="14"/>
      <c r="W62" s="14"/>
      <c r="X62" s="14"/>
    </row>
    <row r="63" spans="1:24" x14ac:dyDescent="0.25">
      <c r="A63" s="87">
        <v>4</v>
      </c>
      <c r="B63" s="78">
        <v>1980</v>
      </c>
      <c r="C63" s="78">
        <v>1</v>
      </c>
      <c r="D63" s="222">
        <v>67</v>
      </c>
      <c r="E63" s="78">
        <v>288</v>
      </c>
      <c r="F63" s="78">
        <v>20</v>
      </c>
      <c r="G63" s="78">
        <v>280</v>
      </c>
      <c r="H63" s="78" t="s">
        <v>39</v>
      </c>
      <c r="I63" s="78">
        <v>0.3</v>
      </c>
      <c r="J63" s="78">
        <v>30</v>
      </c>
      <c r="K63" s="83">
        <v>1.7658476878487881</v>
      </c>
      <c r="L63" s="169"/>
      <c r="N63" s="14"/>
      <c r="O63" s="14"/>
      <c r="P63" s="15"/>
      <c r="Q63" s="14"/>
      <c r="R63" s="14"/>
      <c r="S63" s="14"/>
      <c r="T63" s="14"/>
      <c r="U63" s="14"/>
      <c r="V63" s="14"/>
      <c r="W63" s="14"/>
      <c r="X63" s="14"/>
    </row>
    <row r="64" spans="1:24" x14ac:dyDescent="0.25">
      <c r="A64" s="93"/>
      <c r="B64" s="46"/>
      <c r="C64" s="46"/>
      <c r="D64" s="46"/>
      <c r="E64" s="46"/>
      <c r="F64" s="46"/>
      <c r="G64" s="46"/>
      <c r="H64" s="14"/>
      <c r="I64" s="14"/>
      <c r="J64" s="14"/>
      <c r="K64" s="146"/>
      <c r="L64" s="169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</row>
    <row r="65" spans="1:24" ht="13" x14ac:dyDescent="0.3">
      <c r="A65" s="94" t="s">
        <v>98</v>
      </c>
      <c r="B65" s="78">
        <v>2</v>
      </c>
      <c r="C65" s="6"/>
      <c r="D65" s="14"/>
      <c r="E65" s="116" t="s">
        <v>704</v>
      </c>
      <c r="F65" s="78">
        <v>2</v>
      </c>
      <c r="G65" s="144" t="s">
        <v>676</v>
      </c>
      <c r="H65" s="14"/>
      <c r="I65" s="14"/>
      <c r="J65" s="14"/>
      <c r="K65" s="146"/>
      <c r="L65" s="169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</row>
    <row r="66" spans="1:24" ht="13" x14ac:dyDescent="0.3">
      <c r="A66" s="95" t="s">
        <v>81</v>
      </c>
      <c r="B66" s="78">
        <v>0</v>
      </c>
      <c r="C66" s="14"/>
      <c r="D66" s="14"/>
      <c r="E66" s="118" t="s">
        <v>711</v>
      </c>
      <c r="F66" s="78">
        <v>0</v>
      </c>
      <c r="G66" s="78">
        <v>0</v>
      </c>
      <c r="H66" s="14"/>
      <c r="I66" s="14"/>
      <c r="J66" s="14"/>
      <c r="K66" s="146"/>
      <c r="L66" s="169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</row>
    <row r="67" spans="1:24" ht="13" x14ac:dyDescent="0.3">
      <c r="A67" s="95" t="s">
        <v>705</v>
      </c>
      <c r="B67" s="78" t="s">
        <v>39</v>
      </c>
      <c r="C67" s="14"/>
      <c r="D67" s="14"/>
      <c r="E67" s="118" t="s">
        <v>705</v>
      </c>
      <c r="F67" s="78">
        <v>0</v>
      </c>
      <c r="G67" s="6"/>
      <c r="H67" s="14"/>
      <c r="I67" s="14"/>
      <c r="J67" s="14"/>
      <c r="K67" s="146"/>
      <c r="L67" s="169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</row>
    <row r="68" spans="1:24" ht="13" x14ac:dyDescent="0.3">
      <c r="A68" s="96"/>
      <c r="B68" s="97" t="s">
        <v>665</v>
      </c>
      <c r="C68" s="97" t="s">
        <v>55</v>
      </c>
      <c r="D68" s="97" t="s">
        <v>95</v>
      </c>
      <c r="E68" s="117" t="s">
        <v>706</v>
      </c>
      <c r="F68" s="117" t="s">
        <v>707</v>
      </c>
      <c r="G68" s="145"/>
      <c r="H68" s="14"/>
      <c r="I68" s="14"/>
      <c r="J68" s="14"/>
      <c r="K68" s="146"/>
      <c r="L68" s="169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</row>
    <row r="69" spans="1:24" ht="13" x14ac:dyDescent="0.3">
      <c r="A69" s="96" t="s">
        <v>710</v>
      </c>
      <c r="B69" s="98" t="s">
        <v>69</v>
      </c>
      <c r="C69" s="98" t="s">
        <v>107</v>
      </c>
      <c r="D69" s="98" t="s">
        <v>61</v>
      </c>
      <c r="E69" s="117" t="s">
        <v>709</v>
      </c>
      <c r="F69" s="117" t="s">
        <v>708</v>
      </c>
      <c r="G69" s="145"/>
      <c r="H69" s="14"/>
      <c r="I69" s="221"/>
      <c r="J69" s="14"/>
      <c r="K69" s="146"/>
      <c r="L69" s="169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</row>
    <row r="70" spans="1:24" x14ac:dyDescent="0.25">
      <c r="A70" s="99">
        <v>1</v>
      </c>
      <c r="B70" s="78" t="s">
        <v>39</v>
      </c>
      <c r="C70" s="78" t="s">
        <v>39</v>
      </c>
      <c r="D70" s="78" t="s">
        <v>39</v>
      </c>
      <c r="E70" s="78">
        <v>0</v>
      </c>
      <c r="F70" s="78">
        <v>0</v>
      </c>
      <c r="G70" s="46"/>
      <c r="H70" s="14"/>
      <c r="I70" s="14"/>
      <c r="J70" s="14"/>
      <c r="K70" s="146"/>
      <c r="L70" s="169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</row>
    <row r="71" spans="1:24" x14ac:dyDescent="0.25">
      <c r="A71" s="99">
        <v>2</v>
      </c>
      <c r="B71" s="78" t="s">
        <v>39</v>
      </c>
      <c r="C71" s="78" t="s">
        <v>39</v>
      </c>
      <c r="D71" s="78" t="s">
        <v>39</v>
      </c>
      <c r="E71" s="78">
        <v>0</v>
      </c>
      <c r="F71" s="78">
        <v>0</v>
      </c>
      <c r="G71" s="46"/>
      <c r="H71" s="14"/>
      <c r="I71" s="14"/>
      <c r="J71" s="14"/>
      <c r="K71" s="146"/>
      <c r="L71" s="169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</row>
    <row r="72" spans="1:24" x14ac:dyDescent="0.25">
      <c r="A72" s="99">
        <v>3</v>
      </c>
      <c r="B72" s="78" t="s">
        <v>39</v>
      </c>
      <c r="C72" s="78" t="s">
        <v>39</v>
      </c>
      <c r="D72" s="78" t="s">
        <v>39</v>
      </c>
      <c r="E72" s="78">
        <v>0</v>
      </c>
      <c r="F72" s="78">
        <v>0</v>
      </c>
      <c r="G72" s="46"/>
      <c r="H72" s="14"/>
      <c r="I72" s="14"/>
      <c r="J72" s="14"/>
      <c r="K72" s="146"/>
      <c r="L72" s="169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</row>
    <row r="73" spans="1:24" x14ac:dyDescent="0.25">
      <c r="A73" s="88">
        <v>4</v>
      </c>
      <c r="B73" s="78" t="s">
        <v>39</v>
      </c>
      <c r="C73" s="78" t="s">
        <v>39</v>
      </c>
      <c r="D73" s="78" t="s">
        <v>39</v>
      </c>
      <c r="E73" s="78">
        <v>0</v>
      </c>
      <c r="F73" s="78">
        <v>0</v>
      </c>
      <c r="G73" s="46"/>
      <c r="H73" s="14"/>
      <c r="I73" s="14"/>
      <c r="J73" s="14"/>
      <c r="K73" s="146"/>
      <c r="L73" s="169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</row>
    <row r="74" spans="1:24" x14ac:dyDescent="0.25">
      <c r="A74" s="88">
        <v>5</v>
      </c>
      <c r="B74" s="78" t="s">
        <v>39</v>
      </c>
      <c r="C74" s="78" t="s">
        <v>39</v>
      </c>
      <c r="D74" s="78" t="s">
        <v>39</v>
      </c>
      <c r="E74" s="78">
        <v>0</v>
      </c>
      <c r="F74" s="78">
        <v>0</v>
      </c>
      <c r="G74" s="46"/>
      <c r="H74" s="14"/>
      <c r="I74" s="14"/>
      <c r="J74" s="14"/>
      <c r="K74" s="146"/>
      <c r="L74" s="169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</row>
    <row r="75" spans="1:24" x14ac:dyDescent="0.25">
      <c r="A75" s="88">
        <v>6</v>
      </c>
      <c r="B75" s="78" t="s">
        <v>39</v>
      </c>
      <c r="C75" s="78" t="s">
        <v>39</v>
      </c>
      <c r="D75" s="78" t="s">
        <v>39</v>
      </c>
      <c r="E75" s="78">
        <v>0</v>
      </c>
      <c r="F75" s="78">
        <v>0</v>
      </c>
      <c r="G75" s="46"/>
      <c r="H75" s="14"/>
      <c r="I75" s="14"/>
      <c r="J75" s="14"/>
      <c r="K75" s="146"/>
      <c r="L75" s="169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</row>
    <row r="76" spans="1:24" x14ac:dyDescent="0.25">
      <c r="A76" s="88">
        <v>7</v>
      </c>
      <c r="B76" s="78" t="s">
        <v>39</v>
      </c>
      <c r="C76" s="78" t="s">
        <v>39</v>
      </c>
      <c r="D76" s="78" t="s">
        <v>39</v>
      </c>
      <c r="E76" s="78">
        <v>0</v>
      </c>
      <c r="F76" s="78">
        <v>0</v>
      </c>
      <c r="G76" s="46"/>
      <c r="H76" s="14"/>
      <c r="I76" s="14"/>
      <c r="J76" s="14"/>
      <c r="K76" s="146"/>
      <c r="L76" s="169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</row>
    <row r="77" spans="1:24" x14ac:dyDescent="0.25">
      <c r="A77" s="88">
        <v>8</v>
      </c>
      <c r="B77" s="78" t="s">
        <v>39</v>
      </c>
      <c r="C77" s="78" t="s">
        <v>39</v>
      </c>
      <c r="D77" s="78" t="s">
        <v>39</v>
      </c>
      <c r="E77" s="78">
        <v>0</v>
      </c>
      <c r="F77" s="78">
        <v>0</v>
      </c>
      <c r="G77" s="46"/>
      <c r="H77" s="14"/>
      <c r="I77" s="14"/>
      <c r="J77" s="14"/>
      <c r="K77" s="146"/>
      <c r="L77" s="169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</row>
    <row r="78" spans="1:24" x14ac:dyDescent="0.25">
      <c r="A78" s="88">
        <v>9</v>
      </c>
      <c r="B78" s="78" t="s">
        <v>39</v>
      </c>
      <c r="C78" s="78" t="s">
        <v>39</v>
      </c>
      <c r="D78" s="78" t="s">
        <v>39</v>
      </c>
      <c r="E78" s="78">
        <v>0</v>
      </c>
      <c r="F78" s="78">
        <v>0</v>
      </c>
      <c r="G78" s="46"/>
      <c r="H78" s="14"/>
      <c r="I78" s="14"/>
      <c r="J78" s="14"/>
      <c r="K78" s="146"/>
      <c r="L78" s="169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</row>
    <row r="79" spans="1:24" ht="13" thickBot="1" x14ac:dyDescent="0.3">
      <c r="A79" s="100">
        <v>10</v>
      </c>
      <c r="B79" s="90" t="s">
        <v>39</v>
      </c>
      <c r="C79" s="90" t="s">
        <v>39</v>
      </c>
      <c r="D79" s="90" t="s">
        <v>39</v>
      </c>
      <c r="E79" s="90">
        <v>0</v>
      </c>
      <c r="F79" s="90">
        <v>0</v>
      </c>
      <c r="G79" s="91"/>
      <c r="H79" s="147"/>
      <c r="I79" s="147"/>
      <c r="J79" s="147"/>
      <c r="K79" s="148"/>
      <c r="L79" s="169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</row>
    <row r="80" spans="1:24" x14ac:dyDescent="0.25">
      <c r="G80" s="46"/>
      <c r="H80" s="10"/>
      <c r="I80" s="10"/>
      <c r="J80" s="10"/>
      <c r="K80" s="10"/>
      <c r="L80" s="169"/>
    </row>
    <row r="81" spans="7:24" x14ac:dyDescent="0.25">
      <c r="G81" s="46"/>
      <c r="H81" s="10"/>
      <c r="I81" s="10"/>
      <c r="J81" s="10"/>
      <c r="K81" s="10"/>
      <c r="L81" s="169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</row>
    <row r="82" spans="7:24" x14ac:dyDescent="0.25">
      <c r="L82" s="169"/>
    </row>
    <row r="83" spans="7:24" x14ac:dyDescent="0.25">
      <c r="L83" s="169"/>
    </row>
    <row r="84" spans="7:24" x14ac:dyDescent="0.25">
      <c r="L84" s="169"/>
    </row>
    <row r="85" spans="7:24" x14ac:dyDescent="0.25">
      <c r="L85" s="169"/>
    </row>
    <row r="86" spans="7:24" x14ac:dyDescent="0.25">
      <c r="L86" s="169"/>
    </row>
    <row r="87" spans="7:24" x14ac:dyDescent="0.25">
      <c r="L87" s="169"/>
    </row>
    <row r="88" spans="7:24" x14ac:dyDescent="0.25">
      <c r="L88" s="169"/>
    </row>
    <row r="89" spans="7:24" x14ac:dyDescent="0.25">
      <c r="L89" s="169"/>
    </row>
    <row r="90" spans="7:24" x14ac:dyDescent="0.25">
      <c r="L90" s="169"/>
    </row>
    <row r="91" spans="7:24" x14ac:dyDescent="0.25">
      <c r="L91" s="169"/>
    </row>
    <row r="92" spans="7:24" x14ac:dyDescent="0.25">
      <c r="L92" s="169"/>
    </row>
    <row r="93" spans="7:24" x14ac:dyDescent="0.25">
      <c r="L93" s="169"/>
    </row>
    <row r="94" spans="7:24" x14ac:dyDescent="0.25">
      <c r="L94" s="169"/>
    </row>
    <row r="95" spans="7:24" x14ac:dyDescent="0.25">
      <c r="L95" s="169"/>
    </row>
    <row r="96" spans="7:24" x14ac:dyDescent="0.25">
      <c r="L96" s="169"/>
    </row>
    <row r="97" spans="12:12" x14ac:dyDescent="0.25">
      <c r="L97" s="169"/>
    </row>
    <row r="98" spans="12:12" x14ac:dyDescent="0.25">
      <c r="L98" s="169"/>
    </row>
    <row r="99" spans="12:12" x14ac:dyDescent="0.25">
      <c r="L99" s="169"/>
    </row>
    <row r="100" spans="12:12" x14ac:dyDescent="0.25">
      <c r="L100" s="169"/>
    </row>
    <row r="101" spans="12:12" x14ac:dyDescent="0.25">
      <c r="L101" s="169"/>
    </row>
    <row r="102" spans="12:12" x14ac:dyDescent="0.25">
      <c r="L102" s="169"/>
    </row>
    <row r="103" spans="12:12" x14ac:dyDescent="0.25">
      <c r="L103" s="169"/>
    </row>
    <row r="104" spans="12:12" x14ac:dyDescent="0.25">
      <c r="L104" s="169"/>
    </row>
    <row r="105" spans="12:12" x14ac:dyDescent="0.25">
      <c r="L105" s="169"/>
    </row>
    <row r="106" spans="12:12" x14ac:dyDescent="0.25">
      <c r="L106" s="169"/>
    </row>
    <row r="107" spans="12:12" x14ac:dyDescent="0.25">
      <c r="L107" s="169"/>
    </row>
    <row r="108" spans="12:12" x14ac:dyDescent="0.25">
      <c r="L108" s="169"/>
    </row>
    <row r="109" spans="12:12" x14ac:dyDescent="0.25">
      <c r="L109" s="169"/>
    </row>
    <row r="110" spans="12:12" x14ac:dyDescent="0.25">
      <c r="L110" s="169"/>
    </row>
    <row r="111" spans="12:12" x14ac:dyDescent="0.25">
      <c r="L111" s="169"/>
    </row>
    <row r="112" spans="12:12" x14ac:dyDescent="0.25">
      <c r="L112" s="169"/>
    </row>
    <row r="113" spans="12:12" x14ac:dyDescent="0.25">
      <c r="L113" s="169"/>
    </row>
    <row r="114" spans="12:12" x14ac:dyDescent="0.25">
      <c r="L114" s="169"/>
    </row>
    <row r="115" spans="12:12" x14ac:dyDescent="0.25">
      <c r="L115" s="169"/>
    </row>
    <row r="116" spans="12:12" x14ac:dyDescent="0.25">
      <c r="L116" s="169"/>
    </row>
    <row r="117" spans="12:12" x14ac:dyDescent="0.25">
      <c r="L117" s="169"/>
    </row>
    <row r="118" spans="12:12" x14ac:dyDescent="0.25">
      <c r="L118" s="169"/>
    </row>
    <row r="119" spans="12:12" x14ac:dyDescent="0.25">
      <c r="L119" s="169"/>
    </row>
    <row r="120" spans="12:12" x14ac:dyDescent="0.25">
      <c r="L120" s="169"/>
    </row>
    <row r="121" spans="12:12" x14ac:dyDescent="0.25">
      <c r="L121" s="169"/>
    </row>
    <row r="122" spans="12:12" x14ac:dyDescent="0.25">
      <c r="L122" s="169"/>
    </row>
    <row r="123" spans="12:12" x14ac:dyDescent="0.25">
      <c r="L123" s="169"/>
    </row>
    <row r="124" spans="12:12" x14ac:dyDescent="0.25">
      <c r="L124" s="169"/>
    </row>
    <row r="125" spans="12:12" x14ac:dyDescent="0.25">
      <c r="L125" s="169"/>
    </row>
    <row r="126" spans="12:12" x14ac:dyDescent="0.25">
      <c r="L126" s="169"/>
    </row>
    <row r="127" spans="12:12" x14ac:dyDescent="0.25">
      <c r="L127" s="169"/>
    </row>
    <row r="128" spans="12:12" x14ac:dyDescent="0.25">
      <c r="L128" s="169"/>
    </row>
    <row r="129" spans="12:12" x14ac:dyDescent="0.25">
      <c r="L129" s="169"/>
    </row>
    <row r="130" spans="12:12" x14ac:dyDescent="0.25">
      <c r="L130" s="169"/>
    </row>
    <row r="131" spans="12:12" x14ac:dyDescent="0.25">
      <c r="L131" s="169"/>
    </row>
    <row r="132" spans="12:12" x14ac:dyDescent="0.25">
      <c r="L132" s="169"/>
    </row>
    <row r="133" spans="12:12" x14ac:dyDescent="0.25">
      <c r="L133" s="169"/>
    </row>
    <row r="134" spans="12:12" x14ac:dyDescent="0.25">
      <c r="L134" s="169"/>
    </row>
    <row r="135" spans="12:12" x14ac:dyDescent="0.25">
      <c r="L135" s="169"/>
    </row>
    <row r="136" spans="12:12" x14ac:dyDescent="0.25">
      <c r="L136" s="169"/>
    </row>
    <row r="137" spans="12:12" x14ac:dyDescent="0.25">
      <c r="L137" s="169"/>
    </row>
    <row r="138" spans="12:12" x14ac:dyDescent="0.25">
      <c r="L138" s="169"/>
    </row>
    <row r="139" spans="12:12" x14ac:dyDescent="0.25">
      <c r="L139" s="169"/>
    </row>
    <row r="140" spans="12:12" x14ac:dyDescent="0.25">
      <c r="L140" s="169"/>
    </row>
    <row r="141" spans="12:12" x14ac:dyDescent="0.25">
      <c r="L141" s="169"/>
    </row>
    <row r="142" spans="12:12" x14ac:dyDescent="0.25">
      <c r="L142" s="169"/>
    </row>
    <row r="143" spans="12:12" x14ac:dyDescent="0.25">
      <c r="L143" s="169"/>
    </row>
    <row r="144" spans="12:12" x14ac:dyDescent="0.25">
      <c r="L144" s="169"/>
    </row>
    <row r="145" spans="12:12" x14ac:dyDescent="0.25">
      <c r="L145" s="169"/>
    </row>
    <row r="146" spans="12:12" x14ac:dyDescent="0.25">
      <c r="L146" s="169"/>
    </row>
    <row r="147" spans="12:12" x14ac:dyDescent="0.25">
      <c r="L147" s="169"/>
    </row>
    <row r="148" spans="12:12" x14ac:dyDescent="0.25">
      <c r="L148" s="169"/>
    </row>
    <row r="149" spans="12:12" x14ac:dyDescent="0.25">
      <c r="L149" s="169"/>
    </row>
    <row r="150" spans="12:12" x14ac:dyDescent="0.25">
      <c r="L150" s="169"/>
    </row>
    <row r="151" spans="12:12" x14ac:dyDescent="0.25">
      <c r="L151" s="169"/>
    </row>
    <row r="152" spans="12:12" x14ac:dyDescent="0.25">
      <c r="L152" s="169"/>
    </row>
    <row r="153" spans="12:12" x14ac:dyDescent="0.25">
      <c r="L153" s="169"/>
    </row>
    <row r="154" spans="12:12" x14ac:dyDescent="0.25">
      <c r="L154" s="169"/>
    </row>
    <row r="155" spans="12:12" x14ac:dyDescent="0.25">
      <c r="L155" s="169"/>
    </row>
    <row r="156" spans="12:12" x14ac:dyDescent="0.25">
      <c r="L156" s="169"/>
    </row>
    <row r="157" spans="12:12" x14ac:dyDescent="0.25">
      <c r="L157" s="169"/>
    </row>
    <row r="158" spans="12:12" x14ac:dyDescent="0.25">
      <c r="L158" s="169"/>
    </row>
    <row r="159" spans="12:12" x14ac:dyDescent="0.25">
      <c r="L159" s="169"/>
    </row>
    <row r="160" spans="12:12" x14ac:dyDescent="0.25">
      <c r="L160" s="169"/>
    </row>
    <row r="161" spans="12:12" x14ac:dyDescent="0.25">
      <c r="L161" s="169"/>
    </row>
    <row r="162" spans="12:12" x14ac:dyDescent="0.25">
      <c r="L162" s="169"/>
    </row>
    <row r="163" spans="12:12" x14ac:dyDescent="0.25">
      <c r="L163" s="169"/>
    </row>
    <row r="164" spans="12:12" x14ac:dyDescent="0.25">
      <c r="L164" s="169"/>
    </row>
    <row r="165" spans="12:12" x14ac:dyDescent="0.25">
      <c r="L165" s="169"/>
    </row>
    <row r="166" spans="12:12" x14ac:dyDescent="0.25">
      <c r="L166" s="169"/>
    </row>
    <row r="167" spans="12:12" x14ac:dyDescent="0.25">
      <c r="L167" s="169"/>
    </row>
    <row r="168" spans="12:12" x14ac:dyDescent="0.25">
      <c r="L168" s="169"/>
    </row>
    <row r="169" spans="12:12" x14ac:dyDescent="0.25">
      <c r="L169" s="169"/>
    </row>
    <row r="170" spans="12:12" x14ac:dyDescent="0.25">
      <c r="L170" s="169"/>
    </row>
    <row r="171" spans="12:12" x14ac:dyDescent="0.25">
      <c r="L171" s="169"/>
    </row>
    <row r="172" spans="12:12" x14ac:dyDescent="0.25">
      <c r="L172" s="169"/>
    </row>
    <row r="173" spans="12:12" x14ac:dyDescent="0.25">
      <c r="L173" s="169"/>
    </row>
    <row r="174" spans="12:12" x14ac:dyDescent="0.25">
      <c r="L174" s="169"/>
    </row>
    <row r="175" spans="12:12" x14ac:dyDescent="0.25">
      <c r="L175" s="169"/>
    </row>
    <row r="176" spans="12:12" x14ac:dyDescent="0.25">
      <c r="L176" s="169"/>
    </row>
    <row r="177" spans="12:12" x14ac:dyDescent="0.25">
      <c r="L177" s="169"/>
    </row>
    <row r="178" spans="12:12" x14ac:dyDescent="0.25">
      <c r="L178" s="169"/>
    </row>
    <row r="179" spans="12:12" x14ac:dyDescent="0.25">
      <c r="L179" s="169"/>
    </row>
    <row r="180" spans="12:12" x14ac:dyDescent="0.25">
      <c r="L180" s="169"/>
    </row>
    <row r="181" spans="12:12" x14ac:dyDescent="0.25">
      <c r="L181" s="169"/>
    </row>
    <row r="182" spans="12:12" x14ac:dyDescent="0.25">
      <c r="L182" s="169"/>
    </row>
    <row r="183" spans="12:12" x14ac:dyDescent="0.25">
      <c r="L183" s="169"/>
    </row>
    <row r="184" spans="12:12" x14ac:dyDescent="0.25">
      <c r="L184" s="169"/>
    </row>
    <row r="185" spans="12:12" x14ac:dyDescent="0.25">
      <c r="L185" s="169"/>
    </row>
    <row r="186" spans="12:12" x14ac:dyDescent="0.25">
      <c r="L186" s="169"/>
    </row>
    <row r="187" spans="12:12" x14ac:dyDescent="0.25">
      <c r="L187" s="169"/>
    </row>
    <row r="188" spans="12:12" x14ac:dyDescent="0.25">
      <c r="L188" s="169"/>
    </row>
    <row r="189" spans="12:12" x14ac:dyDescent="0.25">
      <c r="L189" s="169"/>
    </row>
    <row r="190" spans="12:12" x14ac:dyDescent="0.25">
      <c r="L190" s="169"/>
    </row>
    <row r="191" spans="12:12" x14ac:dyDescent="0.25">
      <c r="L191" s="169"/>
    </row>
    <row r="192" spans="12:12" x14ac:dyDescent="0.25">
      <c r="L192" s="169"/>
    </row>
    <row r="193" spans="12:12" x14ac:dyDescent="0.25">
      <c r="L193" s="169"/>
    </row>
    <row r="194" spans="12:12" x14ac:dyDescent="0.25">
      <c r="L194" s="169"/>
    </row>
    <row r="195" spans="12:12" x14ac:dyDescent="0.25">
      <c r="L195" s="169"/>
    </row>
    <row r="196" spans="12:12" x14ac:dyDescent="0.25">
      <c r="L196" s="169"/>
    </row>
    <row r="197" spans="12:12" x14ac:dyDescent="0.25">
      <c r="L197" s="169"/>
    </row>
    <row r="198" spans="12:12" x14ac:dyDescent="0.25">
      <c r="L198" s="169"/>
    </row>
    <row r="199" spans="12:12" x14ac:dyDescent="0.25">
      <c r="L199" s="169"/>
    </row>
    <row r="200" spans="12:12" x14ac:dyDescent="0.25">
      <c r="L200" s="169"/>
    </row>
    <row r="201" spans="12:12" x14ac:dyDescent="0.25">
      <c r="L201" s="169"/>
    </row>
    <row r="202" spans="12:12" x14ac:dyDescent="0.25">
      <c r="L202" s="169"/>
    </row>
    <row r="203" spans="12:12" x14ac:dyDescent="0.25">
      <c r="L203" s="169"/>
    </row>
    <row r="204" spans="12:12" x14ac:dyDescent="0.25">
      <c r="L204" s="169"/>
    </row>
    <row r="205" spans="12:12" x14ac:dyDescent="0.25">
      <c r="L205" s="169"/>
    </row>
    <row r="206" spans="12:12" x14ac:dyDescent="0.25">
      <c r="L206" s="169"/>
    </row>
    <row r="207" spans="12:12" x14ac:dyDescent="0.25">
      <c r="L207" s="169"/>
    </row>
    <row r="208" spans="12:12" x14ac:dyDescent="0.25">
      <c r="L208" s="169"/>
    </row>
    <row r="209" spans="12:12" x14ac:dyDescent="0.25">
      <c r="L209" s="169"/>
    </row>
    <row r="210" spans="12:12" x14ac:dyDescent="0.25">
      <c r="L210" s="169"/>
    </row>
    <row r="211" spans="12:12" x14ac:dyDescent="0.25">
      <c r="L211" s="169"/>
    </row>
    <row r="212" spans="12:12" x14ac:dyDescent="0.25">
      <c r="L212" s="169"/>
    </row>
    <row r="213" spans="12:12" x14ac:dyDescent="0.25">
      <c r="L213" s="169"/>
    </row>
    <row r="214" spans="12:12" x14ac:dyDescent="0.25">
      <c r="L214" s="169"/>
    </row>
    <row r="215" spans="12:12" x14ac:dyDescent="0.25">
      <c r="L215" s="169"/>
    </row>
    <row r="216" spans="12:12" x14ac:dyDescent="0.25">
      <c r="L216" s="169"/>
    </row>
    <row r="217" spans="12:12" x14ac:dyDescent="0.25">
      <c r="L217" s="169"/>
    </row>
    <row r="218" spans="12:12" x14ac:dyDescent="0.25">
      <c r="L218" s="169"/>
    </row>
    <row r="219" spans="12:12" x14ac:dyDescent="0.25">
      <c r="L219" s="169"/>
    </row>
    <row r="220" spans="12:12" x14ac:dyDescent="0.25">
      <c r="L220" s="169"/>
    </row>
    <row r="221" spans="12:12" x14ac:dyDescent="0.25">
      <c r="L221" s="169"/>
    </row>
    <row r="222" spans="12:12" x14ac:dyDescent="0.25">
      <c r="L222" s="169"/>
    </row>
    <row r="223" spans="12:12" x14ac:dyDescent="0.25">
      <c r="L223" s="169"/>
    </row>
    <row r="224" spans="12:12" x14ac:dyDescent="0.25">
      <c r="L224" s="169"/>
    </row>
    <row r="225" spans="12:12" x14ac:dyDescent="0.25">
      <c r="L225" s="169"/>
    </row>
    <row r="226" spans="12:12" x14ac:dyDescent="0.25">
      <c r="L226" s="169"/>
    </row>
    <row r="227" spans="12:12" x14ac:dyDescent="0.25">
      <c r="L227" s="169"/>
    </row>
    <row r="228" spans="12:12" x14ac:dyDescent="0.25">
      <c r="L228" s="169"/>
    </row>
    <row r="229" spans="12:12" x14ac:dyDescent="0.25">
      <c r="L229" s="169"/>
    </row>
    <row r="230" spans="12:12" x14ac:dyDescent="0.25">
      <c r="L230" s="169"/>
    </row>
    <row r="231" spans="12:12" x14ac:dyDescent="0.25">
      <c r="L231" s="169"/>
    </row>
    <row r="232" spans="12:12" x14ac:dyDescent="0.25">
      <c r="L232" s="169"/>
    </row>
    <row r="233" spans="12:12" x14ac:dyDescent="0.25">
      <c r="L233" s="169"/>
    </row>
    <row r="234" spans="12:12" x14ac:dyDescent="0.25">
      <c r="L234" s="169"/>
    </row>
    <row r="235" spans="12:12" x14ac:dyDescent="0.25">
      <c r="L235" s="169"/>
    </row>
    <row r="236" spans="12:12" x14ac:dyDescent="0.25">
      <c r="L236" s="169"/>
    </row>
    <row r="237" spans="12:12" x14ac:dyDescent="0.25">
      <c r="L237" s="169"/>
    </row>
    <row r="238" spans="12:12" x14ac:dyDescent="0.25">
      <c r="L238" s="169"/>
    </row>
    <row r="239" spans="12:12" x14ac:dyDescent="0.25">
      <c r="L239" s="169"/>
    </row>
    <row r="240" spans="12:12" x14ac:dyDescent="0.25">
      <c r="L240" s="169"/>
    </row>
    <row r="241" spans="12:12" x14ac:dyDescent="0.25">
      <c r="L241" s="169"/>
    </row>
    <row r="242" spans="12:12" x14ac:dyDescent="0.25">
      <c r="L242" s="169"/>
    </row>
    <row r="243" spans="12:12" x14ac:dyDescent="0.25">
      <c r="L243" s="169"/>
    </row>
    <row r="244" spans="12:12" x14ac:dyDescent="0.25">
      <c r="L244" s="169"/>
    </row>
    <row r="245" spans="12:12" x14ac:dyDescent="0.25">
      <c r="L245" s="169"/>
    </row>
    <row r="246" spans="12:12" x14ac:dyDescent="0.25">
      <c r="L246" s="169"/>
    </row>
    <row r="247" spans="12:12" x14ac:dyDescent="0.25">
      <c r="L247" s="169"/>
    </row>
    <row r="248" spans="12:12" x14ac:dyDescent="0.25">
      <c r="L248" s="169"/>
    </row>
    <row r="249" spans="12:12" x14ac:dyDescent="0.25">
      <c r="L249" s="169"/>
    </row>
    <row r="250" spans="12:12" x14ac:dyDescent="0.25">
      <c r="L250" s="169"/>
    </row>
    <row r="251" spans="12:12" x14ac:dyDescent="0.25">
      <c r="L251" s="169"/>
    </row>
    <row r="252" spans="12:12" x14ac:dyDescent="0.25">
      <c r="L252" s="169"/>
    </row>
    <row r="253" spans="12:12" x14ac:dyDescent="0.25">
      <c r="L253" s="169"/>
    </row>
    <row r="254" spans="12:12" x14ac:dyDescent="0.25">
      <c r="L254" s="169"/>
    </row>
    <row r="255" spans="12:12" x14ac:dyDescent="0.25">
      <c r="L255" s="169"/>
    </row>
    <row r="256" spans="12:12" x14ac:dyDescent="0.25">
      <c r="L256" s="169"/>
    </row>
    <row r="257" spans="12:12" x14ac:dyDescent="0.25">
      <c r="L257" s="169"/>
    </row>
    <row r="258" spans="12:12" x14ac:dyDescent="0.25">
      <c r="L258" s="169"/>
    </row>
    <row r="259" spans="12:12" x14ac:dyDescent="0.25">
      <c r="L259" s="169"/>
    </row>
    <row r="260" spans="12:12" x14ac:dyDescent="0.25">
      <c r="L260" s="169"/>
    </row>
    <row r="261" spans="12:12" x14ac:dyDescent="0.25">
      <c r="L261" s="169"/>
    </row>
    <row r="262" spans="12:12" x14ac:dyDescent="0.25">
      <c r="L262" s="169"/>
    </row>
    <row r="263" spans="12:12" x14ac:dyDescent="0.25">
      <c r="L263" s="169"/>
    </row>
    <row r="264" spans="12:12" x14ac:dyDescent="0.25">
      <c r="L264" s="169"/>
    </row>
    <row r="265" spans="12:12" x14ac:dyDescent="0.25">
      <c r="L265" s="169"/>
    </row>
    <row r="266" spans="12:12" x14ac:dyDescent="0.25">
      <c r="L266" s="169"/>
    </row>
    <row r="267" spans="12:12" x14ac:dyDescent="0.25">
      <c r="L267" s="169"/>
    </row>
    <row r="268" spans="12:12" x14ac:dyDescent="0.25">
      <c r="L268" s="169"/>
    </row>
    <row r="269" spans="12:12" x14ac:dyDescent="0.25">
      <c r="L269" s="169"/>
    </row>
    <row r="270" spans="12:12" x14ac:dyDescent="0.25">
      <c r="L270" s="169"/>
    </row>
    <row r="271" spans="12:12" x14ac:dyDescent="0.25">
      <c r="L271" s="169"/>
    </row>
    <row r="272" spans="12:12" x14ac:dyDescent="0.25">
      <c r="L272" s="169"/>
    </row>
    <row r="273" spans="12:12" x14ac:dyDescent="0.25">
      <c r="L273" s="169"/>
    </row>
    <row r="274" spans="12:12" x14ac:dyDescent="0.25">
      <c r="L274" s="169"/>
    </row>
    <row r="275" spans="12:12" x14ac:dyDescent="0.25">
      <c r="L275" s="169"/>
    </row>
    <row r="276" spans="12:12" x14ac:dyDescent="0.25">
      <c r="L276" s="169"/>
    </row>
    <row r="277" spans="12:12" x14ac:dyDescent="0.25">
      <c r="L277" s="169"/>
    </row>
    <row r="278" spans="12:12" x14ac:dyDescent="0.25">
      <c r="L278" s="169"/>
    </row>
    <row r="279" spans="12:12" x14ac:dyDescent="0.25">
      <c r="L279" s="169"/>
    </row>
    <row r="280" spans="12:12" x14ac:dyDescent="0.25">
      <c r="L280" s="169"/>
    </row>
    <row r="281" spans="12:12" x14ac:dyDescent="0.25">
      <c r="L281" s="169"/>
    </row>
    <row r="282" spans="12:12" x14ac:dyDescent="0.25">
      <c r="L282" s="169"/>
    </row>
    <row r="283" spans="12:12" x14ac:dyDescent="0.25">
      <c r="L283" s="169"/>
    </row>
    <row r="284" spans="12:12" x14ac:dyDescent="0.25">
      <c r="L284" s="169"/>
    </row>
    <row r="285" spans="12:12" x14ac:dyDescent="0.25">
      <c r="L285" s="169"/>
    </row>
    <row r="286" spans="12:12" x14ac:dyDescent="0.25">
      <c r="L286" s="169"/>
    </row>
    <row r="287" spans="12:12" x14ac:dyDescent="0.25">
      <c r="L287" s="169"/>
    </row>
    <row r="288" spans="12:12" x14ac:dyDescent="0.25">
      <c r="L288" s="169"/>
    </row>
    <row r="289" spans="12:12" x14ac:dyDescent="0.25">
      <c r="L289" s="169"/>
    </row>
    <row r="290" spans="12:12" x14ac:dyDescent="0.25">
      <c r="L290" s="169"/>
    </row>
    <row r="291" spans="12:12" x14ac:dyDescent="0.25">
      <c r="L291" s="169"/>
    </row>
    <row r="292" spans="12:12" x14ac:dyDescent="0.25">
      <c r="L292" s="169"/>
    </row>
    <row r="293" spans="12:12" x14ac:dyDescent="0.25">
      <c r="L293" s="169"/>
    </row>
    <row r="294" spans="12:12" x14ac:dyDescent="0.25">
      <c r="L294" s="169"/>
    </row>
    <row r="295" spans="12:12" x14ac:dyDescent="0.25">
      <c r="L295" s="169"/>
    </row>
    <row r="296" spans="12:12" x14ac:dyDescent="0.25">
      <c r="L296" s="169"/>
    </row>
    <row r="297" spans="12:12" x14ac:dyDescent="0.25">
      <c r="L297" s="169"/>
    </row>
    <row r="298" spans="12:12" x14ac:dyDescent="0.25">
      <c r="L298" s="169"/>
    </row>
    <row r="299" spans="12:12" x14ac:dyDescent="0.25">
      <c r="L299" s="169"/>
    </row>
    <row r="300" spans="12:12" x14ac:dyDescent="0.25">
      <c r="L300" s="169"/>
    </row>
    <row r="301" spans="12:12" x14ac:dyDescent="0.25">
      <c r="L301" s="169"/>
    </row>
    <row r="302" spans="12:12" x14ac:dyDescent="0.25">
      <c r="L302" s="169"/>
    </row>
    <row r="303" spans="12:12" x14ac:dyDescent="0.25">
      <c r="L303" s="169"/>
    </row>
    <row r="304" spans="12:12" x14ac:dyDescent="0.25">
      <c r="L304" s="169"/>
    </row>
    <row r="305" spans="12:12" x14ac:dyDescent="0.25">
      <c r="L305" s="169"/>
    </row>
    <row r="306" spans="12:12" x14ac:dyDescent="0.25">
      <c r="L306" s="169"/>
    </row>
    <row r="307" spans="12:12" x14ac:dyDescent="0.25">
      <c r="L307" s="169"/>
    </row>
    <row r="308" spans="12:12" x14ac:dyDescent="0.25">
      <c r="L308" s="169"/>
    </row>
    <row r="309" spans="12:12" x14ac:dyDescent="0.25">
      <c r="L309" s="169"/>
    </row>
    <row r="310" spans="12:12" x14ac:dyDescent="0.25">
      <c r="L310" s="169"/>
    </row>
    <row r="311" spans="12:12" x14ac:dyDescent="0.25">
      <c r="L311" s="169"/>
    </row>
    <row r="312" spans="12:12" x14ac:dyDescent="0.25">
      <c r="L312" s="169"/>
    </row>
    <row r="313" spans="12:12" x14ac:dyDescent="0.25">
      <c r="L313" s="169"/>
    </row>
    <row r="314" spans="12:12" x14ac:dyDescent="0.25">
      <c r="L314" s="169"/>
    </row>
    <row r="315" spans="12:12" x14ac:dyDescent="0.25">
      <c r="L315" s="169"/>
    </row>
    <row r="316" spans="12:12" x14ac:dyDescent="0.25">
      <c r="L316" s="169"/>
    </row>
    <row r="317" spans="12:12" x14ac:dyDescent="0.25">
      <c r="L317" s="169"/>
    </row>
    <row r="318" spans="12:12" x14ac:dyDescent="0.25">
      <c r="L318" s="169"/>
    </row>
    <row r="319" spans="12:12" x14ac:dyDescent="0.25">
      <c r="L319" s="169"/>
    </row>
    <row r="320" spans="12:12" x14ac:dyDescent="0.25">
      <c r="L320" s="169"/>
    </row>
    <row r="321" spans="12:12" x14ac:dyDescent="0.25">
      <c r="L321" s="169"/>
    </row>
    <row r="322" spans="12:12" x14ac:dyDescent="0.25">
      <c r="L322" s="169"/>
    </row>
    <row r="323" spans="12:12" x14ac:dyDescent="0.25">
      <c r="L323" s="169"/>
    </row>
    <row r="324" spans="12:12" x14ac:dyDescent="0.25">
      <c r="L324" s="169"/>
    </row>
    <row r="325" spans="12:12" x14ac:dyDescent="0.25">
      <c r="L325" s="169"/>
    </row>
    <row r="326" spans="12:12" x14ac:dyDescent="0.25">
      <c r="L326" s="169"/>
    </row>
    <row r="327" spans="12:12" x14ac:dyDescent="0.25">
      <c r="L327" s="169"/>
    </row>
    <row r="328" spans="12:12" x14ac:dyDescent="0.25">
      <c r="L328" s="169"/>
    </row>
    <row r="329" spans="12:12" x14ac:dyDescent="0.25">
      <c r="L329" s="169"/>
    </row>
    <row r="330" spans="12:12" x14ac:dyDescent="0.25">
      <c r="L330" s="169"/>
    </row>
    <row r="331" spans="12:12" x14ac:dyDescent="0.25">
      <c r="L331" s="169"/>
    </row>
    <row r="332" spans="12:12" x14ac:dyDescent="0.25">
      <c r="L332" s="169"/>
    </row>
    <row r="333" spans="12:12" x14ac:dyDescent="0.25">
      <c r="L333" s="169"/>
    </row>
    <row r="334" spans="12:12" x14ac:dyDescent="0.25">
      <c r="L334" s="169"/>
    </row>
    <row r="335" spans="12:12" x14ac:dyDescent="0.25">
      <c r="L335" s="169"/>
    </row>
    <row r="336" spans="12:12" x14ac:dyDescent="0.25">
      <c r="L336" s="169"/>
    </row>
    <row r="337" spans="12:12" x14ac:dyDescent="0.25">
      <c r="L337" s="169"/>
    </row>
    <row r="338" spans="12:12" x14ac:dyDescent="0.25">
      <c r="L338" s="169"/>
    </row>
    <row r="339" spans="12:12" x14ac:dyDescent="0.25">
      <c r="L339" s="169"/>
    </row>
    <row r="340" spans="12:12" x14ac:dyDescent="0.25">
      <c r="L340" s="169"/>
    </row>
    <row r="341" spans="12:12" x14ac:dyDescent="0.25">
      <c r="L341" s="169"/>
    </row>
    <row r="342" spans="12:12" x14ac:dyDescent="0.25">
      <c r="L342" s="169"/>
    </row>
    <row r="343" spans="12:12" x14ac:dyDescent="0.25">
      <c r="L343" s="169"/>
    </row>
    <row r="344" spans="12:12" x14ac:dyDescent="0.25">
      <c r="L344" s="169"/>
    </row>
    <row r="345" spans="12:12" x14ac:dyDescent="0.25">
      <c r="L345" s="169"/>
    </row>
    <row r="346" spans="12:12" x14ac:dyDescent="0.25">
      <c r="L346" s="169"/>
    </row>
    <row r="347" spans="12:12" x14ac:dyDescent="0.25">
      <c r="L347" s="169"/>
    </row>
    <row r="348" spans="12:12" x14ac:dyDescent="0.25">
      <c r="L348" s="169"/>
    </row>
    <row r="349" spans="12:12" x14ac:dyDescent="0.25">
      <c r="L349" s="169"/>
    </row>
    <row r="350" spans="12:12" x14ac:dyDescent="0.25">
      <c r="L350" s="169"/>
    </row>
    <row r="351" spans="12:12" x14ac:dyDescent="0.25">
      <c r="L351" s="169"/>
    </row>
    <row r="352" spans="12:12" x14ac:dyDescent="0.25">
      <c r="L352" s="169"/>
    </row>
    <row r="353" spans="12:12" x14ac:dyDescent="0.25">
      <c r="L353" s="169"/>
    </row>
    <row r="354" spans="12:12" x14ac:dyDescent="0.25">
      <c r="L354" s="169"/>
    </row>
    <row r="355" spans="12:12" x14ac:dyDescent="0.25">
      <c r="L355" s="169"/>
    </row>
    <row r="356" spans="12:12" x14ac:dyDescent="0.25">
      <c r="L356" s="169"/>
    </row>
    <row r="357" spans="12:12" x14ac:dyDescent="0.25">
      <c r="L357" s="169"/>
    </row>
    <row r="358" spans="12:12" x14ac:dyDescent="0.25">
      <c r="L358" s="169"/>
    </row>
    <row r="359" spans="12:12" x14ac:dyDescent="0.25">
      <c r="L359" s="169"/>
    </row>
    <row r="360" spans="12:12" x14ac:dyDescent="0.25">
      <c r="L360" s="169"/>
    </row>
    <row r="361" spans="12:12" x14ac:dyDescent="0.25">
      <c r="L361" s="169"/>
    </row>
    <row r="362" spans="12:12" x14ac:dyDescent="0.25">
      <c r="L362" s="169"/>
    </row>
    <row r="363" spans="12:12" x14ac:dyDescent="0.25">
      <c r="L363" s="169"/>
    </row>
    <row r="364" spans="12:12" x14ac:dyDescent="0.25">
      <c r="L364" s="169"/>
    </row>
    <row r="365" spans="12:12" x14ac:dyDescent="0.25">
      <c r="L365" s="169"/>
    </row>
    <row r="366" spans="12:12" x14ac:dyDescent="0.25">
      <c r="L366" s="169"/>
    </row>
    <row r="367" spans="12:12" x14ac:dyDescent="0.25">
      <c r="L367" s="169"/>
    </row>
    <row r="368" spans="12:12" x14ac:dyDescent="0.25">
      <c r="L368" s="169"/>
    </row>
    <row r="369" spans="12:12" x14ac:dyDescent="0.25">
      <c r="L369" s="169"/>
    </row>
    <row r="370" spans="12:12" x14ac:dyDescent="0.25">
      <c r="L370" s="169"/>
    </row>
    <row r="371" spans="12:12" x14ac:dyDescent="0.25">
      <c r="L371" s="169"/>
    </row>
    <row r="372" spans="12:12" x14ac:dyDescent="0.25">
      <c r="L372" s="169"/>
    </row>
    <row r="373" spans="12:12" x14ac:dyDescent="0.25">
      <c r="L373" s="169"/>
    </row>
    <row r="374" spans="12:12" x14ac:dyDescent="0.25">
      <c r="L374" s="169"/>
    </row>
    <row r="375" spans="12:12" x14ac:dyDescent="0.25">
      <c r="L375" s="169"/>
    </row>
    <row r="376" spans="12:12" x14ac:dyDescent="0.25">
      <c r="L376" s="169"/>
    </row>
    <row r="377" spans="12:12" x14ac:dyDescent="0.25">
      <c r="L377" s="169"/>
    </row>
    <row r="378" spans="12:12" x14ac:dyDescent="0.25">
      <c r="L378" s="169"/>
    </row>
    <row r="379" spans="12:12" x14ac:dyDescent="0.25">
      <c r="L379" s="169"/>
    </row>
    <row r="380" spans="12:12" x14ac:dyDescent="0.25">
      <c r="L380" s="169"/>
    </row>
    <row r="381" spans="12:12" x14ac:dyDescent="0.25">
      <c r="L381" s="169"/>
    </row>
    <row r="382" spans="12:12" x14ac:dyDescent="0.25">
      <c r="L382" s="169"/>
    </row>
    <row r="383" spans="12:12" x14ac:dyDescent="0.25">
      <c r="L383" s="169"/>
    </row>
    <row r="384" spans="12:12" x14ac:dyDescent="0.25">
      <c r="L384" s="169"/>
    </row>
    <row r="385" spans="12:12" x14ac:dyDescent="0.25">
      <c r="L385" s="169"/>
    </row>
    <row r="386" spans="12:12" x14ac:dyDescent="0.25">
      <c r="L386" s="169"/>
    </row>
    <row r="387" spans="12:12" x14ac:dyDescent="0.25">
      <c r="L387" s="169"/>
    </row>
    <row r="388" spans="12:12" x14ac:dyDescent="0.25">
      <c r="L388" s="169"/>
    </row>
    <row r="389" spans="12:12" x14ac:dyDescent="0.25">
      <c r="L389" s="169"/>
    </row>
    <row r="390" spans="12:12" x14ac:dyDescent="0.25">
      <c r="L390" s="169"/>
    </row>
    <row r="391" spans="12:12" x14ac:dyDescent="0.25">
      <c r="L391" s="169"/>
    </row>
    <row r="392" spans="12:12" x14ac:dyDescent="0.25">
      <c r="L392" s="169"/>
    </row>
    <row r="393" spans="12:12" x14ac:dyDescent="0.25">
      <c r="L393" s="169"/>
    </row>
    <row r="394" spans="12:12" x14ac:dyDescent="0.25">
      <c r="L394" s="169"/>
    </row>
    <row r="395" spans="12:12" x14ac:dyDescent="0.25">
      <c r="L395" s="169"/>
    </row>
    <row r="396" spans="12:12" x14ac:dyDescent="0.25">
      <c r="L396" s="169"/>
    </row>
    <row r="397" spans="12:12" x14ac:dyDescent="0.25">
      <c r="L397" s="169"/>
    </row>
    <row r="398" spans="12:12" x14ac:dyDescent="0.25">
      <c r="L398" s="169"/>
    </row>
    <row r="399" spans="12:12" x14ac:dyDescent="0.25">
      <c r="L399" s="169"/>
    </row>
    <row r="400" spans="12:12" x14ac:dyDescent="0.25">
      <c r="L400" s="169"/>
    </row>
    <row r="401" spans="12:12" x14ac:dyDescent="0.25">
      <c r="L401" s="169"/>
    </row>
    <row r="402" spans="12:12" x14ac:dyDescent="0.25">
      <c r="L402" s="169"/>
    </row>
    <row r="403" spans="12:12" x14ac:dyDescent="0.25">
      <c r="L403" s="169"/>
    </row>
    <row r="404" spans="12:12" x14ac:dyDescent="0.25">
      <c r="L404" s="169"/>
    </row>
    <row r="405" spans="12:12" x14ac:dyDescent="0.25">
      <c r="L405" s="169"/>
    </row>
    <row r="406" spans="12:12" x14ac:dyDescent="0.25">
      <c r="L406" s="169"/>
    </row>
    <row r="407" spans="12:12" x14ac:dyDescent="0.25">
      <c r="L407" s="169"/>
    </row>
    <row r="408" spans="12:12" x14ac:dyDescent="0.25">
      <c r="L408" s="169"/>
    </row>
    <row r="409" spans="12:12" x14ac:dyDescent="0.25">
      <c r="L409" s="169"/>
    </row>
    <row r="410" spans="12:12" x14ac:dyDescent="0.25">
      <c r="L410" s="169"/>
    </row>
    <row r="411" spans="12:12" x14ac:dyDescent="0.25">
      <c r="L411" s="169"/>
    </row>
    <row r="412" spans="12:12" x14ac:dyDescent="0.25">
      <c r="L412" s="169"/>
    </row>
    <row r="413" spans="12:12" x14ac:dyDescent="0.25">
      <c r="L413" s="169"/>
    </row>
    <row r="414" spans="12:12" x14ac:dyDescent="0.25">
      <c r="L414" s="169"/>
    </row>
    <row r="415" spans="12:12" x14ac:dyDescent="0.25">
      <c r="L415" s="169"/>
    </row>
    <row r="416" spans="12:12" x14ac:dyDescent="0.25">
      <c r="L416" s="169"/>
    </row>
    <row r="417" spans="12:12" x14ac:dyDescent="0.25">
      <c r="L417" s="169"/>
    </row>
    <row r="418" spans="12:12" x14ac:dyDescent="0.25">
      <c r="L418" s="169"/>
    </row>
    <row r="419" spans="12:12" x14ac:dyDescent="0.25">
      <c r="L419" s="169"/>
    </row>
    <row r="420" spans="12:12" x14ac:dyDescent="0.25">
      <c r="L420" s="169"/>
    </row>
    <row r="421" spans="12:12" x14ac:dyDescent="0.25">
      <c r="L421" s="169"/>
    </row>
    <row r="422" spans="12:12" x14ac:dyDescent="0.25">
      <c r="L422" s="169"/>
    </row>
    <row r="423" spans="12:12" x14ac:dyDescent="0.25">
      <c r="L423" s="169"/>
    </row>
    <row r="424" spans="12:12" x14ac:dyDescent="0.25">
      <c r="L424" s="169"/>
    </row>
    <row r="425" spans="12:12" x14ac:dyDescent="0.25">
      <c r="L425" s="169"/>
    </row>
    <row r="426" spans="12:12" x14ac:dyDescent="0.25">
      <c r="L426" s="169"/>
    </row>
    <row r="427" spans="12:12" x14ac:dyDescent="0.25">
      <c r="L427" s="169"/>
    </row>
    <row r="428" spans="12:12" x14ac:dyDescent="0.25">
      <c r="L428" s="169"/>
    </row>
    <row r="429" spans="12:12" x14ac:dyDescent="0.25">
      <c r="L429" s="169"/>
    </row>
    <row r="430" spans="12:12" x14ac:dyDescent="0.25">
      <c r="L430" s="169"/>
    </row>
    <row r="431" spans="12:12" x14ac:dyDescent="0.25">
      <c r="L431" s="169"/>
    </row>
    <row r="432" spans="12:12" x14ac:dyDescent="0.25">
      <c r="L432" s="169"/>
    </row>
    <row r="433" spans="12:12" x14ac:dyDescent="0.25">
      <c r="L433" s="169"/>
    </row>
    <row r="434" spans="12:12" x14ac:dyDescent="0.25">
      <c r="L434" s="169"/>
    </row>
    <row r="435" spans="12:12" x14ac:dyDescent="0.25">
      <c r="L435" s="169"/>
    </row>
    <row r="436" spans="12:12" x14ac:dyDescent="0.25">
      <c r="L436" s="169"/>
    </row>
    <row r="437" spans="12:12" x14ac:dyDescent="0.25">
      <c r="L437" s="169"/>
    </row>
    <row r="438" spans="12:12" x14ac:dyDescent="0.25">
      <c r="L438" s="169"/>
    </row>
    <row r="439" spans="12:12" x14ac:dyDescent="0.25">
      <c r="L439" s="169"/>
    </row>
    <row r="440" spans="12:12" x14ac:dyDescent="0.25">
      <c r="L440" s="169"/>
    </row>
    <row r="441" spans="12:12" x14ac:dyDescent="0.25">
      <c r="L441" s="169"/>
    </row>
    <row r="442" spans="12:12" x14ac:dyDescent="0.25">
      <c r="L442" s="169"/>
    </row>
    <row r="443" spans="12:12" x14ac:dyDescent="0.25">
      <c r="L443" s="169"/>
    </row>
    <row r="444" spans="12:12" x14ac:dyDescent="0.25">
      <c r="L444" s="169"/>
    </row>
    <row r="445" spans="12:12" x14ac:dyDescent="0.25">
      <c r="L445" s="169"/>
    </row>
    <row r="446" spans="12:12" x14ac:dyDescent="0.25">
      <c r="L446" s="169"/>
    </row>
    <row r="447" spans="12:12" x14ac:dyDescent="0.25">
      <c r="L447" s="169"/>
    </row>
    <row r="448" spans="12:12" x14ac:dyDescent="0.25">
      <c r="L448" s="169"/>
    </row>
    <row r="449" spans="12:12" x14ac:dyDescent="0.25">
      <c r="L449" s="169"/>
    </row>
    <row r="450" spans="12:12" x14ac:dyDescent="0.25">
      <c r="L450" s="169"/>
    </row>
    <row r="451" spans="12:12" x14ac:dyDescent="0.25">
      <c r="L451" s="169"/>
    </row>
    <row r="452" spans="12:12" x14ac:dyDescent="0.25">
      <c r="L452" s="169"/>
    </row>
    <row r="453" spans="12:12" x14ac:dyDescent="0.25">
      <c r="L453" s="169"/>
    </row>
    <row r="454" spans="12:12" x14ac:dyDescent="0.25">
      <c r="L454" s="169"/>
    </row>
    <row r="455" spans="12:12" x14ac:dyDescent="0.25">
      <c r="L455" s="169"/>
    </row>
    <row r="456" spans="12:12" x14ac:dyDescent="0.25">
      <c r="L456" s="169"/>
    </row>
    <row r="457" spans="12:12" x14ac:dyDescent="0.25">
      <c r="L457" s="169"/>
    </row>
    <row r="458" spans="12:12" x14ac:dyDescent="0.25">
      <c r="L458" s="169"/>
    </row>
    <row r="459" spans="12:12" x14ac:dyDescent="0.25">
      <c r="L459" s="169"/>
    </row>
    <row r="460" spans="12:12" x14ac:dyDescent="0.25">
      <c r="L460" s="169"/>
    </row>
    <row r="461" spans="12:12" x14ac:dyDescent="0.25">
      <c r="L461" s="169"/>
    </row>
    <row r="462" spans="12:12" x14ac:dyDescent="0.25">
      <c r="L462" s="169"/>
    </row>
    <row r="463" spans="12:12" x14ac:dyDescent="0.25">
      <c r="L463" s="169"/>
    </row>
    <row r="464" spans="12:12" x14ac:dyDescent="0.25">
      <c r="L464" s="169"/>
    </row>
    <row r="465" spans="12:12" x14ac:dyDescent="0.25">
      <c r="L465" s="169"/>
    </row>
    <row r="466" spans="12:12" x14ac:dyDescent="0.25">
      <c r="L466" s="169"/>
    </row>
    <row r="467" spans="12:12" x14ac:dyDescent="0.25">
      <c r="L467" s="169"/>
    </row>
    <row r="468" spans="12:12" x14ac:dyDescent="0.25">
      <c r="L468" s="169"/>
    </row>
    <row r="469" spans="12:12" x14ac:dyDescent="0.25">
      <c r="L469" s="169"/>
    </row>
    <row r="470" spans="12:12" x14ac:dyDescent="0.25">
      <c r="L470" s="169"/>
    </row>
    <row r="471" spans="12:12" x14ac:dyDescent="0.25">
      <c r="L471" s="169"/>
    </row>
    <row r="472" spans="12:12" x14ac:dyDescent="0.25">
      <c r="L472" s="169"/>
    </row>
    <row r="473" spans="12:12" x14ac:dyDescent="0.25">
      <c r="L473" s="169"/>
    </row>
    <row r="474" spans="12:12" x14ac:dyDescent="0.25">
      <c r="L474" s="169"/>
    </row>
    <row r="475" spans="12:12" x14ac:dyDescent="0.25">
      <c r="L475" s="169"/>
    </row>
    <row r="476" spans="12:12" x14ac:dyDescent="0.25">
      <c r="L476" s="169"/>
    </row>
    <row r="477" spans="12:12" x14ac:dyDescent="0.25">
      <c r="L477" s="169"/>
    </row>
    <row r="478" spans="12:12" x14ac:dyDescent="0.25">
      <c r="L478" s="169"/>
    </row>
    <row r="479" spans="12:12" x14ac:dyDescent="0.25">
      <c r="L479" s="169"/>
    </row>
    <row r="480" spans="12:12" x14ac:dyDescent="0.25">
      <c r="L480" s="169"/>
    </row>
    <row r="481" spans="12:12" x14ac:dyDescent="0.25">
      <c r="L481" s="169"/>
    </row>
    <row r="482" spans="12:12" x14ac:dyDescent="0.25">
      <c r="L482" s="169"/>
    </row>
    <row r="483" spans="12:12" x14ac:dyDescent="0.25">
      <c r="L483" s="169"/>
    </row>
    <row r="484" spans="12:12" x14ac:dyDescent="0.25">
      <c r="L484" s="169"/>
    </row>
    <row r="485" spans="12:12" x14ac:dyDescent="0.25">
      <c r="L485" s="169"/>
    </row>
    <row r="486" spans="12:12" x14ac:dyDescent="0.25">
      <c r="L486" s="169"/>
    </row>
    <row r="487" spans="12:12" x14ac:dyDescent="0.25">
      <c r="L487" s="169"/>
    </row>
    <row r="488" spans="12:12" x14ac:dyDescent="0.25">
      <c r="L488" s="169"/>
    </row>
    <row r="489" spans="12:12" x14ac:dyDescent="0.25">
      <c r="L489" s="169"/>
    </row>
    <row r="490" spans="12:12" x14ac:dyDescent="0.25">
      <c r="L490" s="169"/>
    </row>
    <row r="491" spans="12:12" x14ac:dyDescent="0.25">
      <c r="L491" s="169"/>
    </row>
    <row r="492" spans="12:12" x14ac:dyDescent="0.25">
      <c r="L492" s="169"/>
    </row>
    <row r="493" spans="12:12" x14ac:dyDescent="0.25">
      <c r="L493" s="169"/>
    </row>
    <row r="494" spans="12:12" x14ac:dyDescent="0.25">
      <c r="L494" s="169"/>
    </row>
    <row r="495" spans="12:12" x14ac:dyDescent="0.25">
      <c r="L495" s="169"/>
    </row>
    <row r="496" spans="12:12" x14ac:dyDescent="0.25">
      <c r="L496" s="169"/>
    </row>
    <row r="497" spans="12:12" x14ac:dyDescent="0.25">
      <c r="L497" s="169"/>
    </row>
    <row r="498" spans="12:12" x14ac:dyDescent="0.25">
      <c r="L498" s="169"/>
    </row>
    <row r="499" spans="12:12" x14ac:dyDescent="0.25">
      <c r="L499" s="169"/>
    </row>
    <row r="500" spans="12:12" x14ac:dyDescent="0.25">
      <c r="L500" s="169"/>
    </row>
    <row r="501" spans="12:12" x14ac:dyDescent="0.25">
      <c r="L501" s="169"/>
    </row>
    <row r="502" spans="12:12" x14ac:dyDescent="0.25">
      <c r="L502" s="169"/>
    </row>
    <row r="503" spans="12:12" x14ac:dyDescent="0.25">
      <c r="L503" s="169"/>
    </row>
    <row r="504" spans="12:12" x14ac:dyDescent="0.25">
      <c r="L504" s="169"/>
    </row>
    <row r="505" spans="12:12" x14ac:dyDescent="0.25">
      <c r="L505" s="169"/>
    </row>
    <row r="506" spans="12:12" x14ac:dyDescent="0.25">
      <c r="L506" s="169"/>
    </row>
    <row r="507" spans="12:12" x14ac:dyDescent="0.25">
      <c r="L507" s="169"/>
    </row>
    <row r="508" spans="12:12" x14ac:dyDescent="0.25">
      <c r="L508" s="169"/>
    </row>
    <row r="509" spans="12:12" x14ac:dyDescent="0.25">
      <c r="L509" s="169"/>
    </row>
    <row r="510" spans="12:12" x14ac:dyDescent="0.25">
      <c r="L510" s="169"/>
    </row>
    <row r="511" spans="12:12" x14ac:dyDescent="0.25">
      <c r="L511" s="169"/>
    </row>
    <row r="512" spans="12:12" x14ac:dyDescent="0.25">
      <c r="L512" s="169"/>
    </row>
    <row r="513" spans="12:12" x14ac:dyDescent="0.25">
      <c r="L513" s="169"/>
    </row>
    <row r="514" spans="12:12" x14ac:dyDescent="0.25">
      <c r="L514" s="169"/>
    </row>
    <row r="515" spans="12:12" x14ac:dyDescent="0.25">
      <c r="L515" s="169"/>
    </row>
    <row r="516" spans="12:12" x14ac:dyDescent="0.25">
      <c r="L516" s="169"/>
    </row>
    <row r="517" spans="12:12" x14ac:dyDescent="0.25">
      <c r="L517" s="169"/>
    </row>
    <row r="518" spans="12:12" x14ac:dyDescent="0.25">
      <c r="L518" s="169"/>
    </row>
    <row r="519" spans="12:12" x14ac:dyDescent="0.25">
      <c r="L519" s="169"/>
    </row>
    <row r="520" spans="12:12" x14ac:dyDescent="0.25">
      <c r="L520" s="169"/>
    </row>
    <row r="521" spans="12:12" x14ac:dyDescent="0.25">
      <c r="L521" s="169"/>
    </row>
    <row r="522" spans="12:12" x14ac:dyDescent="0.25">
      <c r="L522" s="169"/>
    </row>
    <row r="523" spans="12:12" x14ac:dyDescent="0.25">
      <c r="L523" s="169"/>
    </row>
    <row r="524" spans="12:12" x14ac:dyDescent="0.25">
      <c r="L524" s="169"/>
    </row>
    <row r="525" spans="12:12" x14ac:dyDescent="0.25">
      <c r="L525" s="169"/>
    </row>
    <row r="526" spans="12:12" x14ac:dyDescent="0.25">
      <c r="L526" s="169"/>
    </row>
    <row r="527" spans="12:12" x14ac:dyDescent="0.25">
      <c r="L527" s="169"/>
    </row>
    <row r="528" spans="12:12" x14ac:dyDescent="0.25">
      <c r="L528" s="169"/>
    </row>
    <row r="529" spans="12:12" x14ac:dyDescent="0.25">
      <c r="L529" s="169"/>
    </row>
    <row r="530" spans="12:12" x14ac:dyDescent="0.25">
      <c r="L530" s="169"/>
    </row>
    <row r="531" spans="12:12" x14ac:dyDescent="0.25">
      <c r="L531" s="169"/>
    </row>
    <row r="532" spans="12:12" x14ac:dyDescent="0.25">
      <c r="L532" s="169"/>
    </row>
    <row r="533" spans="12:12" x14ac:dyDescent="0.25">
      <c r="L533" s="169"/>
    </row>
    <row r="534" spans="12:12" x14ac:dyDescent="0.25">
      <c r="L534" s="169"/>
    </row>
    <row r="535" spans="12:12" x14ac:dyDescent="0.25">
      <c r="L535" s="169"/>
    </row>
    <row r="536" spans="12:12" x14ac:dyDescent="0.25">
      <c r="L536" s="169"/>
    </row>
    <row r="537" spans="12:12" x14ac:dyDescent="0.25">
      <c r="L537" s="169"/>
    </row>
    <row r="538" spans="12:12" x14ac:dyDescent="0.25">
      <c r="L538" s="169"/>
    </row>
    <row r="539" spans="12:12" x14ac:dyDescent="0.25">
      <c r="L539" s="169"/>
    </row>
    <row r="540" spans="12:12" x14ac:dyDescent="0.25">
      <c r="L540" s="169"/>
    </row>
    <row r="541" spans="12:12" x14ac:dyDescent="0.25">
      <c r="L541" s="169"/>
    </row>
    <row r="542" spans="12:12" x14ac:dyDescent="0.25">
      <c r="L542" s="169"/>
    </row>
    <row r="543" spans="12:12" x14ac:dyDescent="0.25">
      <c r="L543" s="169"/>
    </row>
    <row r="544" spans="12:12" x14ac:dyDescent="0.25">
      <c r="L544" s="169"/>
    </row>
    <row r="545" spans="12:12" x14ac:dyDescent="0.25">
      <c r="L545" s="169"/>
    </row>
    <row r="546" spans="12:12" x14ac:dyDescent="0.25">
      <c r="L546" s="169"/>
    </row>
    <row r="547" spans="12:12" x14ac:dyDescent="0.25">
      <c r="L547" s="169"/>
    </row>
    <row r="548" spans="12:12" x14ac:dyDescent="0.25">
      <c r="L548" s="169"/>
    </row>
    <row r="549" spans="12:12" x14ac:dyDescent="0.25">
      <c r="L549" s="169"/>
    </row>
    <row r="550" spans="12:12" x14ac:dyDescent="0.25">
      <c r="L550" s="169"/>
    </row>
    <row r="551" spans="12:12" x14ac:dyDescent="0.25">
      <c r="L551" s="169"/>
    </row>
    <row r="552" spans="12:12" x14ac:dyDescent="0.25">
      <c r="L552" s="169"/>
    </row>
    <row r="553" spans="12:12" x14ac:dyDescent="0.25">
      <c r="L553" s="169"/>
    </row>
    <row r="554" spans="12:12" x14ac:dyDescent="0.25">
      <c r="L554" s="169"/>
    </row>
    <row r="555" spans="12:12" x14ac:dyDescent="0.25">
      <c r="L555" s="169"/>
    </row>
    <row r="556" spans="12:12" x14ac:dyDescent="0.25">
      <c r="L556" s="169"/>
    </row>
    <row r="557" spans="12:12" x14ac:dyDescent="0.25">
      <c r="L557" s="169"/>
    </row>
    <row r="558" spans="12:12" x14ac:dyDescent="0.25">
      <c r="L558" s="169"/>
    </row>
    <row r="559" spans="12:12" x14ac:dyDescent="0.25">
      <c r="L559" s="169"/>
    </row>
    <row r="560" spans="12:12" x14ac:dyDescent="0.25">
      <c r="L560" s="169"/>
    </row>
    <row r="561" spans="12:12" x14ac:dyDescent="0.25">
      <c r="L561" s="169"/>
    </row>
    <row r="562" spans="12:12" x14ac:dyDescent="0.25">
      <c r="L562" s="169"/>
    </row>
    <row r="563" spans="12:12" x14ac:dyDescent="0.25">
      <c r="L563" s="169"/>
    </row>
    <row r="564" spans="12:12" x14ac:dyDescent="0.25">
      <c r="L564" s="169"/>
    </row>
    <row r="565" spans="12:12" x14ac:dyDescent="0.25">
      <c r="L565" s="169"/>
    </row>
    <row r="566" spans="12:12" x14ac:dyDescent="0.25">
      <c r="L566" s="169"/>
    </row>
    <row r="567" spans="12:12" x14ac:dyDescent="0.25">
      <c r="L567" s="169"/>
    </row>
    <row r="568" spans="12:12" x14ac:dyDescent="0.25">
      <c r="L568" s="169"/>
    </row>
    <row r="569" spans="12:12" x14ac:dyDescent="0.25">
      <c r="L569" s="169"/>
    </row>
    <row r="570" spans="12:12" x14ac:dyDescent="0.25">
      <c r="L570" s="169"/>
    </row>
    <row r="571" spans="12:12" x14ac:dyDescent="0.25">
      <c r="L571" s="169"/>
    </row>
    <row r="572" spans="12:12" x14ac:dyDescent="0.25">
      <c r="L572" s="169"/>
    </row>
    <row r="573" spans="12:12" x14ac:dyDescent="0.25">
      <c r="L573" s="169"/>
    </row>
    <row r="574" spans="12:12" x14ac:dyDescent="0.25">
      <c r="L574" s="169"/>
    </row>
    <row r="575" spans="12:12" x14ac:dyDescent="0.25">
      <c r="L575" s="169"/>
    </row>
    <row r="576" spans="12:12" x14ac:dyDescent="0.25">
      <c r="L576" s="169"/>
    </row>
    <row r="577" spans="12:12" x14ac:dyDescent="0.25">
      <c r="L577" s="169"/>
    </row>
    <row r="578" spans="12:12" x14ac:dyDescent="0.25">
      <c r="L578" s="169"/>
    </row>
    <row r="579" spans="12:12" x14ac:dyDescent="0.25">
      <c r="L579" s="169"/>
    </row>
    <row r="580" spans="12:12" x14ac:dyDescent="0.25">
      <c r="L580" s="169"/>
    </row>
    <row r="581" spans="12:12" x14ac:dyDescent="0.25">
      <c r="L581" s="169"/>
    </row>
    <row r="582" spans="12:12" x14ac:dyDescent="0.25">
      <c r="L582" s="169"/>
    </row>
    <row r="583" spans="12:12" x14ac:dyDescent="0.25">
      <c r="L583" s="169"/>
    </row>
    <row r="584" spans="12:12" x14ac:dyDescent="0.25">
      <c r="L584" s="169"/>
    </row>
    <row r="585" spans="12:12" x14ac:dyDescent="0.25">
      <c r="L585" s="169"/>
    </row>
    <row r="586" spans="12:12" x14ac:dyDescent="0.25">
      <c r="L586" s="169"/>
    </row>
    <row r="587" spans="12:12" x14ac:dyDescent="0.25">
      <c r="L587" s="169"/>
    </row>
    <row r="588" spans="12:12" x14ac:dyDescent="0.25">
      <c r="L588" s="169"/>
    </row>
    <row r="589" spans="12:12" x14ac:dyDescent="0.25">
      <c r="L589" s="169"/>
    </row>
    <row r="590" spans="12:12" x14ac:dyDescent="0.25">
      <c r="L590" s="169"/>
    </row>
    <row r="591" spans="12:12" x14ac:dyDescent="0.25">
      <c r="L591" s="169"/>
    </row>
    <row r="592" spans="12:12" x14ac:dyDescent="0.25">
      <c r="L592" s="169"/>
    </row>
    <row r="593" spans="12:12" x14ac:dyDescent="0.25">
      <c r="L593" s="169"/>
    </row>
    <row r="594" spans="12:12" x14ac:dyDescent="0.25">
      <c r="L594" s="169"/>
    </row>
    <row r="595" spans="12:12" x14ac:dyDescent="0.25">
      <c r="L595" s="169"/>
    </row>
    <row r="596" spans="12:12" x14ac:dyDescent="0.25">
      <c r="L596" s="169"/>
    </row>
    <row r="597" spans="12:12" x14ac:dyDescent="0.25">
      <c r="L597" s="169"/>
    </row>
    <row r="598" spans="12:12" x14ac:dyDescent="0.25">
      <c r="L598" s="169"/>
    </row>
    <row r="599" spans="12:12" x14ac:dyDescent="0.25">
      <c r="L599" s="169"/>
    </row>
    <row r="600" spans="12:12" x14ac:dyDescent="0.25">
      <c r="L600" s="169"/>
    </row>
    <row r="601" spans="12:12" x14ac:dyDescent="0.25">
      <c r="L601" s="169"/>
    </row>
    <row r="602" spans="12:12" x14ac:dyDescent="0.25">
      <c r="L602" s="169"/>
    </row>
    <row r="603" spans="12:12" x14ac:dyDescent="0.25">
      <c r="L603" s="169"/>
    </row>
    <row r="604" spans="12:12" x14ac:dyDescent="0.25">
      <c r="L604" s="169"/>
    </row>
    <row r="605" spans="12:12" x14ac:dyDescent="0.25">
      <c r="L605" s="169"/>
    </row>
    <row r="606" spans="12:12" x14ac:dyDescent="0.25">
      <c r="L606" s="169"/>
    </row>
    <row r="607" spans="12:12" x14ac:dyDescent="0.25">
      <c r="L607" s="169"/>
    </row>
    <row r="608" spans="12:12" x14ac:dyDescent="0.25">
      <c r="L608" s="169"/>
    </row>
    <row r="609" spans="12:12" x14ac:dyDescent="0.25">
      <c r="L609" s="169"/>
    </row>
    <row r="610" spans="12:12" x14ac:dyDescent="0.25">
      <c r="L610" s="169"/>
    </row>
    <row r="611" spans="12:12" x14ac:dyDescent="0.25">
      <c r="L611" s="169"/>
    </row>
    <row r="612" spans="12:12" x14ac:dyDescent="0.25">
      <c r="L612" s="169"/>
    </row>
    <row r="613" spans="12:12" x14ac:dyDescent="0.25">
      <c r="L613" s="169"/>
    </row>
    <row r="614" spans="12:12" x14ac:dyDescent="0.25">
      <c r="L614" s="169"/>
    </row>
    <row r="615" spans="12:12" x14ac:dyDescent="0.25">
      <c r="L615" s="169"/>
    </row>
    <row r="616" spans="12:12" x14ac:dyDescent="0.25">
      <c r="L616" s="169"/>
    </row>
    <row r="617" spans="12:12" x14ac:dyDescent="0.25">
      <c r="L617" s="169"/>
    </row>
    <row r="618" spans="12:12" x14ac:dyDescent="0.25">
      <c r="L618" s="169"/>
    </row>
    <row r="619" spans="12:12" x14ac:dyDescent="0.25">
      <c r="L619" s="169"/>
    </row>
    <row r="620" spans="12:12" x14ac:dyDescent="0.25">
      <c r="L620" s="169"/>
    </row>
    <row r="621" spans="12:12" x14ac:dyDescent="0.25">
      <c r="L621" s="169"/>
    </row>
    <row r="622" spans="12:12" x14ac:dyDescent="0.25">
      <c r="L622" s="169"/>
    </row>
    <row r="623" spans="12:12" x14ac:dyDescent="0.25">
      <c r="L623" s="169"/>
    </row>
    <row r="624" spans="12:12" x14ac:dyDescent="0.25">
      <c r="L624" s="169"/>
    </row>
    <row r="625" spans="12:12" x14ac:dyDescent="0.25">
      <c r="L625" s="169"/>
    </row>
    <row r="626" spans="12:12" x14ac:dyDescent="0.25">
      <c r="L626" s="169"/>
    </row>
    <row r="627" spans="12:12" x14ac:dyDescent="0.25">
      <c r="L627" s="169"/>
    </row>
    <row r="628" spans="12:12" x14ac:dyDescent="0.25">
      <c r="L628" s="169"/>
    </row>
    <row r="629" spans="12:12" x14ac:dyDescent="0.25">
      <c r="L629" s="169"/>
    </row>
    <row r="630" spans="12:12" x14ac:dyDescent="0.25">
      <c r="L630" s="169"/>
    </row>
    <row r="631" spans="12:12" x14ac:dyDescent="0.25">
      <c r="L631" s="169"/>
    </row>
    <row r="632" spans="12:12" x14ac:dyDescent="0.25">
      <c r="L632" s="169"/>
    </row>
    <row r="633" spans="12:12" x14ac:dyDescent="0.25">
      <c r="L633" s="169"/>
    </row>
    <row r="634" spans="12:12" x14ac:dyDescent="0.25">
      <c r="L634" s="169"/>
    </row>
    <row r="635" spans="12:12" x14ac:dyDescent="0.25">
      <c r="L635" s="169"/>
    </row>
    <row r="636" spans="12:12" x14ac:dyDescent="0.25">
      <c r="L636" s="169"/>
    </row>
    <row r="637" spans="12:12" x14ac:dyDescent="0.25">
      <c r="L637" s="169"/>
    </row>
    <row r="638" spans="12:12" x14ac:dyDescent="0.25">
      <c r="L638" s="169"/>
    </row>
    <row r="639" spans="12:12" x14ac:dyDescent="0.25">
      <c r="L639" s="169"/>
    </row>
    <row r="640" spans="12:12" x14ac:dyDescent="0.25">
      <c r="L640" s="169"/>
    </row>
    <row r="641" spans="12:12" x14ac:dyDescent="0.25">
      <c r="L641" s="169"/>
    </row>
    <row r="642" spans="12:12" x14ac:dyDescent="0.25">
      <c r="L642" s="169"/>
    </row>
    <row r="643" spans="12:12" x14ac:dyDescent="0.25">
      <c r="L643" s="169"/>
    </row>
    <row r="644" spans="12:12" x14ac:dyDescent="0.25">
      <c r="L644" s="169"/>
    </row>
    <row r="645" spans="12:12" x14ac:dyDescent="0.25">
      <c r="L645" s="169"/>
    </row>
    <row r="646" spans="12:12" x14ac:dyDescent="0.25">
      <c r="L646" s="169"/>
    </row>
    <row r="647" spans="12:12" x14ac:dyDescent="0.25">
      <c r="L647" s="169"/>
    </row>
    <row r="648" spans="12:12" x14ac:dyDescent="0.25">
      <c r="L648" s="169"/>
    </row>
    <row r="649" spans="12:12" x14ac:dyDescent="0.25">
      <c r="L649" s="169"/>
    </row>
    <row r="650" spans="12:12" x14ac:dyDescent="0.25">
      <c r="L650" s="169"/>
    </row>
    <row r="651" spans="12:12" x14ac:dyDescent="0.25">
      <c r="L651" s="169"/>
    </row>
    <row r="652" spans="12:12" x14ac:dyDescent="0.25">
      <c r="L652" s="169"/>
    </row>
    <row r="653" spans="12:12" x14ac:dyDescent="0.25">
      <c r="L653" s="169"/>
    </row>
    <row r="654" spans="12:12" x14ac:dyDescent="0.25">
      <c r="L654" s="169"/>
    </row>
    <row r="655" spans="12:12" x14ac:dyDescent="0.25">
      <c r="L655" s="169"/>
    </row>
    <row r="656" spans="12:12" x14ac:dyDescent="0.25">
      <c r="L656" s="169"/>
    </row>
    <row r="657" spans="12:12" x14ac:dyDescent="0.25">
      <c r="L657" s="169"/>
    </row>
    <row r="658" spans="12:12" x14ac:dyDescent="0.25">
      <c r="L658" s="169"/>
    </row>
    <row r="659" spans="12:12" x14ac:dyDescent="0.25">
      <c r="L659" s="169"/>
    </row>
    <row r="660" spans="12:12" x14ac:dyDescent="0.25">
      <c r="L660" s="169"/>
    </row>
    <row r="661" spans="12:12" x14ac:dyDescent="0.25">
      <c r="L661" s="169"/>
    </row>
    <row r="662" spans="12:12" x14ac:dyDescent="0.25">
      <c r="L662" s="169"/>
    </row>
    <row r="663" spans="12:12" x14ac:dyDescent="0.25">
      <c r="L663" s="169"/>
    </row>
    <row r="664" spans="12:12" x14ac:dyDescent="0.25">
      <c r="L664" s="169"/>
    </row>
    <row r="665" spans="12:12" x14ac:dyDescent="0.25">
      <c r="L665" s="169"/>
    </row>
    <row r="666" spans="12:12" x14ac:dyDescent="0.25">
      <c r="L666" s="169"/>
    </row>
    <row r="667" spans="12:12" x14ac:dyDescent="0.25">
      <c r="L667" s="169"/>
    </row>
    <row r="668" spans="12:12" x14ac:dyDescent="0.25">
      <c r="L668" s="169"/>
    </row>
    <row r="669" spans="12:12" x14ac:dyDescent="0.25">
      <c r="L669" s="169"/>
    </row>
    <row r="670" spans="12:12" x14ac:dyDescent="0.25">
      <c r="L670" s="169"/>
    </row>
    <row r="671" spans="12:12" x14ac:dyDescent="0.25">
      <c r="L671" s="169"/>
    </row>
    <row r="672" spans="12:12" x14ac:dyDescent="0.25">
      <c r="L672" s="169"/>
    </row>
    <row r="673" spans="12:12" x14ac:dyDescent="0.25">
      <c r="L673" s="169"/>
    </row>
    <row r="674" spans="12:12" x14ac:dyDescent="0.25">
      <c r="L674" s="169"/>
    </row>
    <row r="675" spans="12:12" x14ac:dyDescent="0.25">
      <c r="L675" s="169"/>
    </row>
    <row r="676" spans="12:12" x14ac:dyDescent="0.25">
      <c r="L676" s="169"/>
    </row>
    <row r="677" spans="12:12" x14ac:dyDescent="0.25">
      <c r="L677" s="169"/>
    </row>
    <row r="678" spans="12:12" x14ac:dyDescent="0.25">
      <c r="L678" s="169"/>
    </row>
    <row r="679" spans="12:12" x14ac:dyDescent="0.25">
      <c r="L679" s="169"/>
    </row>
    <row r="680" spans="12:12" x14ac:dyDescent="0.25">
      <c r="L680" s="169"/>
    </row>
    <row r="681" spans="12:12" x14ac:dyDescent="0.25">
      <c r="L681" s="169"/>
    </row>
    <row r="682" spans="12:12" x14ac:dyDescent="0.25">
      <c r="L682" s="169"/>
    </row>
    <row r="683" spans="12:12" x14ac:dyDescent="0.25">
      <c r="L683" s="169"/>
    </row>
    <row r="684" spans="12:12" x14ac:dyDescent="0.25">
      <c r="L684" s="169"/>
    </row>
    <row r="685" spans="12:12" x14ac:dyDescent="0.25">
      <c r="L685" s="169"/>
    </row>
    <row r="686" spans="12:12" x14ac:dyDescent="0.25">
      <c r="L686" s="169"/>
    </row>
    <row r="687" spans="12:12" x14ac:dyDescent="0.25">
      <c r="L687" s="169"/>
    </row>
    <row r="688" spans="12:12" x14ac:dyDescent="0.25">
      <c r="L688" s="169"/>
    </row>
    <row r="689" spans="12:12" x14ac:dyDescent="0.25">
      <c r="L689" s="169"/>
    </row>
    <row r="690" spans="12:12" x14ac:dyDescent="0.25">
      <c r="L690" s="169"/>
    </row>
    <row r="691" spans="12:12" x14ac:dyDescent="0.25">
      <c r="L691" s="169"/>
    </row>
    <row r="692" spans="12:12" x14ac:dyDescent="0.25">
      <c r="L692" s="169"/>
    </row>
    <row r="693" spans="12:12" x14ac:dyDescent="0.25">
      <c r="L693" s="169"/>
    </row>
    <row r="694" spans="12:12" x14ac:dyDescent="0.25">
      <c r="L694" s="169"/>
    </row>
    <row r="695" spans="12:12" x14ac:dyDescent="0.25">
      <c r="L695" s="169"/>
    </row>
    <row r="696" spans="12:12" x14ac:dyDescent="0.25">
      <c r="L696" s="169"/>
    </row>
    <row r="697" spans="12:12" x14ac:dyDescent="0.25">
      <c r="L697" s="169"/>
    </row>
    <row r="698" spans="12:12" x14ac:dyDescent="0.25">
      <c r="L698" s="169"/>
    </row>
    <row r="699" spans="12:12" x14ac:dyDescent="0.25">
      <c r="L699" s="169"/>
    </row>
    <row r="700" spans="12:12" x14ac:dyDescent="0.25">
      <c r="L700" s="169"/>
    </row>
    <row r="701" spans="12:12" x14ac:dyDescent="0.25">
      <c r="L701" s="169"/>
    </row>
    <row r="702" spans="12:12" x14ac:dyDescent="0.25">
      <c r="L702" s="169"/>
    </row>
    <row r="703" spans="12:12" x14ac:dyDescent="0.25">
      <c r="L703" s="169"/>
    </row>
    <row r="704" spans="12:12" x14ac:dyDescent="0.25">
      <c r="L704" s="169"/>
    </row>
    <row r="705" spans="12:12" x14ac:dyDescent="0.25">
      <c r="L705" s="169"/>
    </row>
    <row r="706" spans="12:12" x14ac:dyDescent="0.25">
      <c r="L706" s="169"/>
    </row>
    <row r="707" spans="12:12" x14ac:dyDescent="0.25">
      <c r="L707" s="169"/>
    </row>
    <row r="708" spans="12:12" x14ac:dyDescent="0.25">
      <c r="L708" s="169"/>
    </row>
    <row r="709" spans="12:12" x14ac:dyDescent="0.25">
      <c r="L709" s="169"/>
    </row>
    <row r="710" spans="12:12" x14ac:dyDescent="0.25">
      <c r="L710" s="169"/>
    </row>
    <row r="711" spans="12:12" x14ac:dyDescent="0.25">
      <c r="L711" s="169"/>
    </row>
    <row r="712" spans="12:12" x14ac:dyDescent="0.25">
      <c r="L712" s="169"/>
    </row>
    <row r="713" spans="12:12" x14ac:dyDescent="0.25">
      <c r="L713" s="169"/>
    </row>
    <row r="714" spans="12:12" x14ac:dyDescent="0.25">
      <c r="L714" s="169"/>
    </row>
    <row r="715" spans="12:12" x14ac:dyDescent="0.25">
      <c r="L715" s="169"/>
    </row>
    <row r="716" spans="12:12" x14ac:dyDescent="0.25">
      <c r="L716" s="169"/>
    </row>
    <row r="717" spans="12:12" x14ac:dyDescent="0.25">
      <c r="L717" s="169"/>
    </row>
    <row r="718" spans="12:12" x14ac:dyDescent="0.25">
      <c r="L718" s="169"/>
    </row>
    <row r="719" spans="12:12" x14ac:dyDescent="0.25">
      <c r="L719" s="169"/>
    </row>
    <row r="720" spans="12:12" x14ac:dyDescent="0.25">
      <c r="L720" s="169"/>
    </row>
    <row r="721" spans="12:12" x14ac:dyDescent="0.25">
      <c r="L721" s="169"/>
    </row>
    <row r="722" spans="12:12" x14ac:dyDescent="0.25">
      <c r="L722" s="169"/>
    </row>
    <row r="723" spans="12:12" x14ac:dyDescent="0.25">
      <c r="L723" s="169"/>
    </row>
    <row r="724" spans="12:12" x14ac:dyDescent="0.25">
      <c r="L724" s="169"/>
    </row>
    <row r="725" spans="12:12" x14ac:dyDescent="0.25">
      <c r="L725" s="169"/>
    </row>
    <row r="726" spans="12:12" x14ac:dyDescent="0.25">
      <c r="L726" s="169"/>
    </row>
    <row r="727" spans="12:12" x14ac:dyDescent="0.25">
      <c r="L727" s="169"/>
    </row>
    <row r="728" spans="12:12" x14ac:dyDescent="0.25">
      <c r="L728" s="169"/>
    </row>
    <row r="729" spans="12:12" x14ac:dyDescent="0.25">
      <c r="L729" s="169"/>
    </row>
    <row r="730" spans="12:12" x14ac:dyDescent="0.25">
      <c r="L730" s="169"/>
    </row>
    <row r="731" spans="12:12" x14ac:dyDescent="0.25">
      <c r="L731" s="169"/>
    </row>
    <row r="732" spans="12:12" x14ac:dyDescent="0.25">
      <c r="L732" s="169"/>
    </row>
    <row r="733" spans="12:12" x14ac:dyDescent="0.25">
      <c r="L733" s="169"/>
    </row>
    <row r="734" spans="12:12" x14ac:dyDescent="0.25">
      <c r="L734" s="169"/>
    </row>
    <row r="735" spans="12:12" x14ac:dyDescent="0.25">
      <c r="L735" s="169"/>
    </row>
    <row r="736" spans="12:12" x14ac:dyDescent="0.25">
      <c r="L736" s="169"/>
    </row>
    <row r="737" spans="12:12" x14ac:dyDescent="0.25">
      <c r="L737" s="169"/>
    </row>
    <row r="738" spans="12:12" x14ac:dyDescent="0.25">
      <c r="L738" s="169"/>
    </row>
    <row r="739" spans="12:12" x14ac:dyDescent="0.25">
      <c r="L739" s="169"/>
    </row>
    <row r="740" spans="12:12" x14ac:dyDescent="0.25">
      <c r="L740" s="169"/>
    </row>
    <row r="741" spans="12:12" x14ac:dyDescent="0.25">
      <c r="L741" s="169"/>
    </row>
    <row r="742" spans="12:12" x14ac:dyDescent="0.25">
      <c r="L742" s="169"/>
    </row>
    <row r="743" spans="12:12" x14ac:dyDescent="0.25">
      <c r="L743" s="169"/>
    </row>
    <row r="744" spans="12:12" x14ac:dyDescent="0.25">
      <c r="L744" s="169"/>
    </row>
    <row r="745" spans="12:12" x14ac:dyDescent="0.25">
      <c r="L745" s="169"/>
    </row>
    <row r="746" spans="12:12" x14ac:dyDescent="0.25">
      <c r="L746" s="169"/>
    </row>
    <row r="747" spans="12:12" x14ac:dyDescent="0.25">
      <c r="L747" s="169"/>
    </row>
    <row r="748" spans="12:12" x14ac:dyDescent="0.25">
      <c r="L748" s="169"/>
    </row>
    <row r="749" spans="12:12" x14ac:dyDescent="0.25">
      <c r="L749" s="169"/>
    </row>
    <row r="750" spans="12:12" x14ac:dyDescent="0.25">
      <c r="L750" s="169"/>
    </row>
    <row r="751" spans="12:12" x14ac:dyDescent="0.25">
      <c r="L751" s="169"/>
    </row>
    <row r="752" spans="12:12" x14ac:dyDescent="0.25">
      <c r="L752" s="169"/>
    </row>
    <row r="753" spans="12:12" x14ac:dyDescent="0.25">
      <c r="L753" s="169"/>
    </row>
    <row r="754" spans="12:12" x14ac:dyDescent="0.25">
      <c r="L754" s="169"/>
    </row>
    <row r="755" spans="12:12" x14ac:dyDescent="0.25">
      <c r="L755" s="169"/>
    </row>
    <row r="756" spans="12:12" x14ac:dyDescent="0.25">
      <c r="L756" s="169"/>
    </row>
    <row r="757" spans="12:12" x14ac:dyDescent="0.25">
      <c r="L757" s="169"/>
    </row>
    <row r="758" spans="12:12" x14ac:dyDescent="0.25">
      <c r="L758" s="169"/>
    </row>
    <row r="759" spans="12:12" x14ac:dyDescent="0.25">
      <c r="L759" s="169"/>
    </row>
    <row r="760" spans="12:12" x14ac:dyDescent="0.25">
      <c r="L760" s="169"/>
    </row>
    <row r="761" spans="12:12" x14ac:dyDescent="0.25">
      <c r="L761" s="169"/>
    </row>
    <row r="762" spans="12:12" x14ac:dyDescent="0.25">
      <c r="L762" s="169"/>
    </row>
    <row r="763" spans="12:12" x14ac:dyDescent="0.25">
      <c r="L763" s="169"/>
    </row>
    <row r="764" spans="12:12" x14ac:dyDescent="0.25">
      <c r="L764" s="169"/>
    </row>
    <row r="765" spans="12:12" x14ac:dyDescent="0.25">
      <c r="L765" s="169"/>
    </row>
    <row r="766" spans="12:12" x14ac:dyDescent="0.25">
      <c r="L766" s="169"/>
    </row>
    <row r="767" spans="12:12" x14ac:dyDescent="0.25">
      <c r="L767" s="169"/>
    </row>
    <row r="768" spans="12:12" x14ac:dyDescent="0.25">
      <c r="L768" s="169"/>
    </row>
    <row r="769" spans="12:12" x14ac:dyDescent="0.25">
      <c r="L769" s="169"/>
    </row>
    <row r="770" spans="12:12" x14ac:dyDescent="0.25">
      <c r="L770" s="169"/>
    </row>
    <row r="771" spans="12:12" x14ac:dyDescent="0.25">
      <c r="L771" s="169"/>
    </row>
    <row r="772" spans="12:12" x14ac:dyDescent="0.25">
      <c r="L772" s="169"/>
    </row>
    <row r="773" spans="12:12" x14ac:dyDescent="0.25">
      <c r="L773" s="169"/>
    </row>
    <row r="774" spans="12:12" x14ac:dyDescent="0.25">
      <c r="L774" s="169"/>
    </row>
    <row r="775" spans="12:12" x14ac:dyDescent="0.25">
      <c r="L775" s="169"/>
    </row>
    <row r="776" spans="12:12" x14ac:dyDescent="0.25">
      <c r="L776" s="169"/>
    </row>
    <row r="777" spans="12:12" x14ac:dyDescent="0.25">
      <c r="L777" s="169"/>
    </row>
    <row r="778" spans="12:12" x14ac:dyDescent="0.25">
      <c r="L778" s="169"/>
    </row>
    <row r="779" spans="12:12" x14ac:dyDescent="0.25">
      <c r="L779" s="169"/>
    </row>
    <row r="780" spans="12:12" x14ac:dyDescent="0.25">
      <c r="L780" s="169"/>
    </row>
    <row r="781" spans="12:12" x14ac:dyDescent="0.25">
      <c r="L781" s="169"/>
    </row>
    <row r="782" spans="12:12" x14ac:dyDescent="0.25">
      <c r="L782" s="169"/>
    </row>
    <row r="783" spans="12:12" x14ac:dyDescent="0.25">
      <c r="L783" s="169"/>
    </row>
    <row r="784" spans="12:12" x14ac:dyDescent="0.25">
      <c r="L784" s="169"/>
    </row>
    <row r="785" spans="12:12" x14ac:dyDescent="0.25">
      <c r="L785" s="169"/>
    </row>
    <row r="786" spans="12:12" x14ac:dyDescent="0.25">
      <c r="L786" s="169"/>
    </row>
    <row r="787" spans="12:12" x14ac:dyDescent="0.25">
      <c r="L787" s="169"/>
    </row>
    <row r="788" spans="12:12" x14ac:dyDescent="0.25">
      <c r="L788" s="169"/>
    </row>
    <row r="789" spans="12:12" x14ac:dyDescent="0.25">
      <c r="L789" s="169"/>
    </row>
    <row r="790" spans="12:12" x14ac:dyDescent="0.25">
      <c r="L790" s="169"/>
    </row>
    <row r="791" spans="12:12" x14ac:dyDescent="0.25">
      <c r="L791" s="169"/>
    </row>
    <row r="792" spans="12:12" x14ac:dyDescent="0.25">
      <c r="L792" s="169"/>
    </row>
    <row r="793" spans="12:12" x14ac:dyDescent="0.25">
      <c r="L793" s="169"/>
    </row>
    <row r="794" spans="12:12" x14ac:dyDescent="0.25">
      <c r="L794" s="169"/>
    </row>
    <row r="795" spans="12:12" x14ac:dyDescent="0.25">
      <c r="L795" s="169"/>
    </row>
    <row r="796" spans="12:12" x14ac:dyDescent="0.25">
      <c r="L796" s="169"/>
    </row>
    <row r="797" spans="12:12" x14ac:dyDescent="0.25">
      <c r="L797" s="169"/>
    </row>
    <row r="798" spans="12:12" x14ac:dyDescent="0.25">
      <c r="L798" s="169"/>
    </row>
    <row r="799" spans="12:12" x14ac:dyDescent="0.25">
      <c r="L799" s="169"/>
    </row>
    <row r="800" spans="12:12" x14ac:dyDescent="0.25">
      <c r="L800" s="169"/>
    </row>
    <row r="801" spans="12:12" x14ac:dyDescent="0.25">
      <c r="L801" s="169"/>
    </row>
    <row r="802" spans="12:12" x14ac:dyDescent="0.25">
      <c r="L802" s="169"/>
    </row>
    <row r="803" spans="12:12" x14ac:dyDescent="0.25">
      <c r="L803" s="169"/>
    </row>
    <row r="804" spans="12:12" x14ac:dyDescent="0.25">
      <c r="L804" s="169"/>
    </row>
    <row r="805" spans="12:12" x14ac:dyDescent="0.25">
      <c r="L805" s="169"/>
    </row>
    <row r="806" spans="12:12" x14ac:dyDescent="0.25">
      <c r="L806" s="169"/>
    </row>
    <row r="807" spans="12:12" x14ac:dyDescent="0.25">
      <c r="L807" s="169"/>
    </row>
    <row r="808" spans="12:12" x14ac:dyDescent="0.25">
      <c r="L808" s="169"/>
    </row>
    <row r="809" spans="12:12" x14ac:dyDescent="0.25">
      <c r="L809" s="169"/>
    </row>
    <row r="810" spans="12:12" x14ac:dyDescent="0.25">
      <c r="L810" s="169"/>
    </row>
    <row r="811" spans="12:12" x14ac:dyDescent="0.25">
      <c r="L811" s="169"/>
    </row>
    <row r="812" spans="12:12" x14ac:dyDescent="0.25">
      <c r="L812" s="169"/>
    </row>
    <row r="813" spans="12:12" x14ac:dyDescent="0.25">
      <c r="L813" s="169"/>
    </row>
    <row r="814" spans="12:12" x14ac:dyDescent="0.25">
      <c r="L814" s="169"/>
    </row>
    <row r="815" spans="12:12" x14ac:dyDescent="0.25">
      <c r="L815" s="169"/>
    </row>
    <row r="816" spans="12:12" x14ac:dyDescent="0.25">
      <c r="L816" s="169"/>
    </row>
    <row r="817" spans="12:12" x14ac:dyDescent="0.25">
      <c r="L817" s="169"/>
    </row>
    <row r="818" spans="12:12" x14ac:dyDescent="0.25">
      <c r="L818" s="169"/>
    </row>
    <row r="819" spans="12:12" x14ac:dyDescent="0.25">
      <c r="L819" s="169"/>
    </row>
    <row r="820" spans="12:12" x14ac:dyDescent="0.25">
      <c r="L820" s="169"/>
    </row>
    <row r="821" spans="12:12" x14ac:dyDescent="0.25">
      <c r="L821" s="169"/>
    </row>
    <row r="822" spans="12:12" x14ac:dyDescent="0.25">
      <c r="L822" s="169"/>
    </row>
    <row r="823" spans="12:12" x14ac:dyDescent="0.25">
      <c r="L823" s="169"/>
    </row>
    <row r="824" spans="12:12" x14ac:dyDescent="0.25">
      <c r="L824" s="169"/>
    </row>
    <row r="825" spans="12:12" x14ac:dyDescent="0.25">
      <c r="L825" s="169"/>
    </row>
    <row r="826" spans="12:12" x14ac:dyDescent="0.25">
      <c r="L826" s="169"/>
    </row>
    <row r="827" spans="12:12" x14ac:dyDescent="0.25">
      <c r="L827" s="169"/>
    </row>
    <row r="828" spans="12:12" x14ac:dyDescent="0.25">
      <c r="L828" s="169"/>
    </row>
    <row r="829" spans="12:12" x14ac:dyDescent="0.25">
      <c r="L829" s="169"/>
    </row>
    <row r="830" spans="12:12" x14ac:dyDescent="0.25">
      <c r="L830" s="169"/>
    </row>
    <row r="831" spans="12:12" x14ac:dyDescent="0.25">
      <c r="L831" s="169"/>
    </row>
    <row r="832" spans="12:12" x14ac:dyDescent="0.25">
      <c r="L832" s="169"/>
    </row>
    <row r="833" spans="12:12" x14ac:dyDescent="0.25">
      <c r="L833" s="169"/>
    </row>
    <row r="834" spans="12:12" x14ac:dyDescent="0.25">
      <c r="L834" s="169"/>
    </row>
    <row r="835" spans="12:12" x14ac:dyDescent="0.25">
      <c r="L835" s="169"/>
    </row>
    <row r="836" spans="12:12" x14ac:dyDescent="0.25">
      <c r="L836" s="169"/>
    </row>
    <row r="837" spans="12:12" x14ac:dyDescent="0.25">
      <c r="L837" s="169"/>
    </row>
    <row r="838" spans="12:12" x14ac:dyDescent="0.25">
      <c r="L838" s="169"/>
    </row>
    <row r="839" spans="12:12" x14ac:dyDescent="0.25">
      <c r="L839" s="169"/>
    </row>
    <row r="840" spans="12:12" x14ac:dyDescent="0.25">
      <c r="L840" s="169"/>
    </row>
    <row r="841" spans="12:12" x14ac:dyDescent="0.25">
      <c r="L841" s="169"/>
    </row>
    <row r="842" spans="12:12" x14ac:dyDescent="0.25">
      <c r="L842" s="169"/>
    </row>
    <row r="843" spans="12:12" x14ac:dyDescent="0.25">
      <c r="L843" s="169"/>
    </row>
    <row r="844" spans="12:12" x14ac:dyDescent="0.25">
      <c r="L844" s="169"/>
    </row>
    <row r="845" spans="12:12" x14ac:dyDescent="0.25">
      <c r="L845" s="169"/>
    </row>
    <row r="846" spans="12:12" x14ac:dyDescent="0.25">
      <c r="L846" s="169"/>
    </row>
    <row r="847" spans="12:12" x14ac:dyDescent="0.25">
      <c r="L847" s="169"/>
    </row>
    <row r="848" spans="12:12" x14ac:dyDescent="0.25">
      <c r="L848" s="169"/>
    </row>
    <row r="849" spans="12:12" x14ac:dyDescent="0.25">
      <c r="L849" s="169"/>
    </row>
    <row r="850" spans="12:12" x14ac:dyDescent="0.25">
      <c r="L850" s="169"/>
    </row>
    <row r="851" spans="12:12" x14ac:dyDescent="0.25">
      <c r="L851" s="169"/>
    </row>
    <row r="852" spans="12:12" x14ac:dyDescent="0.25">
      <c r="L852" s="169"/>
    </row>
    <row r="853" spans="12:12" x14ac:dyDescent="0.25">
      <c r="L853" s="169"/>
    </row>
    <row r="854" spans="12:12" x14ac:dyDescent="0.25">
      <c r="L854" s="169"/>
    </row>
    <row r="855" spans="12:12" x14ac:dyDescent="0.25">
      <c r="L855" s="169"/>
    </row>
    <row r="856" spans="12:12" x14ac:dyDescent="0.25">
      <c r="L856" s="169"/>
    </row>
    <row r="857" spans="12:12" x14ac:dyDescent="0.25">
      <c r="L857" s="169"/>
    </row>
    <row r="858" spans="12:12" x14ac:dyDescent="0.25">
      <c r="L858" s="169"/>
    </row>
    <row r="859" spans="12:12" x14ac:dyDescent="0.25">
      <c r="L859" s="169"/>
    </row>
    <row r="860" spans="12:12" x14ac:dyDescent="0.25">
      <c r="L860" s="169"/>
    </row>
    <row r="861" spans="12:12" x14ac:dyDescent="0.25">
      <c r="L861" s="169"/>
    </row>
    <row r="862" spans="12:12" x14ac:dyDescent="0.25">
      <c r="L862" s="169"/>
    </row>
    <row r="863" spans="12:12" x14ac:dyDescent="0.25">
      <c r="L863" s="169"/>
    </row>
    <row r="864" spans="12:12" x14ac:dyDescent="0.25">
      <c r="L864" s="169"/>
    </row>
    <row r="865" spans="12:12" x14ac:dyDescent="0.25">
      <c r="L865" s="169"/>
    </row>
    <row r="866" spans="12:12" x14ac:dyDescent="0.25">
      <c r="L866" s="169"/>
    </row>
    <row r="867" spans="12:12" x14ac:dyDescent="0.25">
      <c r="L867" s="169"/>
    </row>
    <row r="868" spans="12:12" x14ac:dyDescent="0.25">
      <c r="L868" s="169"/>
    </row>
    <row r="869" spans="12:12" x14ac:dyDescent="0.25">
      <c r="L869" s="169"/>
    </row>
    <row r="870" spans="12:12" x14ac:dyDescent="0.25">
      <c r="L870" s="169"/>
    </row>
    <row r="871" spans="12:12" x14ac:dyDescent="0.25">
      <c r="L871" s="169"/>
    </row>
    <row r="872" spans="12:12" x14ac:dyDescent="0.25">
      <c r="L872" s="169"/>
    </row>
    <row r="873" spans="12:12" x14ac:dyDescent="0.25">
      <c r="L873" s="169"/>
    </row>
    <row r="874" spans="12:12" x14ac:dyDescent="0.25">
      <c r="L874" s="169"/>
    </row>
    <row r="875" spans="12:12" x14ac:dyDescent="0.25">
      <c r="L875" s="169"/>
    </row>
    <row r="876" spans="12:12" x14ac:dyDescent="0.25">
      <c r="L876" s="169"/>
    </row>
    <row r="877" spans="12:12" x14ac:dyDescent="0.25">
      <c r="L877" s="169"/>
    </row>
    <row r="878" spans="12:12" x14ac:dyDescent="0.25">
      <c r="L878" s="169"/>
    </row>
    <row r="879" spans="12:12" x14ac:dyDescent="0.25">
      <c r="L879" s="169"/>
    </row>
    <row r="880" spans="12:12" x14ac:dyDescent="0.25">
      <c r="L880" s="169"/>
    </row>
    <row r="881" spans="12:12" x14ac:dyDescent="0.25">
      <c r="L881" s="169"/>
    </row>
    <row r="882" spans="12:12" x14ac:dyDescent="0.25">
      <c r="L882" s="169"/>
    </row>
    <row r="883" spans="12:12" x14ac:dyDescent="0.25">
      <c r="L883" s="169"/>
    </row>
    <row r="884" spans="12:12" x14ac:dyDescent="0.25">
      <c r="L884" s="169"/>
    </row>
    <row r="885" spans="12:12" x14ac:dyDescent="0.25">
      <c r="L885" s="169"/>
    </row>
    <row r="886" spans="12:12" x14ac:dyDescent="0.25">
      <c r="L886" s="169"/>
    </row>
    <row r="887" spans="12:12" x14ac:dyDescent="0.25">
      <c r="L887" s="169"/>
    </row>
    <row r="888" spans="12:12" x14ac:dyDescent="0.25">
      <c r="L888" s="169"/>
    </row>
    <row r="889" spans="12:12" x14ac:dyDescent="0.25">
      <c r="L889" s="169"/>
    </row>
    <row r="890" spans="12:12" x14ac:dyDescent="0.25">
      <c r="L890" s="169"/>
    </row>
    <row r="891" spans="12:12" x14ac:dyDescent="0.25">
      <c r="L891" s="169"/>
    </row>
    <row r="892" spans="12:12" x14ac:dyDescent="0.25">
      <c r="L892" s="169"/>
    </row>
    <row r="893" spans="12:12" x14ac:dyDescent="0.25">
      <c r="L893" s="169"/>
    </row>
    <row r="894" spans="12:12" x14ac:dyDescent="0.25">
      <c r="L894" s="169"/>
    </row>
    <row r="895" spans="12:12" x14ac:dyDescent="0.25">
      <c r="L895" s="169"/>
    </row>
    <row r="896" spans="12:12" x14ac:dyDescent="0.25">
      <c r="L896" s="169"/>
    </row>
    <row r="897" spans="12:12" x14ac:dyDescent="0.25">
      <c r="L897" s="169"/>
    </row>
    <row r="898" spans="12:12" x14ac:dyDescent="0.25">
      <c r="L898" s="169"/>
    </row>
    <row r="899" spans="12:12" x14ac:dyDescent="0.25">
      <c r="L899" s="169"/>
    </row>
    <row r="900" spans="12:12" x14ac:dyDescent="0.25">
      <c r="L900" s="169"/>
    </row>
    <row r="901" spans="12:12" x14ac:dyDescent="0.25">
      <c r="L901" s="169"/>
    </row>
    <row r="902" spans="12:12" x14ac:dyDescent="0.25">
      <c r="L902" s="169"/>
    </row>
    <row r="903" spans="12:12" x14ac:dyDescent="0.25">
      <c r="L903" s="169"/>
    </row>
    <row r="904" spans="12:12" x14ac:dyDescent="0.25">
      <c r="L904" s="169"/>
    </row>
    <row r="905" spans="12:12" x14ac:dyDescent="0.25">
      <c r="L905" s="169"/>
    </row>
    <row r="906" spans="12:12" x14ac:dyDescent="0.25">
      <c r="L906" s="169"/>
    </row>
    <row r="907" spans="12:12" x14ac:dyDescent="0.25">
      <c r="L907" s="169"/>
    </row>
    <row r="908" spans="12:12" x14ac:dyDescent="0.25">
      <c r="L908" s="169"/>
    </row>
    <row r="909" spans="12:12" x14ac:dyDescent="0.25">
      <c r="L909" s="169"/>
    </row>
    <row r="910" spans="12:12" x14ac:dyDescent="0.25">
      <c r="L910" s="169"/>
    </row>
    <row r="911" spans="12:12" x14ac:dyDescent="0.25">
      <c r="L911" s="169"/>
    </row>
    <row r="912" spans="12:12" x14ac:dyDescent="0.25">
      <c r="L912" s="169"/>
    </row>
    <row r="913" spans="12:12" x14ac:dyDescent="0.25">
      <c r="L913" s="169"/>
    </row>
    <row r="914" spans="12:12" x14ac:dyDescent="0.25">
      <c r="L914" s="169"/>
    </row>
    <row r="915" spans="12:12" x14ac:dyDescent="0.25">
      <c r="L915" s="169"/>
    </row>
    <row r="916" spans="12:12" x14ac:dyDescent="0.25">
      <c r="L916" s="169"/>
    </row>
    <row r="917" spans="12:12" x14ac:dyDescent="0.25">
      <c r="L917" s="169"/>
    </row>
    <row r="918" spans="12:12" x14ac:dyDescent="0.25">
      <c r="L918" s="169"/>
    </row>
    <row r="919" spans="12:12" x14ac:dyDescent="0.25">
      <c r="L919" s="169"/>
    </row>
    <row r="920" spans="12:12" x14ac:dyDescent="0.25">
      <c r="L920" s="169"/>
    </row>
    <row r="921" spans="12:12" x14ac:dyDescent="0.25">
      <c r="L921" s="169"/>
    </row>
    <row r="922" spans="12:12" x14ac:dyDescent="0.25">
      <c r="L922" s="169"/>
    </row>
    <row r="923" spans="12:12" x14ac:dyDescent="0.25">
      <c r="L923" s="169"/>
    </row>
    <row r="924" spans="12:12" x14ac:dyDescent="0.25">
      <c r="L924" s="169"/>
    </row>
    <row r="925" spans="12:12" x14ac:dyDescent="0.25">
      <c r="L925" s="169"/>
    </row>
    <row r="926" spans="12:12" x14ac:dyDescent="0.25">
      <c r="L926" s="169"/>
    </row>
    <row r="927" spans="12:12" x14ac:dyDescent="0.25">
      <c r="L927" s="169"/>
    </row>
    <row r="928" spans="12:12" x14ac:dyDescent="0.25">
      <c r="L928" s="169"/>
    </row>
    <row r="929" spans="12:12" x14ac:dyDescent="0.25">
      <c r="L929" s="169"/>
    </row>
    <row r="930" spans="12:12" x14ac:dyDescent="0.25">
      <c r="L930" s="169"/>
    </row>
    <row r="931" spans="12:12" x14ac:dyDescent="0.25">
      <c r="L931" s="169"/>
    </row>
    <row r="932" spans="12:12" x14ac:dyDescent="0.25">
      <c r="L932" s="169"/>
    </row>
    <row r="933" spans="12:12" x14ac:dyDescent="0.25">
      <c r="L933" s="169"/>
    </row>
    <row r="934" spans="12:12" x14ac:dyDescent="0.25">
      <c r="L934" s="169"/>
    </row>
    <row r="935" spans="12:12" x14ac:dyDescent="0.25">
      <c r="L935" s="169"/>
    </row>
    <row r="936" spans="12:12" x14ac:dyDescent="0.25">
      <c r="L936" s="169"/>
    </row>
    <row r="937" spans="12:12" x14ac:dyDescent="0.25">
      <c r="L937" s="169"/>
    </row>
    <row r="938" spans="12:12" x14ac:dyDescent="0.25">
      <c r="L938" s="169"/>
    </row>
    <row r="939" spans="12:12" x14ac:dyDescent="0.25">
      <c r="L939" s="169"/>
    </row>
    <row r="940" spans="12:12" x14ac:dyDescent="0.25">
      <c r="L940" s="169"/>
    </row>
    <row r="941" spans="12:12" x14ac:dyDescent="0.25">
      <c r="L941" s="169"/>
    </row>
    <row r="942" spans="12:12" x14ac:dyDescent="0.25">
      <c r="L942" s="169"/>
    </row>
    <row r="943" spans="12:12" x14ac:dyDescent="0.25">
      <c r="L943" s="169"/>
    </row>
    <row r="944" spans="12:12" x14ac:dyDescent="0.25">
      <c r="L944" s="169"/>
    </row>
    <row r="945" spans="12:12" x14ac:dyDescent="0.25">
      <c r="L945" s="169"/>
    </row>
    <row r="946" spans="12:12" x14ac:dyDescent="0.25">
      <c r="L946" s="169"/>
    </row>
    <row r="947" spans="12:12" x14ac:dyDescent="0.25">
      <c r="L947" s="169"/>
    </row>
    <row r="948" spans="12:12" x14ac:dyDescent="0.25">
      <c r="L948" s="169"/>
    </row>
    <row r="949" spans="12:12" x14ac:dyDescent="0.25">
      <c r="L949" s="169"/>
    </row>
    <row r="950" spans="12:12" x14ac:dyDescent="0.25">
      <c r="L950" s="169"/>
    </row>
    <row r="951" spans="12:12" x14ac:dyDescent="0.25">
      <c r="L951" s="169"/>
    </row>
    <row r="952" spans="12:12" x14ac:dyDescent="0.25">
      <c r="L952" s="169"/>
    </row>
    <row r="953" spans="12:12" x14ac:dyDescent="0.25">
      <c r="L953" s="169"/>
    </row>
    <row r="954" spans="12:12" x14ac:dyDescent="0.25">
      <c r="L954" s="169"/>
    </row>
    <row r="955" spans="12:12" x14ac:dyDescent="0.25">
      <c r="L955" s="169"/>
    </row>
    <row r="956" spans="12:12" x14ac:dyDescent="0.25">
      <c r="L956" s="169"/>
    </row>
    <row r="957" spans="12:12" x14ac:dyDescent="0.25">
      <c r="L957" s="169"/>
    </row>
    <row r="958" spans="12:12" x14ac:dyDescent="0.25">
      <c r="L958" s="169"/>
    </row>
    <row r="959" spans="12:12" x14ac:dyDescent="0.25">
      <c r="L959" s="169"/>
    </row>
    <row r="960" spans="12:12" x14ac:dyDescent="0.25">
      <c r="L960" s="169"/>
    </row>
    <row r="961" spans="12:12" x14ac:dyDescent="0.25">
      <c r="L961" s="169"/>
    </row>
    <row r="962" spans="12:12" x14ac:dyDescent="0.25">
      <c r="L962" s="169"/>
    </row>
    <row r="963" spans="12:12" x14ac:dyDescent="0.25">
      <c r="L963" s="169"/>
    </row>
    <row r="964" spans="12:12" x14ac:dyDescent="0.25">
      <c r="L964" s="169"/>
    </row>
    <row r="965" spans="12:12" x14ac:dyDescent="0.25">
      <c r="L965" s="169"/>
    </row>
    <row r="966" spans="12:12" x14ac:dyDescent="0.25">
      <c r="L966" s="169"/>
    </row>
    <row r="967" spans="12:12" x14ac:dyDescent="0.25">
      <c r="L967" s="169"/>
    </row>
    <row r="968" spans="12:12" x14ac:dyDescent="0.25">
      <c r="L968" s="169"/>
    </row>
    <row r="969" spans="12:12" x14ac:dyDescent="0.25">
      <c r="L969" s="169"/>
    </row>
    <row r="970" spans="12:12" x14ac:dyDescent="0.25">
      <c r="L970" s="169"/>
    </row>
    <row r="971" spans="12:12" x14ac:dyDescent="0.25">
      <c r="L971" s="169"/>
    </row>
    <row r="972" spans="12:12" x14ac:dyDescent="0.25">
      <c r="L972" s="169"/>
    </row>
    <row r="973" spans="12:12" x14ac:dyDescent="0.25">
      <c r="L973" s="169"/>
    </row>
    <row r="974" spans="12:12" x14ac:dyDescent="0.25">
      <c r="L974" s="169"/>
    </row>
    <row r="975" spans="12:12" x14ac:dyDescent="0.25">
      <c r="L975" s="169"/>
    </row>
    <row r="976" spans="12:12" x14ac:dyDescent="0.25">
      <c r="L976" s="169"/>
    </row>
    <row r="977" spans="12:12" x14ac:dyDescent="0.25">
      <c r="L977" s="169"/>
    </row>
    <row r="978" spans="12:12" x14ac:dyDescent="0.25">
      <c r="L978" s="169"/>
    </row>
    <row r="979" spans="12:12" x14ac:dyDescent="0.25">
      <c r="L979" s="169"/>
    </row>
    <row r="980" spans="12:12" x14ac:dyDescent="0.25">
      <c r="L980" s="169"/>
    </row>
    <row r="981" spans="12:12" x14ac:dyDescent="0.25">
      <c r="L981" s="169"/>
    </row>
    <row r="982" spans="12:12" x14ac:dyDescent="0.25">
      <c r="L982" s="169"/>
    </row>
    <row r="983" spans="12:12" x14ac:dyDescent="0.25">
      <c r="L983" s="169"/>
    </row>
    <row r="984" spans="12:12" x14ac:dyDescent="0.25">
      <c r="L984" s="169"/>
    </row>
    <row r="985" spans="12:12" x14ac:dyDescent="0.25">
      <c r="L985" s="169"/>
    </row>
    <row r="986" spans="12:12" x14ac:dyDescent="0.25">
      <c r="L986" s="169"/>
    </row>
    <row r="987" spans="12:12" x14ac:dyDescent="0.25">
      <c r="L987" s="169"/>
    </row>
    <row r="988" spans="12:12" x14ac:dyDescent="0.25">
      <c r="L988" s="169"/>
    </row>
    <row r="989" spans="12:12" x14ac:dyDescent="0.25">
      <c r="L989" s="169"/>
    </row>
    <row r="990" spans="12:12" x14ac:dyDescent="0.25">
      <c r="L990" s="169"/>
    </row>
    <row r="991" spans="12:12" x14ac:dyDescent="0.25">
      <c r="L991" s="169"/>
    </row>
    <row r="992" spans="12:12" x14ac:dyDescent="0.25">
      <c r="L992" s="169"/>
    </row>
    <row r="993" spans="12:12" x14ac:dyDescent="0.25">
      <c r="L993" s="169"/>
    </row>
    <row r="994" spans="12:12" x14ac:dyDescent="0.25">
      <c r="L994" s="169"/>
    </row>
    <row r="995" spans="12:12" x14ac:dyDescent="0.25">
      <c r="L995" s="169"/>
    </row>
    <row r="996" spans="12:12" x14ac:dyDescent="0.25">
      <c r="L996" s="169"/>
    </row>
    <row r="997" spans="12:12" x14ac:dyDescent="0.25">
      <c r="L997" s="169"/>
    </row>
    <row r="998" spans="12:12" x14ac:dyDescent="0.25">
      <c r="L998" s="169"/>
    </row>
    <row r="999" spans="12:12" x14ac:dyDescent="0.25">
      <c r="L999" s="169"/>
    </row>
    <row r="1000" spans="12:12" x14ac:dyDescent="0.25">
      <c r="L1000" s="169"/>
    </row>
    <row r="1001" spans="12:12" x14ac:dyDescent="0.25">
      <c r="L1001" s="169"/>
    </row>
    <row r="1002" spans="12:12" x14ac:dyDescent="0.25">
      <c r="L1002" s="169"/>
    </row>
    <row r="1003" spans="12:12" x14ac:dyDescent="0.25">
      <c r="L1003" s="169"/>
    </row>
    <row r="1004" spans="12:12" x14ac:dyDescent="0.25">
      <c r="L1004" s="169"/>
    </row>
    <row r="1005" spans="12:12" x14ac:dyDescent="0.25">
      <c r="L1005" s="169"/>
    </row>
    <row r="1006" spans="12:12" x14ac:dyDescent="0.25">
      <c r="L1006" s="169"/>
    </row>
    <row r="1007" spans="12:12" x14ac:dyDescent="0.25">
      <c r="L1007" s="169"/>
    </row>
    <row r="1008" spans="12:12" x14ac:dyDescent="0.25">
      <c r="L1008" s="169"/>
    </row>
    <row r="1009" spans="12:12" x14ac:dyDescent="0.25">
      <c r="L1009" s="169"/>
    </row>
    <row r="1010" spans="12:12" x14ac:dyDescent="0.25">
      <c r="L1010" s="169"/>
    </row>
    <row r="1011" spans="12:12" x14ac:dyDescent="0.25">
      <c r="L1011" s="169"/>
    </row>
    <row r="1012" spans="12:12" x14ac:dyDescent="0.25">
      <c r="L1012" s="169"/>
    </row>
    <row r="1013" spans="12:12" x14ac:dyDescent="0.25">
      <c r="L1013" s="169"/>
    </row>
    <row r="1014" spans="12:12" x14ac:dyDescent="0.25">
      <c r="L1014" s="169"/>
    </row>
    <row r="1015" spans="12:12" x14ac:dyDescent="0.25">
      <c r="L1015" s="169"/>
    </row>
    <row r="1016" spans="12:12" x14ac:dyDescent="0.25">
      <c r="L1016" s="169"/>
    </row>
    <row r="1017" spans="12:12" x14ac:dyDescent="0.25">
      <c r="L1017" s="169"/>
    </row>
    <row r="1018" spans="12:12" x14ac:dyDescent="0.25">
      <c r="L1018" s="169"/>
    </row>
    <row r="1019" spans="12:12" x14ac:dyDescent="0.25">
      <c r="L1019" s="169"/>
    </row>
    <row r="1020" spans="12:12" x14ac:dyDescent="0.25">
      <c r="L1020" s="169"/>
    </row>
    <row r="1021" spans="12:12" x14ac:dyDescent="0.25">
      <c r="L1021" s="169"/>
    </row>
    <row r="1022" spans="12:12" x14ac:dyDescent="0.25">
      <c r="L1022" s="169"/>
    </row>
    <row r="1023" spans="12:12" x14ac:dyDescent="0.25">
      <c r="L1023" s="169"/>
    </row>
    <row r="1024" spans="12:12" x14ac:dyDescent="0.25">
      <c r="L1024" s="169"/>
    </row>
    <row r="1025" spans="12:12" x14ac:dyDescent="0.25">
      <c r="L1025" s="169"/>
    </row>
    <row r="1026" spans="12:12" x14ac:dyDescent="0.25">
      <c r="L1026" s="169"/>
    </row>
    <row r="1027" spans="12:12" x14ac:dyDescent="0.25">
      <c r="L1027" s="169"/>
    </row>
    <row r="1028" spans="12:12" x14ac:dyDescent="0.25">
      <c r="L1028" s="169"/>
    </row>
    <row r="1029" spans="12:12" x14ac:dyDescent="0.25">
      <c r="L1029" s="169"/>
    </row>
    <row r="1030" spans="12:12" x14ac:dyDescent="0.25">
      <c r="L1030" s="169"/>
    </row>
    <row r="1031" spans="12:12" x14ac:dyDescent="0.25">
      <c r="L1031" s="169"/>
    </row>
    <row r="1032" spans="12:12" x14ac:dyDescent="0.25">
      <c r="L1032" s="169"/>
    </row>
    <row r="1033" spans="12:12" x14ac:dyDescent="0.25">
      <c r="L1033" s="169"/>
    </row>
    <row r="1034" spans="12:12" x14ac:dyDescent="0.25">
      <c r="L1034" s="169"/>
    </row>
    <row r="1035" spans="12:12" x14ac:dyDescent="0.25">
      <c r="L1035" s="169"/>
    </row>
    <row r="1036" spans="12:12" x14ac:dyDescent="0.25">
      <c r="L1036" s="169"/>
    </row>
    <row r="1037" spans="12:12" x14ac:dyDescent="0.25">
      <c r="L1037" s="169"/>
    </row>
    <row r="1038" spans="12:12" x14ac:dyDescent="0.25">
      <c r="L1038" s="169"/>
    </row>
    <row r="1039" spans="12:12" x14ac:dyDescent="0.25">
      <c r="L1039" s="169"/>
    </row>
    <row r="1040" spans="12:12" x14ac:dyDescent="0.25">
      <c r="L1040" s="169"/>
    </row>
    <row r="1041" spans="12:12" x14ac:dyDescent="0.25">
      <c r="L1041" s="169"/>
    </row>
    <row r="1042" spans="12:12" x14ac:dyDescent="0.25">
      <c r="L1042" s="169"/>
    </row>
    <row r="1043" spans="12:12" x14ac:dyDescent="0.25">
      <c r="L1043" s="169"/>
    </row>
    <row r="1044" spans="12:12" x14ac:dyDescent="0.25">
      <c r="L1044" s="169"/>
    </row>
    <row r="1045" spans="12:12" x14ac:dyDescent="0.25">
      <c r="L1045" s="169"/>
    </row>
    <row r="1046" spans="12:12" x14ac:dyDescent="0.25">
      <c r="L1046" s="169"/>
    </row>
    <row r="1047" spans="12:12" x14ac:dyDescent="0.25">
      <c r="L1047" s="169"/>
    </row>
    <row r="1048" spans="12:12" x14ac:dyDescent="0.25">
      <c r="L1048" s="169"/>
    </row>
    <row r="1049" spans="12:12" x14ac:dyDescent="0.25">
      <c r="L1049" s="169"/>
    </row>
    <row r="1050" spans="12:12" x14ac:dyDescent="0.25">
      <c r="L1050" s="169"/>
    </row>
    <row r="1051" spans="12:12" x14ac:dyDescent="0.25">
      <c r="L1051" s="169"/>
    </row>
    <row r="1052" spans="12:12" x14ac:dyDescent="0.25">
      <c r="L1052" s="169"/>
    </row>
    <row r="1053" spans="12:12" x14ac:dyDescent="0.25">
      <c r="L1053" s="169"/>
    </row>
    <row r="1054" spans="12:12" x14ac:dyDescent="0.25">
      <c r="L1054" s="169"/>
    </row>
    <row r="1055" spans="12:12" x14ac:dyDescent="0.25">
      <c r="L1055" s="169"/>
    </row>
    <row r="1056" spans="12:12" x14ac:dyDescent="0.25">
      <c r="L1056" s="169"/>
    </row>
    <row r="1057" spans="12:12" x14ac:dyDescent="0.25">
      <c r="L1057" s="169"/>
    </row>
    <row r="1058" spans="12:12" x14ac:dyDescent="0.25">
      <c r="L1058" s="169"/>
    </row>
    <row r="1059" spans="12:12" x14ac:dyDescent="0.25">
      <c r="L1059" s="169"/>
    </row>
    <row r="1060" spans="12:12" x14ac:dyDescent="0.25">
      <c r="L1060" s="169"/>
    </row>
    <row r="1061" spans="12:12" x14ac:dyDescent="0.25">
      <c r="L1061" s="169"/>
    </row>
    <row r="1062" spans="12:12" x14ac:dyDescent="0.25">
      <c r="L1062" s="169"/>
    </row>
    <row r="1063" spans="12:12" x14ac:dyDescent="0.25">
      <c r="L1063" s="169"/>
    </row>
    <row r="1064" spans="12:12" x14ac:dyDescent="0.25">
      <c r="L1064" s="169"/>
    </row>
    <row r="1065" spans="12:12" x14ac:dyDescent="0.25">
      <c r="L1065" s="169"/>
    </row>
    <row r="1066" spans="12:12" x14ac:dyDescent="0.25">
      <c r="L1066" s="169"/>
    </row>
    <row r="1067" spans="12:12" x14ac:dyDescent="0.25">
      <c r="L1067" s="169"/>
    </row>
    <row r="1068" spans="12:12" x14ac:dyDescent="0.25">
      <c r="L1068" s="169"/>
    </row>
    <row r="1069" spans="12:12" x14ac:dyDescent="0.25">
      <c r="L1069" s="169"/>
    </row>
    <row r="1070" spans="12:12" x14ac:dyDescent="0.25">
      <c r="L1070" s="169"/>
    </row>
    <row r="1071" spans="12:12" x14ac:dyDescent="0.25">
      <c r="L1071" s="169"/>
    </row>
    <row r="1072" spans="12:12" x14ac:dyDescent="0.25">
      <c r="L1072" s="169"/>
    </row>
    <row r="1073" spans="12:12" x14ac:dyDescent="0.25">
      <c r="L1073" s="169"/>
    </row>
    <row r="1074" spans="12:12" x14ac:dyDescent="0.25">
      <c r="L1074" s="169"/>
    </row>
    <row r="1075" spans="12:12" x14ac:dyDescent="0.25">
      <c r="L1075" s="169"/>
    </row>
    <row r="1076" spans="12:12" x14ac:dyDescent="0.25">
      <c r="L1076" s="169"/>
    </row>
    <row r="1077" spans="12:12" x14ac:dyDescent="0.25">
      <c r="L1077" s="169"/>
    </row>
    <row r="1078" spans="12:12" x14ac:dyDescent="0.25">
      <c r="L1078" s="169"/>
    </row>
    <row r="1079" spans="12:12" x14ac:dyDescent="0.25">
      <c r="L1079" s="169"/>
    </row>
    <row r="1080" spans="12:12" x14ac:dyDescent="0.25">
      <c r="L1080" s="169"/>
    </row>
    <row r="1081" spans="12:12" x14ac:dyDescent="0.25">
      <c r="L1081" s="169"/>
    </row>
    <row r="1082" spans="12:12" x14ac:dyDescent="0.25">
      <c r="L1082" s="169"/>
    </row>
    <row r="1083" spans="12:12" x14ac:dyDescent="0.25">
      <c r="L1083" s="169"/>
    </row>
    <row r="1084" spans="12:12" x14ac:dyDescent="0.25">
      <c r="L1084" s="169"/>
    </row>
    <row r="1085" spans="12:12" x14ac:dyDescent="0.25">
      <c r="L1085" s="169"/>
    </row>
    <row r="1086" spans="12:12" x14ac:dyDescent="0.25">
      <c r="L1086" s="169"/>
    </row>
    <row r="1087" spans="12:12" x14ac:dyDescent="0.25">
      <c r="L1087" s="169"/>
    </row>
    <row r="1088" spans="12:12" x14ac:dyDescent="0.25">
      <c r="L1088" s="169"/>
    </row>
    <row r="1089" spans="12:12" x14ac:dyDescent="0.25">
      <c r="L1089" s="169"/>
    </row>
    <row r="1090" spans="12:12" x14ac:dyDescent="0.25">
      <c r="L1090" s="169"/>
    </row>
    <row r="1091" spans="12:12" x14ac:dyDescent="0.25">
      <c r="L1091" s="169"/>
    </row>
    <row r="1092" spans="12:12" x14ac:dyDescent="0.25">
      <c r="L1092" s="169"/>
    </row>
    <row r="1093" spans="12:12" x14ac:dyDescent="0.25">
      <c r="L1093" s="169"/>
    </row>
    <row r="1094" spans="12:12" x14ac:dyDescent="0.25">
      <c r="L1094" s="169"/>
    </row>
    <row r="1095" spans="12:12" x14ac:dyDescent="0.25">
      <c r="L1095" s="169"/>
    </row>
    <row r="1096" spans="12:12" x14ac:dyDescent="0.25">
      <c r="L1096" s="169"/>
    </row>
    <row r="1097" spans="12:12" x14ac:dyDescent="0.25">
      <c r="L1097" s="169"/>
    </row>
    <row r="1098" spans="12:12" x14ac:dyDescent="0.25">
      <c r="L1098" s="169"/>
    </row>
    <row r="1099" spans="12:12" x14ac:dyDescent="0.25">
      <c r="L1099" s="169"/>
    </row>
    <row r="1100" spans="12:12" x14ac:dyDescent="0.25">
      <c r="L1100" s="169"/>
    </row>
    <row r="1101" spans="12:12" x14ac:dyDescent="0.25">
      <c r="L1101" s="169"/>
    </row>
    <row r="1102" spans="12:12" x14ac:dyDescent="0.25">
      <c r="L1102" s="169"/>
    </row>
    <row r="1103" spans="12:12" x14ac:dyDescent="0.25">
      <c r="L1103" s="169"/>
    </row>
    <row r="1104" spans="12:12" x14ac:dyDescent="0.25">
      <c r="L1104" s="169"/>
    </row>
    <row r="1105" spans="12:12" x14ac:dyDescent="0.25">
      <c r="L1105" s="169"/>
    </row>
    <row r="1106" spans="12:12" x14ac:dyDescent="0.25">
      <c r="L1106" s="169"/>
    </row>
    <row r="1107" spans="12:12" x14ac:dyDescent="0.25">
      <c r="L1107" s="169"/>
    </row>
    <row r="1108" spans="12:12" x14ac:dyDescent="0.25">
      <c r="L1108" s="169"/>
    </row>
    <row r="1109" spans="12:12" x14ac:dyDescent="0.25">
      <c r="L1109" s="169"/>
    </row>
    <row r="1110" spans="12:12" x14ac:dyDescent="0.25">
      <c r="L1110" s="169"/>
    </row>
    <row r="1111" spans="12:12" x14ac:dyDescent="0.25">
      <c r="L1111" s="169"/>
    </row>
    <row r="1112" spans="12:12" x14ac:dyDescent="0.25">
      <c r="L1112" s="169"/>
    </row>
    <row r="1113" spans="12:12" x14ac:dyDescent="0.25">
      <c r="L1113" s="169"/>
    </row>
    <row r="1114" spans="12:12" x14ac:dyDescent="0.25">
      <c r="L1114" s="169"/>
    </row>
    <row r="1115" spans="12:12" x14ac:dyDescent="0.25">
      <c r="L1115" s="169"/>
    </row>
    <row r="1116" spans="12:12" x14ac:dyDescent="0.25">
      <c r="L1116" s="169"/>
    </row>
    <row r="1117" spans="12:12" x14ac:dyDescent="0.25">
      <c r="L1117" s="169"/>
    </row>
    <row r="1118" spans="12:12" x14ac:dyDescent="0.25">
      <c r="L1118" s="169"/>
    </row>
    <row r="1119" spans="12:12" x14ac:dyDescent="0.25">
      <c r="L1119" s="169"/>
    </row>
    <row r="1120" spans="12:12" x14ac:dyDescent="0.25">
      <c r="L1120" s="169"/>
    </row>
    <row r="1121" spans="12:12" x14ac:dyDescent="0.25">
      <c r="L1121" s="169"/>
    </row>
    <row r="1122" spans="12:12" x14ac:dyDescent="0.25">
      <c r="L1122" s="169"/>
    </row>
    <row r="1123" spans="12:12" x14ac:dyDescent="0.25">
      <c r="L1123" s="169"/>
    </row>
    <row r="1124" spans="12:12" x14ac:dyDescent="0.25">
      <c r="L1124" s="169"/>
    </row>
    <row r="1125" spans="12:12" x14ac:dyDescent="0.25">
      <c r="L1125" s="169"/>
    </row>
    <row r="1126" spans="12:12" x14ac:dyDescent="0.25">
      <c r="L1126" s="169"/>
    </row>
    <row r="1127" spans="12:12" x14ac:dyDescent="0.25">
      <c r="L1127" s="169"/>
    </row>
    <row r="1128" spans="12:12" x14ac:dyDescent="0.25">
      <c r="L1128" s="169"/>
    </row>
    <row r="1129" spans="12:12" x14ac:dyDescent="0.25">
      <c r="L1129" s="169"/>
    </row>
    <row r="1130" spans="12:12" x14ac:dyDescent="0.25">
      <c r="L1130" s="169"/>
    </row>
    <row r="1131" spans="12:12" x14ac:dyDescent="0.25">
      <c r="L1131" s="169"/>
    </row>
    <row r="1132" spans="12:12" x14ac:dyDescent="0.25">
      <c r="L1132" s="169"/>
    </row>
    <row r="1133" spans="12:12" x14ac:dyDescent="0.25">
      <c r="L1133" s="169"/>
    </row>
    <row r="1134" spans="12:12" x14ac:dyDescent="0.25">
      <c r="L1134" s="169"/>
    </row>
    <row r="1135" spans="12:12" x14ac:dyDescent="0.25">
      <c r="L1135" s="169"/>
    </row>
    <row r="1136" spans="12:12" x14ac:dyDescent="0.25">
      <c r="L1136" s="169"/>
    </row>
    <row r="1137" spans="12:12" x14ac:dyDescent="0.25">
      <c r="L1137" s="169"/>
    </row>
    <row r="1138" spans="12:12" x14ac:dyDescent="0.25">
      <c r="L1138" s="169"/>
    </row>
    <row r="1139" spans="12:12" x14ac:dyDescent="0.25">
      <c r="L1139" s="169"/>
    </row>
    <row r="1140" spans="12:12" x14ac:dyDescent="0.25">
      <c r="L1140" s="169"/>
    </row>
    <row r="1141" spans="12:12" x14ac:dyDescent="0.25">
      <c r="L1141" s="169"/>
    </row>
    <row r="1142" spans="12:12" x14ac:dyDescent="0.25">
      <c r="L1142" s="169"/>
    </row>
    <row r="1143" spans="12:12" x14ac:dyDescent="0.25">
      <c r="L1143" s="169"/>
    </row>
    <row r="1144" spans="12:12" x14ac:dyDescent="0.25">
      <c r="L1144" s="169"/>
    </row>
    <row r="1145" spans="12:12" x14ac:dyDescent="0.25">
      <c r="L1145" s="169"/>
    </row>
    <row r="1146" spans="12:12" x14ac:dyDescent="0.25">
      <c r="L1146" s="169"/>
    </row>
    <row r="1147" spans="12:12" x14ac:dyDescent="0.25">
      <c r="L1147" s="169"/>
    </row>
    <row r="1148" spans="12:12" x14ac:dyDescent="0.25">
      <c r="L1148" s="169"/>
    </row>
    <row r="1149" spans="12:12" x14ac:dyDescent="0.25">
      <c r="L1149" s="169"/>
    </row>
    <row r="1150" spans="12:12" x14ac:dyDescent="0.25">
      <c r="L1150" s="169"/>
    </row>
    <row r="1151" spans="12:12" x14ac:dyDescent="0.25">
      <c r="L1151" s="169"/>
    </row>
    <row r="1152" spans="12:12" x14ac:dyDescent="0.25">
      <c r="L1152" s="169"/>
    </row>
    <row r="1153" spans="12:12" x14ac:dyDescent="0.25">
      <c r="L1153" s="169"/>
    </row>
    <row r="1154" spans="12:12" x14ac:dyDescent="0.25">
      <c r="L1154" s="169"/>
    </row>
    <row r="1155" spans="12:12" x14ac:dyDescent="0.25">
      <c r="L1155" s="169"/>
    </row>
    <row r="1156" spans="12:12" x14ac:dyDescent="0.25">
      <c r="L1156" s="169"/>
    </row>
    <row r="1157" spans="12:12" x14ac:dyDescent="0.25">
      <c r="L1157" s="169"/>
    </row>
    <row r="1158" spans="12:12" x14ac:dyDescent="0.25">
      <c r="L1158" s="169"/>
    </row>
    <row r="1159" spans="12:12" x14ac:dyDescent="0.25">
      <c r="L1159" s="169"/>
    </row>
    <row r="1160" spans="12:12" x14ac:dyDescent="0.25">
      <c r="L1160" s="169"/>
    </row>
    <row r="1161" spans="12:12" x14ac:dyDescent="0.25">
      <c r="L1161" s="169"/>
    </row>
    <row r="1162" spans="12:12" x14ac:dyDescent="0.25">
      <c r="L1162" s="169"/>
    </row>
    <row r="1163" spans="12:12" x14ac:dyDescent="0.25">
      <c r="L1163" s="169"/>
    </row>
    <row r="1164" spans="12:12" x14ac:dyDescent="0.25">
      <c r="L1164" s="169"/>
    </row>
    <row r="1165" spans="12:12" x14ac:dyDescent="0.25">
      <c r="L1165" s="169"/>
    </row>
    <row r="1166" spans="12:12" x14ac:dyDescent="0.25">
      <c r="L1166" s="169"/>
    </row>
    <row r="1167" spans="12:12" x14ac:dyDescent="0.25">
      <c r="L1167" s="169"/>
    </row>
    <row r="1168" spans="12:12" x14ac:dyDescent="0.25">
      <c r="L1168" s="169"/>
    </row>
    <row r="1169" spans="12:12" x14ac:dyDescent="0.25">
      <c r="L1169" s="169"/>
    </row>
    <row r="1170" spans="12:12" x14ac:dyDescent="0.25">
      <c r="L1170" s="169"/>
    </row>
    <row r="1171" spans="12:12" x14ac:dyDescent="0.25">
      <c r="L1171" s="169"/>
    </row>
    <row r="1172" spans="12:12" x14ac:dyDescent="0.25">
      <c r="L1172" s="169"/>
    </row>
    <row r="1173" spans="12:12" x14ac:dyDescent="0.25">
      <c r="L1173" s="169"/>
    </row>
    <row r="1174" spans="12:12" x14ac:dyDescent="0.25">
      <c r="L1174" s="169"/>
    </row>
    <row r="1175" spans="12:12" x14ac:dyDescent="0.25">
      <c r="L1175" s="169"/>
    </row>
    <row r="1176" spans="12:12" x14ac:dyDescent="0.25">
      <c r="L1176" s="169"/>
    </row>
    <row r="1177" spans="12:12" x14ac:dyDescent="0.25">
      <c r="L1177" s="169"/>
    </row>
    <row r="1178" spans="12:12" x14ac:dyDescent="0.25">
      <c r="L1178" s="169"/>
    </row>
    <row r="1179" spans="12:12" x14ac:dyDescent="0.25">
      <c r="L1179" s="169"/>
    </row>
    <row r="1180" spans="12:12" x14ac:dyDescent="0.25">
      <c r="L1180" s="169"/>
    </row>
    <row r="1181" spans="12:12" x14ac:dyDescent="0.25">
      <c r="L1181" s="169"/>
    </row>
    <row r="1182" spans="12:12" x14ac:dyDescent="0.25">
      <c r="L1182" s="169"/>
    </row>
    <row r="1183" spans="12:12" x14ac:dyDescent="0.25">
      <c r="L1183" s="169"/>
    </row>
    <row r="1184" spans="12:12" x14ac:dyDescent="0.25">
      <c r="L1184" s="169"/>
    </row>
    <row r="1185" spans="12:12" x14ac:dyDescent="0.25">
      <c r="L1185" s="169"/>
    </row>
    <row r="1186" spans="12:12" x14ac:dyDescent="0.25">
      <c r="L1186" s="169"/>
    </row>
    <row r="1187" spans="12:12" x14ac:dyDescent="0.25">
      <c r="L1187" s="169"/>
    </row>
    <row r="1188" spans="12:12" x14ac:dyDescent="0.25">
      <c r="L1188" s="169"/>
    </row>
    <row r="1189" spans="12:12" x14ac:dyDescent="0.25">
      <c r="L1189" s="169"/>
    </row>
    <row r="1190" spans="12:12" x14ac:dyDescent="0.25">
      <c r="L1190" s="169"/>
    </row>
    <row r="1191" spans="12:12" x14ac:dyDescent="0.25">
      <c r="L1191" s="169"/>
    </row>
    <row r="1192" spans="12:12" x14ac:dyDescent="0.25">
      <c r="L1192" s="169"/>
    </row>
    <row r="1193" spans="12:12" x14ac:dyDescent="0.25">
      <c r="L1193" s="169"/>
    </row>
    <row r="1194" spans="12:12" x14ac:dyDescent="0.25">
      <c r="L1194" s="169"/>
    </row>
    <row r="1195" spans="12:12" x14ac:dyDescent="0.25">
      <c r="L1195" s="169"/>
    </row>
    <row r="1196" spans="12:12" x14ac:dyDescent="0.25">
      <c r="L1196" s="169"/>
    </row>
    <row r="1197" spans="12:12" x14ac:dyDescent="0.25">
      <c r="L1197" s="169"/>
    </row>
    <row r="1198" spans="12:12" x14ac:dyDescent="0.25">
      <c r="L1198" s="169"/>
    </row>
    <row r="1199" spans="12:12" x14ac:dyDescent="0.25">
      <c r="L1199" s="169"/>
    </row>
    <row r="1200" spans="12:12" x14ac:dyDescent="0.25">
      <c r="L1200" s="169"/>
    </row>
    <row r="1201" spans="12:12" x14ac:dyDescent="0.25">
      <c r="L1201" s="169"/>
    </row>
    <row r="1202" spans="12:12" x14ac:dyDescent="0.25">
      <c r="L1202" s="169"/>
    </row>
    <row r="1203" spans="12:12" x14ac:dyDescent="0.25">
      <c r="L1203" s="169"/>
    </row>
    <row r="1204" spans="12:12" x14ac:dyDescent="0.25">
      <c r="L1204" s="169"/>
    </row>
    <row r="1205" spans="12:12" x14ac:dyDescent="0.25">
      <c r="L1205" s="169"/>
    </row>
    <row r="1206" spans="12:12" x14ac:dyDescent="0.25">
      <c r="L1206" s="169"/>
    </row>
    <row r="1207" spans="12:12" x14ac:dyDescent="0.25">
      <c r="L1207" s="169"/>
    </row>
    <row r="1208" spans="12:12" x14ac:dyDescent="0.25">
      <c r="L1208" s="169"/>
    </row>
    <row r="1209" spans="12:12" x14ac:dyDescent="0.25">
      <c r="L1209" s="169"/>
    </row>
    <row r="1210" spans="12:12" x14ac:dyDescent="0.25">
      <c r="L1210" s="169"/>
    </row>
    <row r="1211" spans="12:12" x14ac:dyDescent="0.25">
      <c r="L1211" s="169"/>
    </row>
    <row r="1212" spans="12:12" x14ac:dyDescent="0.25">
      <c r="L1212" s="169"/>
    </row>
    <row r="1213" spans="12:12" x14ac:dyDescent="0.25">
      <c r="L1213" s="169"/>
    </row>
    <row r="1214" spans="12:12" x14ac:dyDescent="0.25">
      <c r="L1214" s="169"/>
    </row>
    <row r="1215" spans="12:12" x14ac:dyDescent="0.25">
      <c r="L1215" s="169"/>
    </row>
    <row r="1216" spans="12:12" x14ac:dyDescent="0.25">
      <c r="L1216" s="169"/>
    </row>
    <row r="1217" spans="12:12" x14ac:dyDescent="0.25">
      <c r="L1217" s="169"/>
    </row>
    <row r="1218" spans="12:12" x14ac:dyDescent="0.25">
      <c r="L1218" s="169"/>
    </row>
    <row r="1219" spans="12:12" x14ac:dyDescent="0.25">
      <c r="L1219" s="169"/>
    </row>
    <row r="1220" spans="12:12" x14ac:dyDescent="0.25">
      <c r="L1220" s="169"/>
    </row>
    <row r="1221" spans="12:12" x14ac:dyDescent="0.25">
      <c r="L1221" s="169"/>
    </row>
    <row r="1222" spans="12:12" x14ac:dyDescent="0.25">
      <c r="L1222" s="169"/>
    </row>
    <row r="1223" spans="12:12" x14ac:dyDescent="0.25">
      <c r="L1223" s="169"/>
    </row>
    <row r="1224" spans="12:12" x14ac:dyDescent="0.25">
      <c r="L1224" s="169"/>
    </row>
    <row r="1225" spans="12:12" x14ac:dyDescent="0.25">
      <c r="L1225" s="169"/>
    </row>
    <row r="1226" spans="12:12" x14ac:dyDescent="0.25">
      <c r="L1226" s="169"/>
    </row>
    <row r="1227" spans="12:12" x14ac:dyDescent="0.25">
      <c r="L1227" s="169"/>
    </row>
    <row r="1228" spans="12:12" x14ac:dyDescent="0.25">
      <c r="L1228" s="169"/>
    </row>
    <row r="1229" spans="12:12" x14ac:dyDescent="0.25">
      <c r="L1229" s="169"/>
    </row>
    <row r="1230" spans="12:12" x14ac:dyDescent="0.25">
      <c r="L1230" s="169"/>
    </row>
    <row r="1231" spans="12:12" x14ac:dyDescent="0.25">
      <c r="L1231" s="169"/>
    </row>
    <row r="1232" spans="12:12" x14ac:dyDescent="0.25">
      <c r="L1232" s="169"/>
    </row>
    <row r="1233" spans="12:12" x14ac:dyDescent="0.25">
      <c r="L1233" s="169"/>
    </row>
    <row r="1234" spans="12:12" x14ac:dyDescent="0.25">
      <c r="L1234" s="169"/>
    </row>
    <row r="1235" spans="12:12" x14ac:dyDescent="0.25">
      <c r="L1235" s="169"/>
    </row>
    <row r="1236" spans="12:12" x14ac:dyDescent="0.25">
      <c r="L1236" s="169"/>
    </row>
    <row r="1237" spans="12:12" x14ac:dyDescent="0.25">
      <c r="L1237" s="169"/>
    </row>
    <row r="1238" spans="12:12" x14ac:dyDescent="0.25">
      <c r="L1238" s="169"/>
    </row>
    <row r="1239" spans="12:12" x14ac:dyDescent="0.25">
      <c r="L1239" s="169"/>
    </row>
    <row r="1240" spans="12:12" x14ac:dyDescent="0.25">
      <c r="L1240" s="169"/>
    </row>
    <row r="1241" spans="12:12" x14ac:dyDescent="0.25">
      <c r="L1241" s="169"/>
    </row>
    <row r="1242" spans="12:12" x14ac:dyDescent="0.25">
      <c r="L1242" s="169"/>
    </row>
    <row r="1243" spans="12:12" x14ac:dyDescent="0.25">
      <c r="L1243" s="169"/>
    </row>
    <row r="1244" spans="12:12" x14ac:dyDescent="0.25">
      <c r="L1244" s="169"/>
    </row>
    <row r="1245" spans="12:12" x14ac:dyDescent="0.25">
      <c r="L1245" s="169"/>
    </row>
    <row r="1246" spans="12:12" x14ac:dyDescent="0.25">
      <c r="L1246" s="169"/>
    </row>
    <row r="1247" spans="12:12" x14ac:dyDescent="0.25">
      <c r="L1247" s="169"/>
    </row>
    <row r="1248" spans="12:12" x14ac:dyDescent="0.25">
      <c r="L1248" s="169"/>
    </row>
    <row r="1249" spans="12:12" x14ac:dyDescent="0.25">
      <c r="L1249" s="169"/>
    </row>
    <row r="1250" spans="12:12" x14ac:dyDescent="0.25">
      <c r="L1250" s="169"/>
    </row>
    <row r="1251" spans="12:12" x14ac:dyDescent="0.25">
      <c r="L1251" s="169"/>
    </row>
    <row r="1252" spans="12:12" x14ac:dyDescent="0.25">
      <c r="L1252" s="169"/>
    </row>
    <row r="1253" spans="12:12" x14ac:dyDescent="0.25">
      <c r="L1253" s="169"/>
    </row>
    <row r="1254" spans="12:12" x14ac:dyDescent="0.25">
      <c r="L1254" s="169"/>
    </row>
    <row r="1255" spans="12:12" x14ac:dyDescent="0.25">
      <c r="L1255" s="169"/>
    </row>
    <row r="1256" spans="12:12" x14ac:dyDescent="0.25">
      <c r="L1256" s="169"/>
    </row>
    <row r="1257" spans="12:12" x14ac:dyDescent="0.25">
      <c r="L1257" s="169"/>
    </row>
    <row r="1258" spans="12:12" x14ac:dyDescent="0.25">
      <c r="L1258" s="169"/>
    </row>
    <row r="1259" spans="12:12" x14ac:dyDescent="0.25">
      <c r="L1259" s="169"/>
    </row>
    <row r="1260" spans="12:12" x14ac:dyDescent="0.25">
      <c r="L1260" s="169"/>
    </row>
    <row r="1261" spans="12:12" x14ac:dyDescent="0.25">
      <c r="L1261" s="169"/>
    </row>
    <row r="1262" spans="12:12" x14ac:dyDescent="0.25">
      <c r="L1262" s="169"/>
    </row>
    <row r="1263" spans="12:12" x14ac:dyDescent="0.25">
      <c r="L1263" s="169"/>
    </row>
    <row r="1264" spans="12:12" x14ac:dyDescent="0.25">
      <c r="L1264" s="169"/>
    </row>
    <row r="1265" spans="12:12" x14ac:dyDescent="0.25">
      <c r="L1265" s="169"/>
    </row>
    <row r="1266" spans="12:12" x14ac:dyDescent="0.25">
      <c r="L1266" s="169"/>
    </row>
    <row r="1267" spans="12:12" x14ac:dyDescent="0.25">
      <c r="L1267" s="169"/>
    </row>
    <row r="1268" spans="12:12" x14ac:dyDescent="0.25">
      <c r="L1268" s="169"/>
    </row>
    <row r="1269" spans="12:12" x14ac:dyDescent="0.25">
      <c r="L1269" s="169"/>
    </row>
    <row r="1270" spans="12:12" x14ac:dyDescent="0.25">
      <c r="L1270" s="169"/>
    </row>
    <row r="1271" spans="12:12" x14ac:dyDescent="0.25">
      <c r="L1271" s="169"/>
    </row>
    <row r="1272" spans="12:12" x14ac:dyDescent="0.25">
      <c r="L1272" s="169"/>
    </row>
    <row r="1273" spans="12:12" x14ac:dyDescent="0.25">
      <c r="L1273" s="169"/>
    </row>
    <row r="1274" spans="12:12" x14ac:dyDescent="0.25">
      <c r="L1274" s="169"/>
    </row>
    <row r="1275" spans="12:12" x14ac:dyDescent="0.25">
      <c r="L1275" s="169"/>
    </row>
    <row r="1276" spans="12:12" x14ac:dyDescent="0.25">
      <c r="L1276" s="169"/>
    </row>
    <row r="1277" spans="12:12" x14ac:dyDescent="0.25">
      <c r="L1277" s="169"/>
    </row>
    <row r="1278" spans="12:12" x14ac:dyDescent="0.25">
      <c r="L1278" s="169"/>
    </row>
    <row r="1279" spans="12:12" x14ac:dyDescent="0.25">
      <c r="L1279" s="169"/>
    </row>
    <row r="1280" spans="12:12" x14ac:dyDescent="0.25">
      <c r="L1280" s="169"/>
    </row>
    <row r="1281" spans="12:12" x14ac:dyDescent="0.25">
      <c r="L1281" s="169"/>
    </row>
    <row r="1282" spans="12:12" x14ac:dyDescent="0.25">
      <c r="L1282" s="169"/>
    </row>
    <row r="1283" spans="12:12" x14ac:dyDescent="0.25">
      <c r="L1283" s="169"/>
    </row>
    <row r="1284" spans="12:12" x14ac:dyDescent="0.25">
      <c r="L1284" s="169"/>
    </row>
    <row r="1285" spans="12:12" x14ac:dyDescent="0.25">
      <c r="L1285" s="169"/>
    </row>
    <row r="1286" spans="12:12" x14ac:dyDescent="0.25">
      <c r="L1286" s="169"/>
    </row>
    <row r="1287" spans="12:12" x14ac:dyDescent="0.25">
      <c r="L1287" s="169"/>
    </row>
    <row r="1288" spans="12:12" x14ac:dyDescent="0.25">
      <c r="L1288" s="169"/>
    </row>
    <row r="1289" spans="12:12" x14ac:dyDescent="0.25">
      <c r="L1289" s="169"/>
    </row>
    <row r="1290" spans="12:12" x14ac:dyDescent="0.25">
      <c r="L1290" s="169"/>
    </row>
    <row r="1291" spans="12:12" x14ac:dyDescent="0.25">
      <c r="L1291" s="169"/>
    </row>
    <row r="1292" spans="12:12" x14ac:dyDescent="0.25">
      <c r="L1292" s="169"/>
    </row>
    <row r="1293" spans="12:12" x14ac:dyDescent="0.25">
      <c r="L1293" s="169"/>
    </row>
    <row r="1294" spans="12:12" x14ac:dyDescent="0.25">
      <c r="L1294" s="169"/>
    </row>
    <row r="1295" spans="12:12" x14ac:dyDescent="0.25">
      <c r="L1295" s="169"/>
    </row>
    <row r="1296" spans="12:12" x14ac:dyDescent="0.25">
      <c r="L1296" s="169"/>
    </row>
    <row r="1297" spans="12:12" x14ac:dyDescent="0.25">
      <c r="L1297" s="169"/>
    </row>
    <row r="1298" spans="12:12" x14ac:dyDescent="0.25">
      <c r="L1298" s="169"/>
    </row>
    <row r="1299" spans="12:12" x14ac:dyDescent="0.25">
      <c r="L1299" s="169"/>
    </row>
    <row r="1300" spans="12:12" x14ac:dyDescent="0.25">
      <c r="L1300" s="169"/>
    </row>
    <row r="1301" spans="12:12" x14ac:dyDescent="0.25">
      <c r="L1301" s="169"/>
    </row>
    <row r="1302" spans="12:12" x14ac:dyDescent="0.25">
      <c r="L1302" s="169"/>
    </row>
    <row r="1303" spans="12:12" x14ac:dyDescent="0.25">
      <c r="L1303" s="169"/>
    </row>
    <row r="1304" spans="12:12" x14ac:dyDescent="0.25">
      <c r="L1304" s="169"/>
    </row>
    <row r="1305" spans="12:12" x14ac:dyDescent="0.25">
      <c r="L1305" s="169"/>
    </row>
    <row r="1306" spans="12:12" x14ac:dyDescent="0.25">
      <c r="L1306" s="169"/>
    </row>
    <row r="1307" spans="12:12" x14ac:dyDescent="0.25">
      <c r="L1307" s="169"/>
    </row>
    <row r="1308" spans="12:12" x14ac:dyDescent="0.25">
      <c r="L1308" s="169"/>
    </row>
    <row r="1309" spans="12:12" x14ac:dyDescent="0.25">
      <c r="L1309" s="169"/>
    </row>
    <row r="1310" spans="12:12" x14ac:dyDescent="0.25">
      <c r="L1310" s="169"/>
    </row>
    <row r="1311" spans="12:12" x14ac:dyDescent="0.25">
      <c r="L1311" s="169"/>
    </row>
    <row r="1312" spans="12:12" x14ac:dyDescent="0.25">
      <c r="L1312" s="169"/>
    </row>
    <row r="1313" spans="12:12" x14ac:dyDescent="0.25">
      <c r="L1313" s="169"/>
    </row>
    <row r="1314" spans="12:12" x14ac:dyDescent="0.25">
      <c r="L1314" s="169"/>
    </row>
    <row r="1315" spans="12:12" x14ac:dyDescent="0.25">
      <c r="L1315" s="169"/>
    </row>
    <row r="1316" spans="12:12" x14ac:dyDescent="0.25">
      <c r="L1316" s="169"/>
    </row>
    <row r="1317" spans="12:12" x14ac:dyDescent="0.25">
      <c r="L1317" s="169"/>
    </row>
    <row r="1318" spans="12:12" x14ac:dyDescent="0.25">
      <c r="L1318" s="169"/>
    </row>
    <row r="1319" spans="12:12" x14ac:dyDescent="0.25">
      <c r="L1319" s="169"/>
    </row>
    <row r="1320" spans="12:12" x14ac:dyDescent="0.25">
      <c r="L1320" s="169"/>
    </row>
    <row r="1321" spans="12:12" x14ac:dyDescent="0.25">
      <c r="L1321" s="169"/>
    </row>
    <row r="1322" spans="12:12" x14ac:dyDescent="0.25">
      <c r="L1322" s="169"/>
    </row>
    <row r="1323" spans="12:12" x14ac:dyDescent="0.25">
      <c r="L1323" s="169"/>
    </row>
    <row r="1324" spans="12:12" x14ac:dyDescent="0.25">
      <c r="L1324" s="169"/>
    </row>
    <row r="1325" spans="12:12" x14ac:dyDescent="0.25">
      <c r="L1325" s="169"/>
    </row>
    <row r="1326" spans="12:12" x14ac:dyDescent="0.25">
      <c r="L1326" s="169"/>
    </row>
    <row r="1327" spans="12:12" x14ac:dyDescent="0.25">
      <c r="L1327" s="169"/>
    </row>
    <row r="1328" spans="12:12" x14ac:dyDescent="0.25">
      <c r="L1328" s="169"/>
    </row>
    <row r="1329" spans="12:12" x14ac:dyDescent="0.25">
      <c r="L1329" s="169"/>
    </row>
    <row r="1330" spans="12:12" x14ac:dyDescent="0.25">
      <c r="L1330" s="169"/>
    </row>
    <row r="1331" spans="12:12" x14ac:dyDescent="0.25">
      <c r="L1331" s="169"/>
    </row>
    <row r="1332" spans="12:12" x14ac:dyDescent="0.25">
      <c r="L1332" s="169"/>
    </row>
    <row r="1333" spans="12:12" x14ac:dyDescent="0.25">
      <c r="L1333" s="169"/>
    </row>
    <row r="1334" spans="12:12" x14ac:dyDescent="0.25">
      <c r="L1334" s="169"/>
    </row>
    <row r="1335" spans="12:12" x14ac:dyDescent="0.25">
      <c r="L1335" s="169"/>
    </row>
    <row r="1336" spans="12:12" x14ac:dyDescent="0.25">
      <c r="L1336" s="169"/>
    </row>
    <row r="1337" spans="12:12" x14ac:dyDescent="0.25">
      <c r="L1337" s="169"/>
    </row>
    <row r="1338" spans="12:12" x14ac:dyDescent="0.25">
      <c r="L1338" s="169"/>
    </row>
    <row r="1339" spans="12:12" x14ac:dyDescent="0.25">
      <c r="L1339" s="169"/>
    </row>
    <row r="1340" spans="12:12" x14ac:dyDescent="0.25">
      <c r="L1340" s="169"/>
    </row>
    <row r="1341" spans="12:12" x14ac:dyDescent="0.25">
      <c r="L1341" s="169"/>
    </row>
    <row r="1342" spans="12:12" x14ac:dyDescent="0.25">
      <c r="L1342" s="169"/>
    </row>
    <row r="1343" spans="12:12" x14ac:dyDescent="0.25">
      <c r="L1343" s="169"/>
    </row>
    <row r="1344" spans="12:12" x14ac:dyDescent="0.25">
      <c r="L1344" s="169"/>
    </row>
    <row r="1345" spans="12:12" x14ac:dyDescent="0.25">
      <c r="L1345" s="169"/>
    </row>
    <row r="1346" spans="12:12" x14ac:dyDescent="0.25">
      <c r="L1346" s="169"/>
    </row>
    <row r="1347" spans="12:12" x14ac:dyDescent="0.25">
      <c r="L1347" s="169"/>
    </row>
    <row r="1348" spans="12:12" x14ac:dyDescent="0.25">
      <c r="L1348" s="169"/>
    </row>
    <row r="1349" spans="12:12" x14ac:dyDescent="0.25">
      <c r="L1349" s="169"/>
    </row>
    <row r="1350" spans="12:12" x14ac:dyDescent="0.25">
      <c r="L1350" s="169"/>
    </row>
    <row r="1351" spans="12:12" x14ac:dyDescent="0.25">
      <c r="L1351" s="169"/>
    </row>
    <row r="1352" spans="12:12" x14ac:dyDescent="0.25">
      <c r="L1352" s="169"/>
    </row>
    <row r="1353" spans="12:12" x14ac:dyDescent="0.25">
      <c r="L1353" s="169"/>
    </row>
    <row r="1354" spans="12:12" x14ac:dyDescent="0.25">
      <c r="L1354" s="169"/>
    </row>
    <row r="1355" spans="12:12" x14ac:dyDescent="0.25">
      <c r="L1355" s="169"/>
    </row>
    <row r="1356" spans="12:12" x14ac:dyDescent="0.25">
      <c r="L1356" s="169"/>
    </row>
    <row r="1357" spans="12:12" x14ac:dyDescent="0.25">
      <c r="L1357" s="169"/>
    </row>
    <row r="1358" spans="12:12" x14ac:dyDescent="0.25">
      <c r="L1358" s="169"/>
    </row>
    <row r="1359" spans="12:12" x14ac:dyDescent="0.25">
      <c r="L1359" s="169"/>
    </row>
    <row r="1360" spans="12:12" x14ac:dyDescent="0.25">
      <c r="L1360" s="169"/>
    </row>
    <row r="1361" spans="12:12" x14ac:dyDescent="0.25">
      <c r="L1361" s="169"/>
    </row>
    <row r="1362" spans="12:12" x14ac:dyDescent="0.25">
      <c r="L1362" s="169"/>
    </row>
    <row r="1363" spans="12:12" x14ac:dyDescent="0.25">
      <c r="L1363" s="169"/>
    </row>
    <row r="1364" spans="12:12" x14ac:dyDescent="0.25">
      <c r="L1364" s="169"/>
    </row>
    <row r="1365" spans="12:12" x14ac:dyDescent="0.25">
      <c r="L1365" s="169"/>
    </row>
    <row r="1366" spans="12:12" x14ac:dyDescent="0.25">
      <c r="L1366" s="169"/>
    </row>
    <row r="1367" spans="12:12" x14ac:dyDescent="0.25">
      <c r="L1367" s="169"/>
    </row>
    <row r="1368" spans="12:12" x14ac:dyDescent="0.25">
      <c r="L1368" s="169"/>
    </row>
    <row r="1369" spans="12:12" x14ac:dyDescent="0.25">
      <c r="L1369" s="169"/>
    </row>
    <row r="1370" spans="12:12" x14ac:dyDescent="0.25">
      <c r="L1370" s="169"/>
    </row>
    <row r="1371" spans="12:12" x14ac:dyDescent="0.25">
      <c r="L1371" s="169"/>
    </row>
    <row r="1372" spans="12:12" x14ac:dyDescent="0.25">
      <c r="L1372" s="169"/>
    </row>
    <row r="1373" spans="12:12" x14ac:dyDescent="0.25">
      <c r="L1373" s="169"/>
    </row>
    <row r="1374" spans="12:12" x14ac:dyDescent="0.25">
      <c r="L1374" s="169"/>
    </row>
    <row r="1375" spans="12:12" x14ac:dyDescent="0.25">
      <c r="L1375" s="169"/>
    </row>
    <row r="1376" spans="12:12" x14ac:dyDescent="0.25">
      <c r="L1376" s="169"/>
    </row>
    <row r="1377" spans="12:12" x14ac:dyDescent="0.25">
      <c r="L1377" s="169"/>
    </row>
    <row r="1378" spans="12:12" x14ac:dyDescent="0.25">
      <c r="L1378" s="169"/>
    </row>
    <row r="1379" spans="12:12" x14ac:dyDescent="0.25">
      <c r="L1379" s="169"/>
    </row>
    <row r="1380" spans="12:12" x14ac:dyDescent="0.25">
      <c r="L1380" s="169"/>
    </row>
    <row r="1381" spans="12:12" x14ac:dyDescent="0.25">
      <c r="L1381" s="169"/>
    </row>
    <row r="1382" spans="12:12" x14ac:dyDescent="0.25">
      <c r="L1382" s="169"/>
    </row>
    <row r="1383" spans="12:12" x14ac:dyDescent="0.25">
      <c r="L1383" s="169"/>
    </row>
    <row r="1384" spans="12:12" x14ac:dyDescent="0.25">
      <c r="L1384" s="169"/>
    </row>
    <row r="1385" spans="12:12" x14ac:dyDescent="0.25">
      <c r="L1385" s="169"/>
    </row>
    <row r="1386" spans="12:12" x14ac:dyDescent="0.25">
      <c r="L1386" s="169"/>
    </row>
    <row r="1387" spans="12:12" x14ac:dyDescent="0.25">
      <c r="L1387" s="169"/>
    </row>
    <row r="1388" spans="12:12" x14ac:dyDescent="0.25">
      <c r="L1388" s="169"/>
    </row>
    <row r="1389" spans="12:12" x14ac:dyDescent="0.25">
      <c r="L1389" s="169"/>
    </row>
    <row r="1390" spans="12:12" x14ac:dyDescent="0.25">
      <c r="L1390" s="169"/>
    </row>
    <row r="1391" spans="12:12" x14ac:dyDescent="0.25">
      <c r="L1391" s="169"/>
    </row>
    <row r="1392" spans="12:12" x14ac:dyDescent="0.25">
      <c r="L1392" s="169"/>
    </row>
    <row r="1393" spans="12:12" x14ac:dyDescent="0.25">
      <c r="L1393" s="169"/>
    </row>
    <row r="1394" spans="12:12" x14ac:dyDescent="0.25">
      <c r="L1394" s="169"/>
    </row>
    <row r="1395" spans="12:12" x14ac:dyDescent="0.25">
      <c r="L1395" s="169"/>
    </row>
    <row r="1396" spans="12:12" x14ac:dyDescent="0.25">
      <c r="L1396" s="169"/>
    </row>
    <row r="1397" spans="12:12" x14ac:dyDescent="0.25">
      <c r="L1397" s="169"/>
    </row>
    <row r="1398" spans="12:12" x14ac:dyDescent="0.25">
      <c r="L1398" s="169"/>
    </row>
    <row r="1399" spans="12:12" x14ac:dyDescent="0.25">
      <c r="L1399" s="169"/>
    </row>
    <row r="1400" spans="12:12" x14ac:dyDescent="0.25">
      <c r="L1400" s="169"/>
    </row>
    <row r="1401" spans="12:12" x14ac:dyDescent="0.25">
      <c r="L1401" s="169"/>
    </row>
    <row r="1402" spans="12:12" x14ac:dyDescent="0.25">
      <c r="L1402" s="169"/>
    </row>
    <row r="1403" spans="12:12" x14ac:dyDescent="0.25">
      <c r="L1403" s="169"/>
    </row>
    <row r="1404" spans="12:12" x14ac:dyDescent="0.25">
      <c r="L1404" s="169"/>
    </row>
    <row r="1405" spans="12:12" x14ac:dyDescent="0.25">
      <c r="L1405" s="169"/>
    </row>
    <row r="1406" spans="12:12" x14ac:dyDescent="0.25">
      <c r="L1406" s="169"/>
    </row>
    <row r="1407" spans="12:12" x14ac:dyDescent="0.25">
      <c r="L1407" s="169"/>
    </row>
    <row r="1408" spans="12:12" x14ac:dyDescent="0.25">
      <c r="L1408" s="169"/>
    </row>
    <row r="1409" spans="12:12" x14ac:dyDescent="0.25">
      <c r="L1409" s="169"/>
    </row>
    <row r="1410" spans="12:12" x14ac:dyDescent="0.25">
      <c r="L1410" s="169"/>
    </row>
    <row r="1411" spans="12:12" x14ac:dyDescent="0.25">
      <c r="L1411" s="169"/>
    </row>
    <row r="1412" spans="12:12" x14ac:dyDescent="0.25">
      <c r="L1412" s="169"/>
    </row>
    <row r="1413" spans="12:12" x14ac:dyDescent="0.25">
      <c r="L1413" s="169"/>
    </row>
    <row r="1414" spans="12:12" x14ac:dyDescent="0.25">
      <c r="L1414" s="169"/>
    </row>
    <row r="1415" spans="12:12" x14ac:dyDescent="0.25">
      <c r="L1415" s="169"/>
    </row>
    <row r="1416" spans="12:12" x14ac:dyDescent="0.25">
      <c r="L1416" s="169"/>
    </row>
    <row r="1417" spans="12:12" x14ac:dyDescent="0.25">
      <c r="L1417" s="169"/>
    </row>
    <row r="1418" spans="12:12" x14ac:dyDescent="0.25">
      <c r="L1418" s="169"/>
    </row>
    <row r="1419" spans="12:12" x14ac:dyDescent="0.25">
      <c r="L1419" s="169"/>
    </row>
    <row r="1420" spans="12:12" x14ac:dyDescent="0.25">
      <c r="L1420" s="169"/>
    </row>
    <row r="1421" spans="12:12" x14ac:dyDescent="0.25">
      <c r="L1421" s="169"/>
    </row>
    <row r="1422" spans="12:12" x14ac:dyDescent="0.25">
      <c r="L1422" s="169"/>
    </row>
    <row r="1423" spans="12:12" x14ac:dyDescent="0.25">
      <c r="L1423" s="169"/>
    </row>
    <row r="1424" spans="12:12" x14ac:dyDescent="0.25">
      <c r="L1424" s="169"/>
    </row>
    <row r="1425" spans="12:12" x14ac:dyDescent="0.25">
      <c r="L1425" s="169"/>
    </row>
    <row r="1426" spans="12:12" x14ac:dyDescent="0.25">
      <c r="L1426" s="169"/>
    </row>
    <row r="1427" spans="12:12" x14ac:dyDescent="0.25">
      <c r="L1427" s="169"/>
    </row>
    <row r="1428" spans="12:12" x14ac:dyDescent="0.25">
      <c r="L1428" s="169"/>
    </row>
    <row r="1429" spans="12:12" x14ac:dyDescent="0.25">
      <c r="L1429" s="169"/>
    </row>
    <row r="1430" spans="12:12" x14ac:dyDescent="0.25">
      <c r="L1430" s="169"/>
    </row>
    <row r="1431" spans="12:12" x14ac:dyDescent="0.25">
      <c r="L1431" s="169"/>
    </row>
    <row r="1432" spans="12:12" x14ac:dyDescent="0.25">
      <c r="L1432" s="169"/>
    </row>
    <row r="1433" spans="12:12" x14ac:dyDescent="0.25">
      <c r="L1433" s="169"/>
    </row>
    <row r="1434" spans="12:12" x14ac:dyDescent="0.25">
      <c r="L1434" s="169"/>
    </row>
    <row r="1435" spans="12:12" x14ac:dyDescent="0.25">
      <c r="L1435" s="169"/>
    </row>
    <row r="1436" spans="12:12" x14ac:dyDescent="0.25">
      <c r="L1436" s="169"/>
    </row>
    <row r="1437" spans="12:12" x14ac:dyDescent="0.25">
      <c r="L1437" s="169"/>
    </row>
    <row r="1438" spans="12:12" x14ac:dyDescent="0.25">
      <c r="L1438" s="169"/>
    </row>
    <row r="1439" spans="12:12" x14ac:dyDescent="0.25">
      <c r="L1439" s="169"/>
    </row>
    <row r="1440" spans="12:12" x14ac:dyDescent="0.25">
      <c r="L1440" s="169"/>
    </row>
    <row r="1441" spans="12:12" x14ac:dyDescent="0.25">
      <c r="L1441" s="169"/>
    </row>
    <row r="1442" spans="12:12" x14ac:dyDescent="0.25">
      <c r="L1442" s="169"/>
    </row>
    <row r="1443" spans="12:12" x14ac:dyDescent="0.25">
      <c r="L1443" s="169"/>
    </row>
    <row r="1444" spans="12:12" x14ac:dyDescent="0.25">
      <c r="L1444" s="169"/>
    </row>
    <row r="1445" spans="12:12" x14ac:dyDescent="0.25">
      <c r="L1445" s="169"/>
    </row>
    <row r="1446" spans="12:12" x14ac:dyDescent="0.25">
      <c r="L1446" s="169"/>
    </row>
    <row r="1447" spans="12:12" x14ac:dyDescent="0.25">
      <c r="L1447" s="169"/>
    </row>
    <row r="1448" spans="12:12" x14ac:dyDescent="0.25">
      <c r="L1448" s="169"/>
    </row>
    <row r="1449" spans="12:12" x14ac:dyDescent="0.25">
      <c r="L1449" s="169"/>
    </row>
    <row r="1450" spans="12:12" x14ac:dyDescent="0.25">
      <c r="L1450" s="169"/>
    </row>
    <row r="1451" spans="12:12" x14ac:dyDescent="0.25">
      <c r="L1451" s="169"/>
    </row>
    <row r="1452" spans="12:12" x14ac:dyDescent="0.25">
      <c r="L1452" s="169"/>
    </row>
    <row r="1453" spans="12:12" x14ac:dyDescent="0.25">
      <c r="L1453" s="169"/>
    </row>
    <row r="1454" spans="12:12" x14ac:dyDescent="0.25">
      <c r="L1454" s="169"/>
    </row>
    <row r="1455" spans="12:12" x14ac:dyDescent="0.25">
      <c r="L1455" s="169"/>
    </row>
    <row r="1456" spans="12:12" x14ac:dyDescent="0.25">
      <c r="L1456" s="169"/>
    </row>
    <row r="1457" spans="12:12" x14ac:dyDescent="0.25">
      <c r="L1457" s="169"/>
    </row>
    <row r="1458" spans="12:12" x14ac:dyDescent="0.25">
      <c r="L1458" s="169"/>
    </row>
    <row r="1459" spans="12:12" x14ac:dyDescent="0.25">
      <c r="L1459" s="169"/>
    </row>
    <row r="1460" spans="12:12" x14ac:dyDescent="0.25">
      <c r="L1460" s="169"/>
    </row>
    <row r="1461" spans="12:12" x14ac:dyDescent="0.25">
      <c r="L1461" s="169"/>
    </row>
    <row r="1462" spans="12:12" x14ac:dyDescent="0.25">
      <c r="L1462" s="169"/>
    </row>
    <row r="1463" spans="12:12" x14ac:dyDescent="0.25">
      <c r="L1463" s="169"/>
    </row>
    <row r="1464" spans="12:12" x14ac:dyDescent="0.25">
      <c r="L1464" s="169"/>
    </row>
    <row r="1465" spans="12:12" x14ac:dyDescent="0.25">
      <c r="L1465" s="169"/>
    </row>
    <row r="1466" spans="12:12" x14ac:dyDescent="0.25">
      <c r="L1466" s="169"/>
    </row>
    <row r="1467" spans="12:12" x14ac:dyDescent="0.25">
      <c r="L1467" s="169"/>
    </row>
    <row r="1468" spans="12:12" x14ac:dyDescent="0.25">
      <c r="L1468" s="169"/>
    </row>
    <row r="1469" spans="12:12" x14ac:dyDescent="0.25">
      <c r="L1469" s="169"/>
    </row>
    <row r="1470" spans="12:12" x14ac:dyDescent="0.25">
      <c r="L1470" s="169"/>
    </row>
    <row r="1471" spans="12:12" x14ac:dyDescent="0.25">
      <c r="L1471" s="169"/>
    </row>
    <row r="1472" spans="12:12" x14ac:dyDescent="0.25">
      <c r="L1472" s="169"/>
    </row>
    <row r="1473" spans="12:12" x14ac:dyDescent="0.25">
      <c r="L1473" s="169"/>
    </row>
    <row r="1474" spans="12:12" x14ac:dyDescent="0.25">
      <c r="L1474" s="169"/>
    </row>
    <row r="1475" spans="12:12" x14ac:dyDescent="0.25">
      <c r="L1475" s="169"/>
    </row>
    <row r="1476" spans="12:12" x14ac:dyDescent="0.25">
      <c r="L1476" s="169"/>
    </row>
    <row r="1477" spans="12:12" x14ac:dyDescent="0.25">
      <c r="L1477" s="169"/>
    </row>
    <row r="1478" spans="12:12" x14ac:dyDescent="0.25">
      <c r="L1478" s="169"/>
    </row>
    <row r="1479" spans="12:12" x14ac:dyDescent="0.25">
      <c r="L1479" s="169"/>
    </row>
    <row r="1480" spans="12:12" x14ac:dyDescent="0.25">
      <c r="L1480" s="169"/>
    </row>
    <row r="1481" spans="12:12" x14ac:dyDescent="0.25">
      <c r="L1481" s="169"/>
    </row>
    <row r="1482" spans="12:12" x14ac:dyDescent="0.25">
      <c r="L1482" s="169"/>
    </row>
    <row r="1483" spans="12:12" x14ac:dyDescent="0.25">
      <c r="L1483" s="169"/>
    </row>
    <row r="1484" spans="12:12" x14ac:dyDescent="0.25">
      <c r="L1484" s="169"/>
    </row>
    <row r="1485" spans="12:12" x14ac:dyDescent="0.25">
      <c r="L1485" s="169"/>
    </row>
    <row r="1486" spans="12:12" x14ac:dyDescent="0.25">
      <c r="L1486" s="169"/>
    </row>
    <row r="1487" spans="12:12" x14ac:dyDescent="0.25">
      <c r="L1487" s="169"/>
    </row>
    <row r="1488" spans="12:12" x14ac:dyDescent="0.25">
      <c r="L1488" s="169"/>
    </row>
    <row r="1489" spans="12:12" x14ac:dyDescent="0.25">
      <c r="L1489" s="169"/>
    </row>
    <row r="1490" spans="12:12" x14ac:dyDescent="0.25">
      <c r="L1490" s="169"/>
    </row>
    <row r="1491" spans="12:12" x14ac:dyDescent="0.25">
      <c r="L1491" s="169"/>
    </row>
    <row r="1492" spans="12:12" x14ac:dyDescent="0.25">
      <c r="L1492" s="169"/>
    </row>
    <row r="1493" spans="12:12" x14ac:dyDescent="0.25">
      <c r="L1493" s="169"/>
    </row>
    <row r="1494" spans="12:12" x14ac:dyDescent="0.25">
      <c r="L1494" s="169"/>
    </row>
    <row r="1495" spans="12:12" x14ac:dyDescent="0.25">
      <c r="L1495" s="169"/>
    </row>
    <row r="1496" spans="12:12" x14ac:dyDescent="0.25">
      <c r="L1496" s="169"/>
    </row>
    <row r="1497" spans="12:12" x14ac:dyDescent="0.25">
      <c r="L1497" s="169"/>
    </row>
    <row r="1498" spans="12:12" x14ac:dyDescent="0.25">
      <c r="L1498" s="169"/>
    </row>
    <row r="1499" spans="12:12" x14ac:dyDescent="0.25">
      <c r="L1499" s="169"/>
    </row>
    <row r="1500" spans="12:12" x14ac:dyDescent="0.25">
      <c r="L1500" s="169"/>
    </row>
    <row r="1501" spans="12:12" x14ac:dyDescent="0.25">
      <c r="L1501" s="169"/>
    </row>
    <row r="1502" spans="12:12" x14ac:dyDescent="0.25">
      <c r="L1502" s="169"/>
    </row>
    <row r="1503" spans="12:12" x14ac:dyDescent="0.25">
      <c r="L1503" s="169"/>
    </row>
    <row r="1504" spans="12:12" x14ac:dyDescent="0.25">
      <c r="L1504" s="169"/>
    </row>
    <row r="1505" spans="12:12" x14ac:dyDescent="0.25">
      <c r="L1505" s="169"/>
    </row>
    <row r="1506" spans="12:12" x14ac:dyDescent="0.25">
      <c r="L1506" s="169"/>
    </row>
    <row r="1507" spans="12:12" x14ac:dyDescent="0.25">
      <c r="L1507" s="169"/>
    </row>
    <row r="1508" spans="12:12" x14ac:dyDescent="0.25">
      <c r="L1508" s="169"/>
    </row>
    <row r="1509" spans="12:12" x14ac:dyDescent="0.25">
      <c r="L1509" s="169"/>
    </row>
    <row r="1510" spans="12:12" x14ac:dyDescent="0.25">
      <c r="L1510" s="169"/>
    </row>
    <row r="1511" spans="12:12" x14ac:dyDescent="0.25">
      <c r="L1511" s="169"/>
    </row>
    <row r="1512" spans="12:12" x14ac:dyDescent="0.25">
      <c r="L1512" s="169"/>
    </row>
    <row r="1513" spans="12:12" x14ac:dyDescent="0.25">
      <c r="L1513" s="169"/>
    </row>
    <row r="1514" spans="12:12" x14ac:dyDescent="0.25">
      <c r="L1514" s="169"/>
    </row>
    <row r="1515" spans="12:12" x14ac:dyDescent="0.25">
      <c r="L1515" s="169"/>
    </row>
    <row r="1516" spans="12:12" x14ac:dyDescent="0.25">
      <c r="L1516" s="169"/>
    </row>
    <row r="1517" spans="12:12" x14ac:dyDescent="0.25">
      <c r="L1517" s="169"/>
    </row>
    <row r="1518" spans="12:12" x14ac:dyDescent="0.25">
      <c r="L1518" s="169"/>
    </row>
    <row r="1519" spans="12:12" x14ac:dyDescent="0.25">
      <c r="L1519" s="169"/>
    </row>
    <row r="1520" spans="12:12" x14ac:dyDescent="0.25">
      <c r="L1520" s="169"/>
    </row>
    <row r="1521" spans="12:12" x14ac:dyDescent="0.25">
      <c r="L1521" s="169"/>
    </row>
    <row r="1522" spans="12:12" x14ac:dyDescent="0.25">
      <c r="L1522" s="169"/>
    </row>
    <row r="1523" spans="12:12" x14ac:dyDescent="0.25">
      <c r="L1523" s="169"/>
    </row>
    <row r="1524" spans="12:12" x14ac:dyDescent="0.25">
      <c r="L1524" s="169"/>
    </row>
    <row r="1525" spans="12:12" x14ac:dyDescent="0.25">
      <c r="L1525" s="169"/>
    </row>
    <row r="1526" spans="12:12" x14ac:dyDescent="0.25">
      <c r="L1526" s="169"/>
    </row>
    <row r="1527" spans="12:12" x14ac:dyDescent="0.25">
      <c r="L1527" s="169"/>
    </row>
    <row r="1528" spans="12:12" x14ac:dyDescent="0.25">
      <c r="L1528" s="169"/>
    </row>
    <row r="1529" spans="12:12" x14ac:dyDescent="0.25">
      <c r="L1529" s="169"/>
    </row>
    <row r="1530" spans="12:12" x14ac:dyDescent="0.25">
      <c r="L1530" s="169"/>
    </row>
    <row r="1531" spans="12:12" x14ac:dyDescent="0.25">
      <c r="L1531" s="169"/>
    </row>
    <row r="1532" spans="12:12" x14ac:dyDescent="0.25">
      <c r="L1532" s="169"/>
    </row>
    <row r="1533" spans="12:12" x14ac:dyDescent="0.25">
      <c r="L1533" s="169"/>
    </row>
    <row r="1534" spans="12:12" x14ac:dyDescent="0.25">
      <c r="L1534" s="169"/>
    </row>
    <row r="1535" spans="12:12" x14ac:dyDescent="0.25">
      <c r="L1535" s="169"/>
    </row>
    <row r="1536" spans="12:12" x14ac:dyDescent="0.25">
      <c r="L1536" s="169"/>
    </row>
    <row r="1537" spans="12:12" x14ac:dyDescent="0.25">
      <c r="L1537" s="169"/>
    </row>
    <row r="1538" spans="12:12" x14ac:dyDescent="0.25">
      <c r="L1538" s="169"/>
    </row>
    <row r="1539" spans="12:12" x14ac:dyDescent="0.25">
      <c r="L1539" s="169"/>
    </row>
    <row r="1540" spans="12:12" x14ac:dyDescent="0.25">
      <c r="L1540" s="169"/>
    </row>
    <row r="1541" spans="12:12" x14ac:dyDescent="0.25">
      <c r="L1541" s="169"/>
    </row>
    <row r="1542" spans="12:12" x14ac:dyDescent="0.25">
      <c r="L1542" s="169"/>
    </row>
    <row r="1543" spans="12:12" x14ac:dyDescent="0.25">
      <c r="L1543" s="169"/>
    </row>
    <row r="1544" spans="12:12" x14ac:dyDescent="0.25">
      <c r="L1544" s="169"/>
    </row>
    <row r="1545" spans="12:12" x14ac:dyDescent="0.25">
      <c r="L1545" s="169"/>
    </row>
    <row r="1546" spans="12:12" x14ac:dyDescent="0.25">
      <c r="L1546" s="169"/>
    </row>
    <row r="1547" spans="12:12" x14ac:dyDescent="0.25">
      <c r="L1547" s="169"/>
    </row>
    <row r="1548" spans="12:12" x14ac:dyDescent="0.25">
      <c r="L1548" s="169"/>
    </row>
    <row r="1549" spans="12:12" x14ac:dyDescent="0.25">
      <c r="L1549" s="169"/>
    </row>
    <row r="1550" spans="12:12" x14ac:dyDescent="0.25">
      <c r="L1550" s="169"/>
    </row>
    <row r="1551" spans="12:12" x14ac:dyDescent="0.25">
      <c r="L1551" s="169"/>
    </row>
    <row r="1552" spans="12:12" x14ac:dyDescent="0.25">
      <c r="L1552" s="169"/>
    </row>
    <row r="1553" spans="12:12" x14ac:dyDescent="0.25">
      <c r="L1553" s="169"/>
    </row>
    <row r="1554" spans="12:12" x14ac:dyDescent="0.25">
      <c r="L1554" s="169"/>
    </row>
    <row r="1555" spans="12:12" x14ac:dyDescent="0.25">
      <c r="L1555" s="169"/>
    </row>
    <row r="1556" spans="12:12" x14ac:dyDescent="0.25">
      <c r="L1556" s="169"/>
    </row>
    <row r="1557" spans="12:12" x14ac:dyDescent="0.25">
      <c r="L1557" s="169"/>
    </row>
    <row r="1558" spans="12:12" x14ac:dyDescent="0.25">
      <c r="L1558" s="169"/>
    </row>
    <row r="1559" spans="12:12" x14ac:dyDescent="0.25">
      <c r="L1559" s="169"/>
    </row>
    <row r="1560" spans="12:12" x14ac:dyDescent="0.25">
      <c r="L1560" s="169"/>
    </row>
    <row r="1561" spans="12:12" x14ac:dyDescent="0.25">
      <c r="L1561" s="169"/>
    </row>
    <row r="1562" spans="12:12" x14ac:dyDescent="0.25">
      <c r="L1562" s="169"/>
    </row>
    <row r="1563" spans="12:12" x14ac:dyDescent="0.25">
      <c r="L1563" s="169"/>
    </row>
    <row r="1564" spans="12:12" x14ac:dyDescent="0.25">
      <c r="L1564" s="169"/>
    </row>
    <row r="1565" spans="12:12" x14ac:dyDescent="0.25">
      <c r="L1565" s="169"/>
    </row>
    <row r="1566" spans="12:12" x14ac:dyDescent="0.25">
      <c r="L1566" s="169"/>
    </row>
    <row r="1567" spans="12:12" x14ac:dyDescent="0.25">
      <c r="L1567" s="169"/>
    </row>
    <row r="1568" spans="12:12" x14ac:dyDescent="0.25">
      <c r="L1568" s="169"/>
    </row>
    <row r="1569" spans="12:12" x14ac:dyDescent="0.25">
      <c r="L1569" s="169"/>
    </row>
    <row r="1570" spans="12:12" x14ac:dyDescent="0.25">
      <c r="L1570" s="169"/>
    </row>
    <row r="1571" spans="12:12" x14ac:dyDescent="0.25">
      <c r="L1571" s="169"/>
    </row>
    <row r="1572" spans="12:12" x14ac:dyDescent="0.25">
      <c r="L1572" s="169"/>
    </row>
    <row r="1573" spans="12:12" x14ac:dyDescent="0.25">
      <c r="L1573" s="169"/>
    </row>
    <row r="1574" spans="12:12" x14ac:dyDescent="0.25">
      <c r="L1574" s="169"/>
    </row>
    <row r="1575" spans="12:12" x14ac:dyDescent="0.25">
      <c r="L1575" s="169"/>
    </row>
    <row r="1576" spans="12:12" x14ac:dyDescent="0.25">
      <c r="L1576" s="169"/>
    </row>
    <row r="1577" spans="12:12" x14ac:dyDescent="0.25">
      <c r="L1577" s="169"/>
    </row>
    <row r="1578" spans="12:12" x14ac:dyDescent="0.25">
      <c r="L1578" s="169"/>
    </row>
    <row r="1579" spans="12:12" x14ac:dyDescent="0.25">
      <c r="L1579" s="169"/>
    </row>
    <row r="1580" spans="12:12" x14ac:dyDescent="0.25">
      <c r="L1580" s="169"/>
    </row>
    <row r="1581" spans="12:12" x14ac:dyDescent="0.25">
      <c r="L1581" s="169"/>
    </row>
    <row r="1582" spans="12:12" x14ac:dyDescent="0.25">
      <c r="L1582" s="169"/>
    </row>
    <row r="1583" spans="12:12" x14ac:dyDescent="0.25">
      <c r="L1583" s="169"/>
    </row>
    <row r="1584" spans="12:12" x14ac:dyDescent="0.25">
      <c r="L1584" s="169"/>
    </row>
    <row r="1585" spans="12:12" x14ac:dyDescent="0.25">
      <c r="L1585" s="169"/>
    </row>
    <row r="1586" spans="12:12" x14ac:dyDescent="0.25">
      <c r="L1586" s="169"/>
    </row>
    <row r="1587" spans="12:12" x14ac:dyDescent="0.25">
      <c r="L1587" s="169"/>
    </row>
    <row r="1588" spans="12:12" x14ac:dyDescent="0.25">
      <c r="L1588" s="169"/>
    </row>
    <row r="1589" spans="12:12" x14ac:dyDescent="0.25">
      <c r="L1589" s="169"/>
    </row>
    <row r="1590" spans="12:12" x14ac:dyDescent="0.25">
      <c r="L1590" s="169"/>
    </row>
    <row r="1591" spans="12:12" x14ac:dyDescent="0.25">
      <c r="L1591" s="169"/>
    </row>
    <row r="1592" spans="12:12" x14ac:dyDescent="0.25">
      <c r="L1592" s="169"/>
    </row>
    <row r="1593" spans="12:12" x14ac:dyDescent="0.25">
      <c r="L1593" s="169"/>
    </row>
    <row r="1594" spans="12:12" x14ac:dyDescent="0.25">
      <c r="L1594" s="169"/>
    </row>
    <row r="1595" spans="12:12" x14ac:dyDescent="0.25">
      <c r="L1595" s="169"/>
    </row>
    <row r="1596" spans="12:12" x14ac:dyDescent="0.25">
      <c r="L1596" s="169"/>
    </row>
    <row r="1597" spans="12:12" x14ac:dyDescent="0.25">
      <c r="L1597" s="169"/>
    </row>
    <row r="1598" spans="12:12" x14ac:dyDescent="0.25">
      <c r="L1598" s="169"/>
    </row>
    <row r="1599" spans="12:12" x14ac:dyDescent="0.25">
      <c r="L1599" s="169"/>
    </row>
    <row r="1600" spans="12:12" x14ac:dyDescent="0.25">
      <c r="L1600" s="169"/>
    </row>
    <row r="1601" spans="12:12" x14ac:dyDescent="0.25">
      <c r="L1601" s="169"/>
    </row>
    <row r="1602" spans="12:12" x14ac:dyDescent="0.25">
      <c r="L1602" s="169"/>
    </row>
    <row r="1603" spans="12:12" x14ac:dyDescent="0.25">
      <c r="L1603" s="169"/>
    </row>
    <row r="1604" spans="12:12" x14ac:dyDescent="0.25">
      <c r="L1604" s="169"/>
    </row>
    <row r="1605" spans="12:12" x14ac:dyDescent="0.25">
      <c r="L1605" s="169"/>
    </row>
    <row r="1606" spans="12:12" x14ac:dyDescent="0.25">
      <c r="L1606" s="169"/>
    </row>
    <row r="1607" spans="12:12" x14ac:dyDescent="0.25">
      <c r="L1607" s="169"/>
    </row>
    <row r="1608" spans="12:12" x14ac:dyDescent="0.25">
      <c r="L1608" s="169"/>
    </row>
    <row r="1609" spans="12:12" x14ac:dyDescent="0.25">
      <c r="L1609" s="169"/>
    </row>
    <row r="1610" spans="12:12" x14ac:dyDescent="0.25">
      <c r="L1610" s="169"/>
    </row>
    <row r="1611" spans="12:12" x14ac:dyDescent="0.25">
      <c r="L1611" s="169"/>
    </row>
    <row r="1612" spans="12:12" x14ac:dyDescent="0.25">
      <c r="L1612" s="169"/>
    </row>
    <row r="1613" spans="12:12" x14ac:dyDescent="0.25">
      <c r="L1613" s="169"/>
    </row>
    <row r="1614" spans="12:12" x14ac:dyDescent="0.25">
      <c r="L1614" s="169"/>
    </row>
    <row r="1615" spans="12:12" x14ac:dyDescent="0.25">
      <c r="L1615" s="169"/>
    </row>
    <row r="1616" spans="12:12" x14ac:dyDescent="0.25">
      <c r="L1616" s="169"/>
    </row>
    <row r="1617" spans="12:12" x14ac:dyDescent="0.25">
      <c r="L1617" s="169"/>
    </row>
    <row r="1618" spans="12:12" x14ac:dyDescent="0.25">
      <c r="L1618" s="169"/>
    </row>
    <row r="1619" spans="12:12" x14ac:dyDescent="0.25">
      <c r="L1619" s="169"/>
    </row>
    <row r="1620" spans="12:12" x14ac:dyDescent="0.25">
      <c r="L1620" s="169"/>
    </row>
    <row r="1621" spans="12:12" x14ac:dyDescent="0.25">
      <c r="L1621" s="169"/>
    </row>
    <row r="1622" spans="12:12" x14ac:dyDescent="0.25">
      <c r="L1622" s="169"/>
    </row>
    <row r="1623" spans="12:12" x14ac:dyDescent="0.25">
      <c r="L1623" s="169"/>
    </row>
    <row r="1624" spans="12:12" x14ac:dyDescent="0.25">
      <c r="L1624" s="169"/>
    </row>
    <row r="1625" spans="12:12" x14ac:dyDescent="0.25">
      <c r="L1625" s="169"/>
    </row>
    <row r="1626" spans="12:12" x14ac:dyDescent="0.25">
      <c r="L1626" s="169"/>
    </row>
    <row r="1627" spans="12:12" x14ac:dyDescent="0.25">
      <c r="L1627" s="169"/>
    </row>
    <row r="1628" spans="12:12" x14ac:dyDescent="0.25">
      <c r="L1628" s="169"/>
    </row>
    <row r="1629" spans="12:12" x14ac:dyDescent="0.25">
      <c r="L1629" s="169"/>
    </row>
    <row r="1630" spans="12:12" x14ac:dyDescent="0.25">
      <c r="L1630" s="169"/>
    </row>
    <row r="1631" spans="12:12" x14ac:dyDescent="0.25">
      <c r="L1631" s="169"/>
    </row>
    <row r="1632" spans="12:12" x14ac:dyDescent="0.25">
      <c r="L1632" s="169"/>
    </row>
    <row r="1633" spans="12:12" x14ac:dyDescent="0.25">
      <c r="L1633" s="169"/>
    </row>
    <row r="1634" spans="12:12" x14ac:dyDescent="0.25">
      <c r="L1634" s="169"/>
    </row>
    <row r="1635" spans="12:12" x14ac:dyDescent="0.25">
      <c r="L1635" s="169"/>
    </row>
    <row r="1636" spans="12:12" x14ac:dyDescent="0.25">
      <c r="L1636" s="169"/>
    </row>
    <row r="1637" spans="12:12" x14ac:dyDescent="0.25">
      <c r="L1637" s="169"/>
    </row>
    <row r="1638" spans="12:12" x14ac:dyDescent="0.25">
      <c r="L1638" s="169"/>
    </row>
    <row r="1639" spans="12:12" x14ac:dyDescent="0.25">
      <c r="L1639" s="169"/>
    </row>
    <row r="1640" spans="12:12" x14ac:dyDescent="0.25">
      <c r="L1640" s="169"/>
    </row>
    <row r="1641" spans="12:12" x14ac:dyDescent="0.25">
      <c r="L1641" s="169"/>
    </row>
    <row r="1642" spans="12:12" x14ac:dyDescent="0.25">
      <c r="L1642" s="169"/>
    </row>
    <row r="1643" spans="12:12" x14ac:dyDescent="0.25">
      <c r="L1643" s="169"/>
    </row>
    <row r="1644" spans="12:12" x14ac:dyDescent="0.25">
      <c r="L1644" s="169"/>
    </row>
    <row r="1645" spans="12:12" x14ac:dyDescent="0.25">
      <c r="L1645" s="169"/>
    </row>
    <row r="1646" spans="12:12" x14ac:dyDescent="0.25">
      <c r="L1646" s="169"/>
    </row>
    <row r="1647" spans="12:12" x14ac:dyDescent="0.25">
      <c r="L1647" s="169"/>
    </row>
    <row r="1648" spans="12:12" x14ac:dyDescent="0.25">
      <c r="L1648" s="169"/>
    </row>
    <row r="1649" spans="12:12" x14ac:dyDescent="0.25">
      <c r="L1649" s="169"/>
    </row>
    <row r="1650" spans="12:12" x14ac:dyDescent="0.25">
      <c r="L1650" s="169"/>
    </row>
    <row r="1651" spans="12:12" x14ac:dyDescent="0.25">
      <c r="L1651" s="169"/>
    </row>
    <row r="1652" spans="12:12" x14ac:dyDescent="0.25">
      <c r="L1652" s="169"/>
    </row>
    <row r="1653" spans="12:12" x14ac:dyDescent="0.25">
      <c r="L1653" s="169"/>
    </row>
    <row r="1654" spans="12:12" x14ac:dyDescent="0.25">
      <c r="L1654" s="169"/>
    </row>
    <row r="1655" spans="12:12" x14ac:dyDescent="0.25">
      <c r="L1655" s="169"/>
    </row>
    <row r="1656" spans="12:12" x14ac:dyDescent="0.25">
      <c r="L1656" s="169"/>
    </row>
    <row r="1657" spans="12:12" x14ac:dyDescent="0.25">
      <c r="L1657" s="169"/>
    </row>
    <row r="1658" spans="12:12" x14ac:dyDescent="0.25">
      <c r="L1658" s="169"/>
    </row>
    <row r="1659" spans="12:12" x14ac:dyDescent="0.25">
      <c r="L1659" s="169"/>
    </row>
    <row r="1660" spans="12:12" x14ac:dyDescent="0.25">
      <c r="L1660" s="169"/>
    </row>
    <row r="1661" spans="12:12" x14ac:dyDescent="0.25">
      <c r="L1661" s="169"/>
    </row>
    <row r="1662" spans="12:12" x14ac:dyDescent="0.25">
      <c r="L1662" s="169"/>
    </row>
    <row r="1663" spans="12:12" x14ac:dyDescent="0.25">
      <c r="L1663" s="169"/>
    </row>
    <row r="1664" spans="12:12" x14ac:dyDescent="0.25">
      <c r="L1664" s="169"/>
    </row>
    <row r="1665" spans="12:12" x14ac:dyDescent="0.25">
      <c r="L1665" s="169"/>
    </row>
    <row r="1666" spans="12:12" x14ac:dyDescent="0.25">
      <c r="L1666" s="169"/>
    </row>
    <row r="1667" spans="12:12" x14ac:dyDescent="0.25">
      <c r="L1667" s="169"/>
    </row>
    <row r="1668" spans="12:12" x14ac:dyDescent="0.25">
      <c r="L1668" s="169"/>
    </row>
    <row r="1669" spans="12:12" x14ac:dyDescent="0.25">
      <c r="L1669" s="169"/>
    </row>
    <row r="1670" spans="12:12" x14ac:dyDescent="0.25">
      <c r="L1670" s="169"/>
    </row>
    <row r="1671" spans="12:12" x14ac:dyDescent="0.25">
      <c r="L1671" s="169"/>
    </row>
    <row r="1672" spans="12:12" x14ac:dyDescent="0.25">
      <c r="L1672" s="169"/>
    </row>
    <row r="1673" spans="12:12" x14ac:dyDescent="0.25">
      <c r="L1673" s="169"/>
    </row>
    <row r="1674" spans="12:12" x14ac:dyDescent="0.25">
      <c r="L1674" s="169"/>
    </row>
    <row r="1675" spans="12:12" x14ac:dyDescent="0.25">
      <c r="L1675" s="169"/>
    </row>
    <row r="1676" spans="12:12" x14ac:dyDescent="0.25">
      <c r="L1676" s="169"/>
    </row>
    <row r="1677" spans="12:12" x14ac:dyDescent="0.25">
      <c r="L1677" s="169"/>
    </row>
    <row r="1678" spans="12:12" x14ac:dyDescent="0.25">
      <c r="L1678" s="169"/>
    </row>
    <row r="1679" spans="12:12" x14ac:dyDescent="0.25">
      <c r="L1679" s="169"/>
    </row>
    <row r="1680" spans="12:12" x14ac:dyDescent="0.25">
      <c r="L1680" s="169"/>
    </row>
    <row r="1681" spans="12:12" x14ac:dyDescent="0.25">
      <c r="L1681" s="169"/>
    </row>
    <row r="1682" spans="12:12" x14ac:dyDescent="0.25">
      <c r="L1682" s="169"/>
    </row>
    <row r="1683" spans="12:12" x14ac:dyDescent="0.25">
      <c r="L1683" s="169"/>
    </row>
    <row r="1684" spans="12:12" x14ac:dyDescent="0.25">
      <c r="L1684" s="169"/>
    </row>
    <row r="1685" spans="12:12" x14ac:dyDescent="0.25">
      <c r="L1685" s="169"/>
    </row>
    <row r="1686" spans="12:12" x14ac:dyDescent="0.25">
      <c r="L1686" s="169"/>
    </row>
    <row r="1687" spans="12:12" x14ac:dyDescent="0.25">
      <c r="L1687" s="169"/>
    </row>
    <row r="1688" spans="12:12" x14ac:dyDescent="0.25">
      <c r="L1688" s="169"/>
    </row>
    <row r="1689" spans="12:12" x14ac:dyDescent="0.25">
      <c r="L1689" s="169"/>
    </row>
    <row r="1690" spans="12:12" x14ac:dyDescent="0.25">
      <c r="L1690" s="169"/>
    </row>
    <row r="1691" spans="12:12" x14ac:dyDescent="0.25">
      <c r="L1691" s="169"/>
    </row>
    <row r="1692" spans="12:12" x14ac:dyDescent="0.25">
      <c r="L1692" s="169"/>
    </row>
    <row r="1693" spans="12:12" x14ac:dyDescent="0.25">
      <c r="L1693" s="169"/>
    </row>
    <row r="1694" spans="12:12" x14ac:dyDescent="0.25">
      <c r="L1694" s="169"/>
    </row>
    <row r="1695" spans="12:12" x14ac:dyDescent="0.25">
      <c r="L1695" s="169"/>
    </row>
    <row r="1696" spans="12:12" x14ac:dyDescent="0.25">
      <c r="L1696" s="169"/>
    </row>
    <row r="1697" spans="12:12" x14ac:dyDescent="0.25">
      <c r="L1697" s="169"/>
    </row>
    <row r="1698" spans="12:12" x14ac:dyDescent="0.25">
      <c r="L1698" s="169"/>
    </row>
    <row r="1699" spans="12:12" x14ac:dyDescent="0.25">
      <c r="L1699" s="169"/>
    </row>
    <row r="1700" spans="12:12" x14ac:dyDescent="0.25">
      <c r="L1700" s="169"/>
    </row>
    <row r="1701" spans="12:12" x14ac:dyDescent="0.25">
      <c r="L1701" s="169"/>
    </row>
    <row r="1702" spans="12:12" x14ac:dyDescent="0.25">
      <c r="L1702" s="169"/>
    </row>
    <row r="1703" spans="12:12" x14ac:dyDescent="0.25">
      <c r="L1703" s="169"/>
    </row>
    <row r="1704" spans="12:12" x14ac:dyDescent="0.25">
      <c r="L1704" s="169"/>
    </row>
    <row r="1705" spans="12:12" x14ac:dyDescent="0.25">
      <c r="L1705" s="169"/>
    </row>
    <row r="1706" spans="12:12" x14ac:dyDescent="0.25">
      <c r="L1706" s="169"/>
    </row>
    <row r="1707" spans="12:12" x14ac:dyDescent="0.25">
      <c r="L1707" s="169"/>
    </row>
    <row r="1708" spans="12:12" x14ac:dyDescent="0.25">
      <c r="L1708" s="169"/>
    </row>
    <row r="1709" spans="12:12" x14ac:dyDescent="0.25">
      <c r="L1709" s="169"/>
    </row>
    <row r="1710" spans="12:12" x14ac:dyDescent="0.25">
      <c r="L1710" s="169"/>
    </row>
    <row r="1711" spans="12:12" x14ac:dyDescent="0.25">
      <c r="L1711" s="169"/>
    </row>
    <row r="1712" spans="12:12" x14ac:dyDescent="0.25">
      <c r="L1712" s="169"/>
    </row>
    <row r="1713" spans="12:12" x14ac:dyDescent="0.25">
      <c r="L1713" s="169"/>
    </row>
    <row r="1714" spans="12:12" x14ac:dyDescent="0.25">
      <c r="L1714" s="169"/>
    </row>
    <row r="1715" spans="12:12" x14ac:dyDescent="0.25">
      <c r="L1715" s="169"/>
    </row>
    <row r="1716" spans="12:12" x14ac:dyDescent="0.25">
      <c r="L1716" s="169"/>
    </row>
    <row r="1717" spans="12:12" x14ac:dyDescent="0.25">
      <c r="L1717" s="169"/>
    </row>
    <row r="1718" spans="12:12" x14ac:dyDescent="0.25">
      <c r="L1718" s="169"/>
    </row>
    <row r="1719" spans="12:12" x14ac:dyDescent="0.25">
      <c r="L1719" s="169"/>
    </row>
    <row r="1720" spans="12:12" x14ac:dyDescent="0.25">
      <c r="L1720" s="169"/>
    </row>
    <row r="1721" spans="12:12" x14ac:dyDescent="0.25">
      <c r="L1721" s="169"/>
    </row>
    <row r="1722" spans="12:12" x14ac:dyDescent="0.25">
      <c r="L1722" s="169"/>
    </row>
    <row r="1723" spans="12:12" x14ac:dyDescent="0.25">
      <c r="L1723" s="169"/>
    </row>
    <row r="1724" spans="12:12" x14ac:dyDescent="0.25">
      <c r="L1724" s="169"/>
    </row>
    <row r="1725" spans="12:12" x14ac:dyDescent="0.25">
      <c r="L1725" s="169"/>
    </row>
    <row r="1726" spans="12:12" x14ac:dyDescent="0.25">
      <c r="L1726" s="169"/>
    </row>
    <row r="1727" spans="12:12" x14ac:dyDescent="0.25">
      <c r="L1727" s="169"/>
    </row>
    <row r="1728" spans="12:12" x14ac:dyDescent="0.25">
      <c r="L1728" s="169"/>
    </row>
    <row r="1729" spans="12:12" x14ac:dyDescent="0.25">
      <c r="L1729" s="169"/>
    </row>
    <row r="1730" spans="12:12" x14ac:dyDescent="0.25">
      <c r="L1730" s="169"/>
    </row>
    <row r="1731" spans="12:12" x14ac:dyDescent="0.25">
      <c r="L1731" s="169"/>
    </row>
    <row r="1732" spans="12:12" x14ac:dyDescent="0.25">
      <c r="L1732" s="169"/>
    </row>
    <row r="1733" spans="12:12" x14ac:dyDescent="0.25">
      <c r="L1733" s="169"/>
    </row>
    <row r="1734" spans="12:12" x14ac:dyDescent="0.25">
      <c r="L1734" s="169"/>
    </row>
    <row r="1735" spans="12:12" x14ac:dyDescent="0.25">
      <c r="L1735" s="169"/>
    </row>
    <row r="1736" spans="12:12" x14ac:dyDescent="0.25">
      <c r="L1736" s="169"/>
    </row>
    <row r="1737" spans="12:12" x14ac:dyDescent="0.25">
      <c r="L1737" s="169"/>
    </row>
    <row r="1738" spans="12:12" x14ac:dyDescent="0.25">
      <c r="L1738" s="169"/>
    </row>
    <row r="1739" spans="12:12" x14ac:dyDescent="0.25">
      <c r="L1739" s="169"/>
    </row>
    <row r="1740" spans="12:12" x14ac:dyDescent="0.25">
      <c r="L1740" s="169"/>
    </row>
    <row r="1741" spans="12:12" x14ac:dyDescent="0.25">
      <c r="L1741" s="169"/>
    </row>
    <row r="1742" spans="12:12" x14ac:dyDescent="0.25">
      <c r="L1742" s="169"/>
    </row>
    <row r="1743" spans="12:12" x14ac:dyDescent="0.25">
      <c r="L1743" s="169"/>
    </row>
    <row r="1744" spans="12:12" x14ac:dyDescent="0.25">
      <c r="L1744" s="169"/>
    </row>
    <row r="1745" spans="12:12" x14ac:dyDescent="0.25">
      <c r="L1745" s="169"/>
    </row>
    <row r="1746" spans="12:12" x14ac:dyDescent="0.25">
      <c r="L1746" s="169"/>
    </row>
    <row r="1747" spans="12:12" x14ac:dyDescent="0.25">
      <c r="L1747" s="169"/>
    </row>
    <row r="1748" spans="12:12" x14ac:dyDescent="0.25">
      <c r="L1748" s="169"/>
    </row>
    <row r="1749" spans="12:12" x14ac:dyDescent="0.25">
      <c r="L1749" s="169"/>
    </row>
    <row r="1750" spans="12:12" x14ac:dyDescent="0.25">
      <c r="L1750" s="169"/>
    </row>
    <row r="1751" spans="12:12" x14ac:dyDescent="0.25">
      <c r="L1751" s="169"/>
    </row>
    <row r="1752" spans="12:12" x14ac:dyDescent="0.25">
      <c r="L1752" s="169"/>
    </row>
    <row r="1753" spans="12:12" x14ac:dyDescent="0.25">
      <c r="L1753" s="169"/>
    </row>
    <row r="1754" spans="12:12" x14ac:dyDescent="0.25">
      <c r="L1754" s="169"/>
    </row>
    <row r="1755" spans="12:12" x14ac:dyDescent="0.25">
      <c r="L1755" s="169"/>
    </row>
    <row r="1756" spans="12:12" x14ac:dyDescent="0.25">
      <c r="L1756" s="169"/>
    </row>
    <row r="1757" spans="12:12" x14ac:dyDescent="0.25">
      <c r="L1757" s="169"/>
    </row>
    <row r="1758" spans="12:12" x14ac:dyDescent="0.25">
      <c r="L1758" s="169"/>
    </row>
    <row r="1759" spans="12:12" x14ac:dyDescent="0.25">
      <c r="L1759" s="169"/>
    </row>
    <row r="1760" spans="12:12" x14ac:dyDescent="0.25">
      <c r="L1760" s="169"/>
    </row>
    <row r="1761" spans="12:12" x14ac:dyDescent="0.25">
      <c r="L1761" s="169"/>
    </row>
    <row r="1762" spans="12:12" x14ac:dyDescent="0.25">
      <c r="L1762" s="169"/>
    </row>
    <row r="1763" spans="12:12" x14ac:dyDescent="0.25">
      <c r="L1763" s="169"/>
    </row>
    <row r="1764" spans="12:12" x14ac:dyDescent="0.25">
      <c r="L1764" s="169"/>
    </row>
    <row r="1765" spans="12:12" x14ac:dyDescent="0.25">
      <c r="L1765" s="169"/>
    </row>
    <row r="1766" spans="12:12" x14ac:dyDescent="0.25">
      <c r="L1766" s="169"/>
    </row>
    <row r="1767" spans="12:12" x14ac:dyDescent="0.25">
      <c r="L1767" s="169"/>
    </row>
    <row r="1768" spans="12:12" x14ac:dyDescent="0.25">
      <c r="L1768" s="169"/>
    </row>
    <row r="1769" spans="12:12" x14ac:dyDescent="0.25">
      <c r="L1769" s="169"/>
    </row>
    <row r="1770" spans="12:12" x14ac:dyDescent="0.25">
      <c r="L1770" s="169"/>
    </row>
    <row r="1771" spans="12:12" x14ac:dyDescent="0.25">
      <c r="L1771" s="169"/>
    </row>
    <row r="1772" spans="12:12" x14ac:dyDescent="0.25">
      <c r="L1772" s="169"/>
    </row>
    <row r="1773" spans="12:12" x14ac:dyDescent="0.25">
      <c r="L1773" s="169"/>
    </row>
    <row r="1774" spans="12:12" x14ac:dyDescent="0.25">
      <c r="L1774" s="169"/>
    </row>
    <row r="1775" spans="12:12" x14ac:dyDescent="0.25">
      <c r="L1775" s="169"/>
    </row>
    <row r="1776" spans="12:12" x14ac:dyDescent="0.25">
      <c r="L1776" s="169"/>
    </row>
    <row r="1777" spans="12:12" x14ac:dyDescent="0.25">
      <c r="L1777" s="169"/>
    </row>
    <row r="1778" spans="12:12" x14ac:dyDescent="0.25">
      <c r="L1778" s="169"/>
    </row>
    <row r="1779" spans="12:12" x14ac:dyDescent="0.25">
      <c r="L1779" s="169"/>
    </row>
    <row r="1780" spans="12:12" x14ac:dyDescent="0.25">
      <c r="L1780" s="169"/>
    </row>
    <row r="1781" spans="12:12" x14ac:dyDescent="0.25">
      <c r="L1781" s="169"/>
    </row>
    <row r="1782" spans="12:12" x14ac:dyDescent="0.25">
      <c r="L1782" s="169"/>
    </row>
    <row r="1783" spans="12:12" x14ac:dyDescent="0.25">
      <c r="L1783" s="169"/>
    </row>
    <row r="1784" spans="12:12" x14ac:dyDescent="0.25">
      <c r="L1784" s="169"/>
    </row>
    <row r="1785" spans="12:12" x14ac:dyDescent="0.25">
      <c r="L1785" s="169"/>
    </row>
    <row r="1786" spans="12:12" x14ac:dyDescent="0.25">
      <c r="L1786" s="169"/>
    </row>
    <row r="1787" spans="12:12" x14ac:dyDescent="0.25">
      <c r="L1787" s="169"/>
    </row>
    <row r="1788" spans="12:12" x14ac:dyDescent="0.25">
      <c r="L1788" s="169"/>
    </row>
    <row r="1789" spans="12:12" x14ac:dyDescent="0.25">
      <c r="L1789" s="169"/>
    </row>
    <row r="1790" spans="12:12" x14ac:dyDescent="0.25">
      <c r="L1790" s="169"/>
    </row>
    <row r="1791" spans="12:12" x14ac:dyDescent="0.25">
      <c r="L1791" s="169"/>
    </row>
    <row r="1792" spans="12:12" x14ac:dyDescent="0.25">
      <c r="L1792" s="169"/>
    </row>
    <row r="1793" spans="12:12" x14ac:dyDescent="0.25">
      <c r="L1793" s="169"/>
    </row>
    <row r="1794" spans="12:12" x14ac:dyDescent="0.25">
      <c r="L1794" s="169"/>
    </row>
    <row r="1795" spans="12:12" x14ac:dyDescent="0.25">
      <c r="L1795" s="169"/>
    </row>
    <row r="1796" spans="12:12" x14ac:dyDescent="0.25">
      <c r="L1796" s="169"/>
    </row>
    <row r="1797" spans="12:12" x14ac:dyDescent="0.25">
      <c r="L1797" s="169"/>
    </row>
    <row r="1798" spans="12:12" x14ac:dyDescent="0.25">
      <c r="L1798" s="169"/>
    </row>
    <row r="1799" spans="12:12" x14ac:dyDescent="0.25">
      <c r="L1799" s="169"/>
    </row>
    <row r="1800" spans="12:12" x14ac:dyDescent="0.25">
      <c r="L1800" s="169"/>
    </row>
    <row r="1801" spans="12:12" x14ac:dyDescent="0.25">
      <c r="L1801" s="169"/>
    </row>
    <row r="1802" spans="12:12" x14ac:dyDescent="0.25">
      <c r="L1802" s="169"/>
    </row>
    <row r="1803" spans="12:12" x14ac:dyDescent="0.25">
      <c r="L1803" s="169"/>
    </row>
    <row r="1804" spans="12:12" x14ac:dyDescent="0.25">
      <c r="L1804" s="169"/>
    </row>
    <row r="1805" spans="12:12" x14ac:dyDescent="0.25">
      <c r="L1805" s="169"/>
    </row>
    <row r="1806" spans="12:12" x14ac:dyDescent="0.25">
      <c r="L1806" s="169"/>
    </row>
    <row r="1807" spans="12:12" x14ac:dyDescent="0.25">
      <c r="L1807" s="169"/>
    </row>
    <row r="1808" spans="12:12" x14ac:dyDescent="0.25">
      <c r="L1808" s="169"/>
    </row>
    <row r="1809" spans="12:12" x14ac:dyDescent="0.25">
      <c r="L1809" s="169"/>
    </row>
    <row r="1810" spans="12:12" x14ac:dyDescent="0.25">
      <c r="L1810" s="169"/>
    </row>
    <row r="1811" spans="12:12" x14ac:dyDescent="0.25">
      <c r="L1811" s="169"/>
    </row>
    <row r="1812" spans="12:12" x14ac:dyDescent="0.25">
      <c r="L1812" s="169"/>
    </row>
    <row r="1813" spans="12:12" x14ac:dyDescent="0.25">
      <c r="L1813" s="169"/>
    </row>
    <row r="1814" spans="12:12" x14ac:dyDescent="0.25">
      <c r="L1814" s="169"/>
    </row>
    <row r="1815" spans="12:12" x14ac:dyDescent="0.25">
      <c r="L1815" s="169"/>
    </row>
    <row r="1816" spans="12:12" x14ac:dyDescent="0.25">
      <c r="L1816" s="169"/>
    </row>
    <row r="1817" spans="12:12" x14ac:dyDescent="0.25">
      <c r="L1817" s="169"/>
    </row>
    <row r="1818" spans="12:12" x14ac:dyDescent="0.25">
      <c r="L1818" s="169"/>
    </row>
    <row r="1819" spans="12:12" x14ac:dyDescent="0.25">
      <c r="L1819" s="169"/>
    </row>
    <row r="1820" spans="12:12" x14ac:dyDescent="0.25">
      <c r="L1820" s="169"/>
    </row>
    <row r="1821" spans="12:12" x14ac:dyDescent="0.25">
      <c r="L1821" s="169"/>
    </row>
    <row r="1822" spans="12:12" x14ac:dyDescent="0.25">
      <c r="L1822" s="169"/>
    </row>
    <row r="1823" spans="12:12" x14ac:dyDescent="0.25">
      <c r="L1823" s="169"/>
    </row>
    <row r="1824" spans="12:12" x14ac:dyDescent="0.25">
      <c r="L1824" s="169"/>
    </row>
    <row r="1825" spans="12:12" x14ac:dyDescent="0.25">
      <c r="L1825" s="169"/>
    </row>
    <row r="1826" spans="12:12" x14ac:dyDescent="0.25">
      <c r="L1826" s="169"/>
    </row>
    <row r="1827" spans="12:12" x14ac:dyDescent="0.25">
      <c r="L1827" s="169"/>
    </row>
    <row r="1828" spans="12:12" x14ac:dyDescent="0.25">
      <c r="L1828" s="169"/>
    </row>
    <row r="1829" spans="12:12" x14ac:dyDescent="0.25">
      <c r="L1829" s="169"/>
    </row>
    <row r="1830" spans="12:12" x14ac:dyDescent="0.25">
      <c r="L1830" s="169"/>
    </row>
    <row r="1831" spans="12:12" x14ac:dyDescent="0.25">
      <c r="L1831" s="169"/>
    </row>
    <row r="1832" spans="12:12" x14ac:dyDescent="0.25">
      <c r="L1832" s="169"/>
    </row>
    <row r="1833" spans="12:12" x14ac:dyDescent="0.25">
      <c r="L1833" s="169"/>
    </row>
    <row r="1834" spans="12:12" x14ac:dyDescent="0.25">
      <c r="L1834" s="169"/>
    </row>
    <row r="1835" spans="12:12" x14ac:dyDescent="0.25">
      <c r="L1835" s="169"/>
    </row>
    <row r="1836" spans="12:12" x14ac:dyDescent="0.25">
      <c r="L1836" s="169"/>
    </row>
    <row r="1837" spans="12:12" x14ac:dyDescent="0.25">
      <c r="L1837" s="169"/>
    </row>
    <row r="1838" spans="12:12" x14ac:dyDescent="0.25">
      <c r="L1838" s="169"/>
    </row>
    <row r="1839" spans="12:12" x14ac:dyDescent="0.25">
      <c r="L1839" s="169"/>
    </row>
    <row r="1840" spans="12:12" x14ac:dyDescent="0.25">
      <c r="L1840" s="169"/>
    </row>
    <row r="1841" spans="12:12" x14ac:dyDescent="0.25">
      <c r="L1841" s="169"/>
    </row>
    <row r="1842" spans="12:12" x14ac:dyDescent="0.25">
      <c r="L1842" s="169"/>
    </row>
    <row r="1843" spans="12:12" x14ac:dyDescent="0.25">
      <c r="L1843" s="169"/>
    </row>
    <row r="1844" spans="12:12" x14ac:dyDescent="0.25">
      <c r="L1844" s="169"/>
    </row>
    <row r="1845" spans="12:12" x14ac:dyDescent="0.25">
      <c r="L1845" s="169"/>
    </row>
    <row r="1846" spans="12:12" x14ac:dyDescent="0.25">
      <c r="L1846" s="169"/>
    </row>
    <row r="1847" spans="12:12" x14ac:dyDescent="0.25">
      <c r="L1847" s="169"/>
    </row>
    <row r="1848" spans="12:12" x14ac:dyDescent="0.25">
      <c r="L1848" s="169"/>
    </row>
    <row r="1849" spans="12:12" x14ac:dyDescent="0.25">
      <c r="L1849" s="169"/>
    </row>
    <row r="1850" spans="12:12" x14ac:dyDescent="0.25">
      <c r="L1850" s="169"/>
    </row>
    <row r="1851" spans="12:12" x14ac:dyDescent="0.25">
      <c r="L1851" s="169"/>
    </row>
    <row r="1852" spans="12:12" x14ac:dyDescent="0.25">
      <c r="L1852" s="169"/>
    </row>
    <row r="1853" spans="12:12" x14ac:dyDescent="0.25">
      <c r="L1853" s="169"/>
    </row>
    <row r="1854" spans="12:12" x14ac:dyDescent="0.25">
      <c r="L1854" s="169"/>
    </row>
    <row r="1855" spans="12:12" x14ac:dyDescent="0.25">
      <c r="L1855" s="169"/>
    </row>
    <row r="1856" spans="12:12" x14ac:dyDescent="0.25">
      <c r="L1856" s="169"/>
    </row>
    <row r="1857" spans="12:12" x14ac:dyDescent="0.25">
      <c r="L1857" s="169"/>
    </row>
    <row r="1858" spans="12:12" x14ac:dyDescent="0.25">
      <c r="L1858" s="169"/>
    </row>
    <row r="1859" spans="12:12" x14ac:dyDescent="0.25">
      <c r="L1859" s="169"/>
    </row>
    <row r="1860" spans="12:12" x14ac:dyDescent="0.25">
      <c r="L1860" s="169"/>
    </row>
    <row r="1861" spans="12:12" x14ac:dyDescent="0.25">
      <c r="L1861" s="169"/>
    </row>
    <row r="1862" spans="12:12" x14ac:dyDescent="0.25">
      <c r="L1862" s="169"/>
    </row>
    <row r="1863" spans="12:12" x14ac:dyDescent="0.25">
      <c r="L1863" s="169"/>
    </row>
    <row r="1864" spans="12:12" x14ac:dyDescent="0.25">
      <c r="L1864" s="169"/>
    </row>
    <row r="1865" spans="12:12" x14ac:dyDescent="0.25">
      <c r="L1865" s="169"/>
    </row>
    <row r="1866" spans="12:12" x14ac:dyDescent="0.25">
      <c r="L1866" s="169"/>
    </row>
    <row r="1867" spans="12:12" x14ac:dyDescent="0.25">
      <c r="L1867" s="169"/>
    </row>
    <row r="1868" spans="12:12" x14ac:dyDescent="0.25">
      <c r="L1868" s="169"/>
    </row>
    <row r="1869" spans="12:12" x14ac:dyDescent="0.25">
      <c r="L1869" s="169"/>
    </row>
    <row r="1870" spans="12:12" x14ac:dyDescent="0.25">
      <c r="L1870" s="169"/>
    </row>
    <row r="1871" spans="12:12" x14ac:dyDescent="0.25">
      <c r="L1871" s="169"/>
    </row>
    <row r="1872" spans="12:12" x14ac:dyDescent="0.25">
      <c r="L1872" s="169"/>
    </row>
    <row r="1873" spans="12:12" x14ac:dyDescent="0.25">
      <c r="L1873" s="169"/>
    </row>
    <row r="1874" spans="12:12" x14ac:dyDescent="0.25">
      <c r="L1874" s="169"/>
    </row>
    <row r="1875" spans="12:12" x14ac:dyDescent="0.25">
      <c r="L1875" s="169"/>
    </row>
    <row r="1876" spans="12:12" x14ac:dyDescent="0.25">
      <c r="L1876" s="169"/>
    </row>
    <row r="1877" spans="12:12" x14ac:dyDescent="0.25">
      <c r="L1877" s="169"/>
    </row>
    <row r="1878" spans="12:12" x14ac:dyDescent="0.25">
      <c r="L1878" s="169"/>
    </row>
    <row r="1879" spans="12:12" x14ac:dyDescent="0.25">
      <c r="L1879" s="169"/>
    </row>
    <row r="1880" spans="12:12" x14ac:dyDescent="0.25">
      <c r="L1880" s="169"/>
    </row>
    <row r="1881" spans="12:12" x14ac:dyDescent="0.25">
      <c r="L1881" s="169"/>
    </row>
    <row r="1882" spans="12:12" x14ac:dyDescent="0.25">
      <c r="L1882" s="169"/>
    </row>
    <row r="1883" spans="12:12" x14ac:dyDescent="0.25">
      <c r="L1883" s="169"/>
    </row>
    <row r="1884" spans="12:12" x14ac:dyDescent="0.25">
      <c r="L1884" s="169"/>
    </row>
    <row r="1885" spans="12:12" x14ac:dyDescent="0.25">
      <c r="L1885" s="169"/>
    </row>
    <row r="1886" spans="12:12" x14ac:dyDescent="0.25">
      <c r="L1886" s="169"/>
    </row>
    <row r="1887" spans="12:12" x14ac:dyDescent="0.25">
      <c r="L1887" s="169"/>
    </row>
    <row r="1888" spans="12:12" x14ac:dyDescent="0.25">
      <c r="L1888" s="169"/>
    </row>
    <row r="1889" spans="12:12" x14ac:dyDescent="0.25">
      <c r="L1889" s="169"/>
    </row>
    <row r="1890" spans="12:12" x14ac:dyDescent="0.25">
      <c r="L1890" s="169"/>
    </row>
    <row r="1891" spans="12:12" x14ac:dyDescent="0.25">
      <c r="L1891" s="169"/>
    </row>
    <row r="1892" spans="12:12" x14ac:dyDescent="0.25">
      <c r="L1892" s="169"/>
    </row>
    <row r="1893" spans="12:12" x14ac:dyDescent="0.25">
      <c r="L1893" s="169"/>
    </row>
    <row r="1894" spans="12:12" x14ac:dyDescent="0.25">
      <c r="L1894" s="169"/>
    </row>
    <row r="1895" spans="12:12" x14ac:dyDescent="0.25">
      <c r="L1895" s="169"/>
    </row>
    <row r="1896" spans="12:12" x14ac:dyDescent="0.25">
      <c r="L1896" s="169"/>
    </row>
    <row r="1897" spans="12:12" x14ac:dyDescent="0.25">
      <c r="L1897" s="169"/>
    </row>
    <row r="1898" spans="12:12" x14ac:dyDescent="0.25">
      <c r="L1898" s="169"/>
    </row>
    <row r="1899" spans="12:12" x14ac:dyDescent="0.25">
      <c r="L1899" s="169"/>
    </row>
    <row r="1900" spans="12:12" x14ac:dyDescent="0.25">
      <c r="L1900" s="169"/>
    </row>
    <row r="1901" spans="12:12" x14ac:dyDescent="0.25">
      <c r="L1901" s="169"/>
    </row>
    <row r="1902" spans="12:12" x14ac:dyDescent="0.25">
      <c r="L1902" s="169"/>
    </row>
    <row r="1903" spans="12:12" x14ac:dyDescent="0.25">
      <c r="L1903" s="169"/>
    </row>
    <row r="1904" spans="12:12" x14ac:dyDescent="0.25">
      <c r="L1904" s="169"/>
    </row>
    <row r="1905" spans="12:12" x14ac:dyDescent="0.25">
      <c r="L1905" s="169"/>
    </row>
    <row r="1906" spans="12:12" x14ac:dyDescent="0.25">
      <c r="L1906" s="169"/>
    </row>
    <row r="1907" spans="12:12" x14ac:dyDescent="0.25">
      <c r="L1907" s="169"/>
    </row>
    <row r="1908" spans="12:12" x14ac:dyDescent="0.25">
      <c r="L1908" s="169"/>
    </row>
    <row r="1909" spans="12:12" x14ac:dyDescent="0.25">
      <c r="L1909" s="169"/>
    </row>
    <row r="1910" spans="12:12" x14ac:dyDescent="0.25">
      <c r="L1910" s="169"/>
    </row>
    <row r="1911" spans="12:12" x14ac:dyDescent="0.25">
      <c r="L1911" s="169"/>
    </row>
    <row r="1912" spans="12:12" x14ac:dyDescent="0.25">
      <c r="L1912" s="169"/>
    </row>
    <row r="1913" spans="12:12" x14ac:dyDescent="0.25">
      <c r="L1913" s="169"/>
    </row>
    <row r="1914" spans="12:12" x14ac:dyDescent="0.25">
      <c r="L1914" s="169"/>
    </row>
    <row r="1915" spans="12:12" x14ac:dyDescent="0.25">
      <c r="L1915" s="169"/>
    </row>
    <row r="1916" spans="12:12" x14ac:dyDescent="0.25">
      <c r="L1916" s="169"/>
    </row>
    <row r="1917" spans="12:12" x14ac:dyDescent="0.25">
      <c r="L1917" s="169"/>
    </row>
    <row r="1918" spans="12:12" x14ac:dyDescent="0.25">
      <c r="L1918" s="169"/>
    </row>
    <row r="1919" spans="12:12" x14ac:dyDescent="0.25">
      <c r="L1919" s="169"/>
    </row>
    <row r="1920" spans="12:12" x14ac:dyDescent="0.25">
      <c r="L1920" s="169"/>
    </row>
    <row r="1921" spans="12:12" x14ac:dyDescent="0.25">
      <c r="L1921" s="169"/>
    </row>
    <row r="1922" spans="12:12" x14ac:dyDescent="0.25">
      <c r="L1922" s="169"/>
    </row>
    <row r="1923" spans="12:12" x14ac:dyDescent="0.25">
      <c r="L1923" s="169"/>
    </row>
    <row r="1924" spans="12:12" x14ac:dyDescent="0.25">
      <c r="L1924" s="169"/>
    </row>
    <row r="1925" spans="12:12" x14ac:dyDescent="0.25">
      <c r="L1925" s="169"/>
    </row>
    <row r="1926" spans="12:12" x14ac:dyDescent="0.25">
      <c r="L1926" s="169"/>
    </row>
    <row r="1927" spans="12:12" x14ac:dyDescent="0.25">
      <c r="L1927" s="169"/>
    </row>
    <row r="1928" spans="12:12" x14ac:dyDescent="0.25">
      <c r="L1928" s="169"/>
    </row>
    <row r="1929" spans="12:12" x14ac:dyDescent="0.25">
      <c r="L1929" s="169"/>
    </row>
    <row r="1930" spans="12:12" x14ac:dyDescent="0.25">
      <c r="L1930" s="169"/>
    </row>
    <row r="1931" spans="12:12" x14ac:dyDescent="0.25">
      <c r="L1931" s="169"/>
    </row>
    <row r="1932" spans="12:12" x14ac:dyDescent="0.25">
      <c r="L1932" s="169"/>
    </row>
    <row r="1933" spans="12:12" x14ac:dyDescent="0.25">
      <c r="L1933" s="169"/>
    </row>
    <row r="1934" spans="12:12" x14ac:dyDescent="0.25">
      <c r="L1934" s="169"/>
    </row>
    <row r="1935" spans="12:12" x14ac:dyDescent="0.25">
      <c r="L1935" s="169"/>
    </row>
    <row r="1936" spans="12:12" x14ac:dyDescent="0.25">
      <c r="L1936" s="169"/>
    </row>
    <row r="1937" spans="12:12" x14ac:dyDescent="0.25">
      <c r="L1937" s="169"/>
    </row>
    <row r="1938" spans="12:12" x14ac:dyDescent="0.25">
      <c r="L1938" s="169"/>
    </row>
    <row r="1939" spans="12:12" x14ac:dyDescent="0.25">
      <c r="L1939" s="169"/>
    </row>
    <row r="1940" spans="12:12" x14ac:dyDescent="0.25">
      <c r="L1940" s="169"/>
    </row>
    <row r="1941" spans="12:12" x14ac:dyDescent="0.25">
      <c r="L1941" s="169"/>
    </row>
    <row r="1942" spans="12:12" x14ac:dyDescent="0.25">
      <c r="L1942" s="169"/>
    </row>
    <row r="1943" spans="12:12" x14ac:dyDescent="0.25">
      <c r="L1943" s="169"/>
    </row>
    <row r="1944" spans="12:12" x14ac:dyDescent="0.25">
      <c r="L1944" s="169"/>
    </row>
    <row r="1945" spans="12:12" x14ac:dyDescent="0.25">
      <c r="L1945" s="169"/>
    </row>
    <row r="1946" spans="12:12" x14ac:dyDescent="0.25">
      <c r="L1946" s="169"/>
    </row>
    <row r="1947" spans="12:12" x14ac:dyDescent="0.25">
      <c r="L1947" s="169"/>
    </row>
    <row r="1948" spans="12:12" x14ac:dyDescent="0.25">
      <c r="L1948" s="169"/>
    </row>
    <row r="1949" spans="12:12" x14ac:dyDescent="0.25">
      <c r="L1949" s="169"/>
    </row>
    <row r="1950" spans="12:12" x14ac:dyDescent="0.25">
      <c r="L1950" s="169"/>
    </row>
    <row r="1951" spans="12:12" x14ac:dyDescent="0.25">
      <c r="L1951" s="169"/>
    </row>
    <row r="1952" spans="12:12" x14ac:dyDescent="0.25">
      <c r="L1952" s="169"/>
    </row>
    <row r="1953" spans="12:12" x14ac:dyDescent="0.25">
      <c r="L1953" s="169"/>
    </row>
    <row r="1954" spans="12:12" x14ac:dyDescent="0.25">
      <c r="L1954" s="169"/>
    </row>
    <row r="1955" spans="12:12" x14ac:dyDescent="0.25">
      <c r="L1955" s="169"/>
    </row>
    <row r="1956" spans="12:12" x14ac:dyDescent="0.25">
      <c r="L1956" s="169"/>
    </row>
    <row r="1957" spans="12:12" x14ac:dyDescent="0.25">
      <c r="L1957" s="169"/>
    </row>
    <row r="1958" spans="12:12" x14ac:dyDescent="0.25">
      <c r="L1958" s="169"/>
    </row>
    <row r="1959" spans="12:12" x14ac:dyDescent="0.25">
      <c r="L1959" s="169"/>
    </row>
    <row r="1960" spans="12:12" x14ac:dyDescent="0.25">
      <c r="L1960" s="169"/>
    </row>
    <row r="1961" spans="12:12" x14ac:dyDescent="0.25">
      <c r="L1961" s="169"/>
    </row>
    <row r="1962" spans="12:12" x14ac:dyDescent="0.25">
      <c r="L1962" s="169"/>
    </row>
    <row r="1963" spans="12:12" x14ac:dyDescent="0.25">
      <c r="L1963" s="169"/>
    </row>
    <row r="1964" spans="12:12" x14ac:dyDescent="0.25">
      <c r="L1964" s="169"/>
    </row>
    <row r="1965" spans="12:12" x14ac:dyDescent="0.25">
      <c r="L1965" s="169"/>
    </row>
    <row r="1966" spans="12:12" x14ac:dyDescent="0.25">
      <c r="L1966" s="169"/>
    </row>
    <row r="1967" spans="12:12" x14ac:dyDescent="0.25">
      <c r="L1967" s="169"/>
    </row>
    <row r="1968" spans="12:12" x14ac:dyDescent="0.25">
      <c r="L1968" s="169"/>
    </row>
    <row r="1969" spans="12:12" x14ac:dyDescent="0.25">
      <c r="L1969" s="169"/>
    </row>
    <row r="1970" spans="12:12" x14ac:dyDescent="0.25">
      <c r="L1970" s="169"/>
    </row>
    <row r="1971" spans="12:12" x14ac:dyDescent="0.25">
      <c r="L1971" s="169"/>
    </row>
    <row r="1972" spans="12:12" x14ac:dyDescent="0.25">
      <c r="L1972" s="169"/>
    </row>
    <row r="1973" spans="12:12" x14ac:dyDescent="0.25">
      <c r="L1973" s="169"/>
    </row>
    <row r="1974" spans="12:12" x14ac:dyDescent="0.25">
      <c r="L1974" s="169"/>
    </row>
    <row r="1975" spans="12:12" x14ac:dyDescent="0.25">
      <c r="L1975" s="169"/>
    </row>
    <row r="1976" spans="12:12" x14ac:dyDescent="0.25">
      <c r="L1976" s="169"/>
    </row>
    <row r="1977" spans="12:12" x14ac:dyDescent="0.25">
      <c r="L1977" s="169"/>
    </row>
    <row r="1978" spans="12:12" x14ac:dyDescent="0.25">
      <c r="L1978" s="169"/>
    </row>
    <row r="1979" spans="12:12" x14ac:dyDescent="0.25">
      <c r="L1979" s="169"/>
    </row>
    <row r="1980" spans="12:12" x14ac:dyDescent="0.25">
      <c r="L1980" s="169"/>
    </row>
    <row r="1981" spans="12:12" x14ac:dyDescent="0.25">
      <c r="L1981" s="169"/>
    </row>
    <row r="1982" spans="12:12" x14ac:dyDescent="0.25">
      <c r="L1982" s="169"/>
    </row>
    <row r="1983" spans="12:12" x14ac:dyDescent="0.25">
      <c r="L1983" s="169"/>
    </row>
    <row r="1984" spans="12:12" x14ac:dyDescent="0.25">
      <c r="L1984" s="169"/>
    </row>
    <row r="1985" spans="12:12" x14ac:dyDescent="0.25">
      <c r="L1985" s="169"/>
    </row>
    <row r="1986" spans="12:12" x14ac:dyDescent="0.25">
      <c r="L1986" s="169"/>
    </row>
    <row r="1987" spans="12:12" x14ac:dyDescent="0.25">
      <c r="L1987" s="169"/>
    </row>
    <row r="1988" spans="12:12" x14ac:dyDescent="0.25">
      <c r="L1988" s="169"/>
    </row>
    <row r="1989" spans="12:12" x14ac:dyDescent="0.25">
      <c r="L1989" s="169"/>
    </row>
    <row r="1990" spans="12:12" x14ac:dyDescent="0.25">
      <c r="L1990" s="169"/>
    </row>
    <row r="1991" spans="12:12" x14ac:dyDescent="0.25">
      <c r="L1991" s="169"/>
    </row>
    <row r="1992" spans="12:12" x14ac:dyDescent="0.25">
      <c r="L1992" s="169"/>
    </row>
    <row r="1993" spans="12:12" x14ac:dyDescent="0.25">
      <c r="L1993" s="169"/>
    </row>
    <row r="1994" spans="12:12" x14ac:dyDescent="0.25">
      <c r="L1994" s="169"/>
    </row>
    <row r="1995" spans="12:12" x14ac:dyDescent="0.25">
      <c r="L1995" s="169"/>
    </row>
    <row r="1996" spans="12:12" x14ac:dyDescent="0.25">
      <c r="L1996" s="169"/>
    </row>
    <row r="1997" spans="12:12" x14ac:dyDescent="0.25">
      <c r="L1997" s="169"/>
    </row>
    <row r="1998" spans="12:12" x14ac:dyDescent="0.25">
      <c r="L1998" s="169"/>
    </row>
    <row r="1999" spans="12:12" x14ac:dyDescent="0.25">
      <c r="L1999" s="169"/>
    </row>
    <row r="2000" spans="12:12" x14ac:dyDescent="0.25">
      <c r="L2000" s="169"/>
    </row>
    <row r="2001" spans="12:12" x14ac:dyDescent="0.25">
      <c r="L2001" s="169"/>
    </row>
    <row r="2002" spans="12:12" x14ac:dyDescent="0.25">
      <c r="L2002" s="169"/>
    </row>
    <row r="2003" spans="12:12" x14ac:dyDescent="0.25">
      <c r="L2003" s="169"/>
    </row>
    <row r="2004" spans="12:12" x14ac:dyDescent="0.25">
      <c r="L2004" s="169"/>
    </row>
    <row r="2005" spans="12:12" x14ac:dyDescent="0.25">
      <c r="L2005" s="169"/>
    </row>
    <row r="2006" spans="12:12" x14ac:dyDescent="0.25">
      <c r="L2006" s="169"/>
    </row>
    <row r="2007" spans="12:12" x14ac:dyDescent="0.25">
      <c r="L2007" s="169"/>
    </row>
    <row r="2008" spans="12:12" x14ac:dyDescent="0.25">
      <c r="L2008" s="169"/>
    </row>
    <row r="2009" spans="12:12" x14ac:dyDescent="0.25">
      <c r="L2009" s="169"/>
    </row>
    <row r="2010" spans="12:12" x14ac:dyDescent="0.25">
      <c r="L2010" s="169"/>
    </row>
    <row r="2011" spans="12:12" x14ac:dyDescent="0.25">
      <c r="L2011" s="169"/>
    </row>
    <row r="2012" spans="12:12" x14ac:dyDescent="0.25">
      <c r="L2012" s="169"/>
    </row>
    <row r="2013" spans="12:12" x14ac:dyDescent="0.25">
      <c r="L2013" s="169"/>
    </row>
    <row r="2014" spans="12:12" x14ac:dyDescent="0.25">
      <c r="L2014" s="169"/>
    </row>
    <row r="2015" spans="12:12" x14ac:dyDescent="0.25">
      <c r="L2015" s="169"/>
    </row>
    <row r="2016" spans="12:12" x14ac:dyDescent="0.25">
      <c r="L2016" s="169"/>
    </row>
    <row r="2017" spans="12:12" x14ac:dyDescent="0.25">
      <c r="L2017" s="169"/>
    </row>
    <row r="2018" spans="12:12" x14ac:dyDescent="0.25">
      <c r="L2018" s="169"/>
    </row>
    <row r="2019" spans="12:12" x14ac:dyDescent="0.25">
      <c r="L2019" s="169"/>
    </row>
    <row r="2020" spans="12:12" x14ac:dyDescent="0.25">
      <c r="L2020" s="169"/>
    </row>
    <row r="2021" spans="12:12" x14ac:dyDescent="0.25">
      <c r="L2021" s="169"/>
    </row>
    <row r="2022" spans="12:12" x14ac:dyDescent="0.25">
      <c r="L2022" s="169"/>
    </row>
    <row r="2023" spans="12:12" x14ac:dyDescent="0.25">
      <c r="L2023" s="169"/>
    </row>
    <row r="2024" spans="12:12" x14ac:dyDescent="0.25">
      <c r="L2024" s="169"/>
    </row>
    <row r="2025" spans="12:12" x14ac:dyDescent="0.25">
      <c r="L2025" s="169"/>
    </row>
    <row r="2026" spans="12:12" x14ac:dyDescent="0.25">
      <c r="L2026" s="169"/>
    </row>
    <row r="2027" spans="12:12" x14ac:dyDescent="0.25">
      <c r="L2027" s="169"/>
    </row>
    <row r="2028" spans="12:12" x14ac:dyDescent="0.25">
      <c r="L2028" s="169"/>
    </row>
    <row r="2029" spans="12:12" x14ac:dyDescent="0.25">
      <c r="L2029" s="169"/>
    </row>
    <row r="2030" spans="12:12" x14ac:dyDescent="0.25">
      <c r="L2030" s="169"/>
    </row>
    <row r="2031" spans="12:12" x14ac:dyDescent="0.25">
      <c r="L2031" s="169"/>
    </row>
    <row r="2032" spans="12:12" x14ac:dyDescent="0.25">
      <c r="L2032" s="169"/>
    </row>
    <row r="2033" spans="12:12" x14ac:dyDescent="0.25">
      <c r="L2033" s="169"/>
    </row>
    <row r="2034" spans="12:12" x14ac:dyDescent="0.25">
      <c r="L2034" s="169"/>
    </row>
    <row r="2035" spans="12:12" x14ac:dyDescent="0.25">
      <c r="L2035" s="169"/>
    </row>
    <row r="2036" spans="12:12" x14ac:dyDescent="0.25">
      <c r="L2036" s="169"/>
    </row>
    <row r="2037" spans="12:12" x14ac:dyDescent="0.25">
      <c r="L2037" s="169"/>
    </row>
    <row r="2038" spans="12:12" x14ac:dyDescent="0.25">
      <c r="L2038" s="169"/>
    </row>
    <row r="2039" spans="12:12" x14ac:dyDescent="0.25">
      <c r="L2039" s="169"/>
    </row>
    <row r="2040" spans="12:12" x14ac:dyDescent="0.25">
      <c r="L2040" s="169"/>
    </row>
    <row r="2041" spans="12:12" x14ac:dyDescent="0.25">
      <c r="L2041" s="169"/>
    </row>
    <row r="2042" spans="12:12" x14ac:dyDescent="0.25">
      <c r="L2042" s="169"/>
    </row>
    <row r="2043" spans="12:12" x14ac:dyDescent="0.25">
      <c r="L2043" s="169"/>
    </row>
    <row r="2044" spans="12:12" x14ac:dyDescent="0.25">
      <c r="L2044" s="169"/>
    </row>
    <row r="2045" spans="12:12" x14ac:dyDescent="0.25">
      <c r="L2045" s="169"/>
    </row>
    <row r="2046" spans="12:12" x14ac:dyDescent="0.25">
      <c r="L2046" s="169"/>
    </row>
    <row r="2047" spans="12:12" x14ac:dyDescent="0.25">
      <c r="L2047" s="169"/>
    </row>
    <row r="2048" spans="12:12" x14ac:dyDescent="0.25">
      <c r="L2048" s="169"/>
    </row>
    <row r="2049" spans="12:12" x14ac:dyDescent="0.25">
      <c r="L2049" s="169"/>
    </row>
    <row r="2050" spans="12:12" x14ac:dyDescent="0.25">
      <c r="L2050" s="169"/>
    </row>
    <row r="2051" spans="12:12" x14ac:dyDescent="0.25">
      <c r="L2051" s="169"/>
    </row>
    <row r="2052" spans="12:12" x14ac:dyDescent="0.25">
      <c r="L2052" s="169"/>
    </row>
    <row r="2053" spans="12:12" x14ac:dyDescent="0.25">
      <c r="L2053" s="169"/>
    </row>
    <row r="2054" spans="12:12" x14ac:dyDescent="0.25">
      <c r="L2054" s="169"/>
    </row>
    <row r="2055" spans="12:12" x14ac:dyDescent="0.25">
      <c r="L2055" s="169"/>
    </row>
    <row r="2056" spans="12:12" x14ac:dyDescent="0.25">
      <c r="L2056" s="169"/>
    </row>
    <row r="2057" spans="12:12" x14ac:dyDescent="0.25">
      <c r="L2057" s="169"/>
    </row>
    <row r="2058" spans="12:12" x14ac:dyDescent="0.25">
      <c r="L2058" s="169"/>
    </row>
    <row r="2059" spans="12:12" x14ac:dyDescent="0.25">
      <c r="L2059" s="169"/>
    </row>
    <row r="2060" spans="12:12" x14ac:dyDescent="0.25">
      <c r="L2060" s="169"/>
    </row>
    <row r="2061" spans="12:12" x14ac:dyDescent="0.25">
      <c r="L2061" s="169"/>
    </row>
    <row r="2062" spans="12:12" x14ac:dyDescent="0.25">
      <c r="L2062" s="169"/>
    </row>
    <row r="2063" spans="12:12" x14ac:dyDescent="0.25">
      <c r="L2063" s="169"/>
    </row>
    <row r="2064" spans="12:12" x14ac:dyDescent="0.25">
      <c r="L2064" s="169"/>
    </row>
    <row r="2065" spans="12:12" x14ac:dyDescent="0.25">
      <c r="L2065" s="169"/>
    </row>
    <row r="2066" spans="12:12" x14ac:dyDescent="0.25">
      <c r="L2066" s="169"/>
    </row>
    <row r="2067" spans="12:12" x14ac:dyDescent="0.25">
      <c r="L2067" s="169"/>
    </row>
    <row r="2068" spans="12:12" x14ac:dyDescent="0.25">
      <c r="L2068" s="169"/>
    </row>
    <row r="2069" spans="12:12" x14ac:dyDescent="0.25">
      <c r="L2069" s="169"/>
    </row>
    <row r="2070" spans="12:12" x14ac:dyDescent="0.25">
      <c r="L2070" s="169"/>
    </row>
    <row r="2071" spans="12:12" x14ac:dyDescent="0.25">
      <c r="L2071" s="169"/>
    </row>
    <row r="2072" spans="12:12" x14ac:dyDescent="0.25">
      <c r="L2072" s="169"/>
    </row>
    <row r="2073" spans="12:12" x14ac:dyDescent="0.25">
      <c r="L2073" s="169"/>
    </row>
    <row r="2074" spans="12:12" x14ac:dyDescent="0.25">
      <c r="L2074" s="169"/>
    </row>
    <row r="2075" spans="12:12" x14ac:dyDescent="0.25">
      <c r="L2075" s="169"/>
    </row>
    <row r="2076" spans="12:12" x14ac:dyDescent="0.25">
      <c r="L2076" s="169"/>
    </row>
    <row r="2077" spans="12:12" x14ac:dyDescent="0.25">
      <c r="L2077" s="169"/>
    </row>
    <row r="2078" spans="12:12" x14ac:dyDescent="0.25">
      <c r="L2078" s="169"/>
    </row>
    <row r="2079" spans="12:12" x14ac:dyDescent="0.25">
      <c r="L2079" s="169"/>
    </row>
    <row r="2080" spans="12:12" x14ac:dyDescent="0.25">
      <c r="L2080" s="169"/>
    </row>
    <row r="2081" spans="12:12" x14ac:dyDescent="0.25">
      <c r="L2081" s="169"/>
    </row>
    <row r="2082" spans="12:12" x14ac:dyDescent="0.25">
      <c r="L2082" s="169"/>
    </row>
    <row r="2083" spans="12:12" x14ac:dyDescent="0.25">
      <c r="L2083" s="169"/>
    </row>
    <row r="2084" spans="12:12" x14ac:dyDescent="0.25">
      <c r="L2084" s="169"/>
    </row>
    <row r="2085" spans="12:12" x14ac:dyDescent="0.25">
      <c r="L2085" s="169"/>
    </row>
    <row r="2086" spans="12:12" x14ac:dyDescent="0.25">
      <c r="L2086" s="169"/>
    </row>
    <row r="2087" spans="12:12" x14ac:dyDescent="0.25">
      <c r="L2087" s="169"/>
    </row>
    <row r="2088" spans="12:12" x14ac:dyDescent="0.25">
      <c r="L2088" s="169"/>
    </row>
    <row r="2089" spans="12:12" x14ac:dyDescent="0.25">
      <c r="L2089" s="169"/>
    </row>
    <row r="2090" spans="12:12" x14ac:dyDescent="0.25">
      <c r="L2090" s="169"/>
    </row>
    <row r="2091" spans="12:12" x14ac:dyDescent="0.25">
      <c r="L2091" s="169"/>
    </row>
    <row r="2092" spans="12:12" x14ac:dyDescent="0.25">
      <c r="L2092" s="169"/>
    </row>
    <row r="2093" spans="12:12" x14ac:dyDescent="0.25">
      <c r="L2093" s="169"/>
    </row>
    <row r="2094" spans="12:12" x14ac:dyDescent="0.25">
      <c r="L2094" s="169"/>
    </row>
    <row r="2095" spans="12:12" x14ac:dyDescent="0.25">
      <c r="L2095" s="169"/>
    </row>
    <row r="2096" spans="12:12" x14ac:dyDescent="0.25">
      <c r="L2096" s="169"/>
    </row>
    <row r="2097" spans="12:12" x14ac:dyDescent="0.25">
      <c r="L2097" s="169"/>
    </row>
    <row r="2098" spans="12:12" x14ac:dyDescent="0.25">
      <c r="L2098" s="169"/>
    </row>
    <row r="2099" spans="12:12" x14ac:dyDescent="0.25">
      <c r="L2099" s="169"/>
    </row>
    <row r="2100" spans="12:12" x14ac:dyDescent="0.25">
      <c r="L2100" s="169"/>
    </row>
    <row r="2101" spans="12:12" x14ac:dyDescent="0.25">
      <c r="L2101" s="169"/>
    </row>
    <row r="2102" spans="12:12" x14ac:dyDescent="0.25">
      <c r="L2102" s="169"/>
    </row>
    <row r="2103" spans="12:12" x14ac:dyDescent="0.25">
      <c r="L2103" s="169"/>
    </row>
    <row r="2104" spans="12:12" x14ac:dyDescent="0.25">
      <c r="L2104" s="169"/>
    </row>
    <row r="2105" spans="12:12" x14ac:dyDescent="0.25">
      <c r="L2105" s="169"/>
    </row>
    <row r="2106" spans="12:12" x14ac:dyDescent="0.25">
      <c r="L2106" s="169"/>
    </row>
    <row r="2107" spans="12:12" x14ac:dyDescent="0.25">
      <c r="L2107" s="169"/>
    </row>
    <row r="2108" spans="12:12" x14ac:dyDescent="0.25">
      <c r="L2108" s="169"/>
    </row>
    <row r="2109" spans="12:12" x14ac:dyDescent="0.25">
      <c r="L2109" s="169"/>
    </row>
    <row r="2110" spans="12:12" x14ac:dyDescent="0.25">
      <c r="L2110" s="169"/>
    </row>
    <row r="2111" spans="12:12" x14ac:dyDescent="0.25">
      <c r="L2111" s="169"/>
    </row>
    <row r="2112" spans="12:12" x14ac:dyDescent="0.25">
      <c r="L2112" s="169"/>
    </row>
    <row r="2113" spans="12:12" x14ac:dyDescent="0.25">
      <c r="L2113" s="169"/>
    </row>
    <row r="2114" spans="12:12" x14ac:dyDescent="0.25">
      <c r="L2114" s="169"/>
    </row>
    <row r="2115" spans="12:12" x14ac:dyDescent="0.25">
      <c r="L2115" s="169"/>
    </row>
    <row r="2116" spans="12:12" x14ac:dyDescent="0.25">
      <c r="L2116" s="169"/>
    </row>
    <row r="2117" spans="12:12" x14ac:dyDescent="0.25">
      <c r="L2117" s="169"/>
    </row>
    <row r="2118" spans="12:12" x14ac:dyDescent="0.25">
      <c r="L2118" s="169"/>
    </row>
    <row r="2119" spans="12:12" x14ac:dyDescent="0.25">
      <c r="L2119" s="169"/>
    </row>
    <row r="2120" spans="12:12" x14ac:dyDescent="0.25">
      <c r="L2120" s="169"/>
    </row>
    <row r="2121" spans="12:12" x14ac:dyDescent="0.25">
      <c r="L2121" s="169"/>
    </row>
    <row r="2122" spans="12:12" x14ac:dyDescent="0.25">
      <c r="L2122" s="169"/>
    </row>
    <row r="2123" spans="12:12" x14ac:dyDescent="0.25">
      <c r="L2123" s="169"/>
    </row>
    <row r="2124" spans="12:12" x14ac:dyDescent="0.25">
      <c r="L2124" s="169"/>
    </row>
    <row r="2125" spans="12:12" x14ac:dyDescent="0.25">
      <c r="L2125" s="169"/>
    </row>
    <row r="2126" spans="12:12" x14ac:dyDescent="0.25">
      <c r="L2126" s="169"/>
    </row>
    <row r="2127" spans="12:12" x14ac:dyDescent="0.25">
      <c r="L2127" s="169"/>
    </row>
    <row r="2128" spans="12:12" x14ac:dyDescent="0.25">
      <c r="L2128" s="169"/>
    </row>
    <row r="2129" spans="12:12" x14ac:dyDescent="0.25">
      <c r="L2129" s="169"/>
    </row>
    <row r="2130" spans="12:12" x14ac:dyDescent="0.25">
      <c r="L2130" s="169"/>
    </row>
    <row r="2131" spans="12:12" x14ac:dyDescent="0.25">
      <c r="L2131" s="169"/>
    </row>
    <row r="2132" spans="12:12" x14ac:dyDescent="0.25">
      <c r="L2132" s="169"/>
    </row>
    <row r="2133" spans="12:12" x14ac:dyDescent="0.25">
      <c r="L2133" s="169"/>
    </row>
    <row r="2134" spans="12:12" x14ac:dyDescent="0.25">
      <c r="L2134" s="169"/>
    </row>
    <row r="2135" spans="12:12" x14ac:dyDescent="0.25">
      <c r="L2135" s="169"/>
    </row>
    <row r="2136" spans="12:12" x14ac:dyDescent="0.25">
      <c r="L2136" s="169"/>
    </row>
    <row r="2137" spans="12:12" x14ac:dyDescent="0.25">
      <c r="L2137" s="169"/>
    </row>
    <row r="2138" spans="12:12" x14ac:dyDescent="0.25">
      <c r="L2138" s="169"/>
    </row>
    <row r="2139" spans="12:12" x14ac:dyDescent="0.25">
      <c r="L2139" s="169"/>
    </row>
    <row r="2140" spans="12:12" x14ac:dyDescent="0.25">
      <c r="L2140" s="169"/>
    </row>
    <row r="2141" spans="12:12" x14ac:dyDescent="0.25">
      <c r="L2141" s="169"/>
    </row>
    <row r="2142" spans="12:12" x14ac:dyDescent="0.25">
      <c r="L2142" s="169"/>
    </row>
    <row r="2143" spans="12:12" x14ac:dyDescent="0.25">
      <c r="L2143" s="169"/>
    </row>
    <row r="2144" spans="12:12" x14ac:dyDescent="0.25">
      <c r="L2144" s="169"/>
    </row>
    <row r="2145" spans="12:12" x14ac:dyDescent="0.25">
      <c r="L2145" s="169"/>
    </row>
    <row r="2146" spans="12:12" x14ac:dyDescent="0.25">
      <c r="L2146" s="169"/>
    </row>
    <row r="2147" spans="12:12" x14ac:dyDescent="0.25">
      <c r="L2147" s="169"/>
    </row>
    <row r="2148" spans="12:12" x14ac:dyDescent="0.25">
      <c r="L2148" s="169"/>
    </row>
    <row r="2149" spans="12:12" x14ac:dyDescent="0.25">
      <c r="L2149" s="169"/>
    </row>
    <row r="2150" spans="12:12" x14ac:dyDescent="0.25">
      <c r="L2150" s="169"/>
    </row>
    <row r="2151" spans="12:12" x14ac:dyDescent="0.25">
      <c r="L2151" s="169"/>
    </row>
    <row r="2152" spans="12:12" x14ac:dyDescent="0.25">
      <c r="L2152" s="169"/>
    </row>
    <row r="2153" spans="12:12" x14ac:dyDescent="0.25">
      <c r="L2153" s="169"/>
    </row>
    <row r="2154" spans="12:12" x14ac:dyDescent="0.25">
      <c r="L2154" s="169"/>
    </row>
    <row r="2155" spans="12:12" x14ac:dyDescent="0.25">
      <c r="L2155" s="169"/>
    </row>
    <row r="2156" spans="12:12" x14ac:dyDescent="0.25">
      <c r="L2156" s="169"/>
    </row>
    <row r="2157" spans="12:12" x14ac:dyDescent="0.25">
      <c r="L2157" s="169"/>
    </row>
    <row r="2158" spans="12:12" x14ac:dyDescent="0.25">
      <c r="L2158" s="169"/>
    </row>
    <row r="2159" spans="12:12" x14ac:dyDescent="0.25">
      <c r="L2159" s="169"/>
    </row>
    <row r="2160" spans="12:12" x14ac:dyDescent="0.25">
      <c r="L2160" s="169"/>
    </row>
    <row r="2161" spans="12:12" x14ac:dyDescent="0.25">
      <c r="L2161" s="169"/>
    </row>
    <row r="2162" spans="12:12" x14ac:dyDescent="0.25">
      <c r="L2162" s="169"/>
    </row>
    <row r="2163" spans="12:12" x14ac:dyDescent="0.25">
      <c r="L2163" s="169"/>
    </row>
    <row r="2164" spans="12:12" x14ac:dyDescent="0.25">
      <c r="L2164" s="169"/>
    </row>
    <row r="2165" spans="12:12" x14ac:dyDescent="0.25">
      <c r="L2165" s="169"/>
    </row>
    <row r="2166" spans="12:12" x14ac:dyDescent="0.25">
      <c r="L2166" s="169"/>
    </row>
    <row r="2167" spans="12:12" x14ac:dyDescent="0.25">
      <c r="L2167" s="169"/>
    </row>
    <row r="2168" spans="12:12" x14ac:dyDescent="0.25">
      <c r="L2168" s="169"/>
    </row>
    <row r="2169" spans="12:12" x14ac:dyDescent="0.25">
      <c r="L2169" s="169"/>
    </row>
    <row r="2170" spans="12:12" x14ac:dyDescent="0.25">
      <c r="L2170" s="169"/>
    </row>
    <row r="2171" spans="12:12" x14ac:dyDescent="0.25">
      <c r="L2171" s="169"/>
    </row>
    <row r="2172" spans="12:12" x14ac:dyDescent="0.25">
      <c r="L2172" s="169"/>
    </row>
    <row r="2173" spans="12:12" x14ac:dyDescent="0.25">
      <c r="L2173" s="169"/>
    </row>
    <row r="2174" spans="12:12" x14ac:dyDescent="0.25">
      <c r="L2174" s="169"/>
    </row>
    <row r="2175" spans="12:12" x14ac:dyDescent="0.25">
      <c r="L2175" s="169"/>
    </row>
    <row r="2176" spans="12:12" x14ac:dyDescent="0.25">
      <c r="L2176" s="169"/>
    </row>
    <row r="2177" spans="12:12" x14ac:dyDescent="0.25">
      <c r="L2177" s="169"/>
    </row>
    <row r="2178" spans="12:12" x14ac:dyDescent="0.25">
      <c r="L2178" s="169"/>
    </row>
    <row r="2179" spans="12:12" x14ac:dyDescent="0.25">
      <c r="L2179" s="169"/>
    </row>
    <row r="2180" spans="12:12" x14ac:dyDescent="0.25">
      <c r="L2180" s="169"/>
    </row>
    <row r="2181" spans="12:12" x14ac:dyDescent="0.25">
      <c r="L2181" s="169"/>
    </row>
    <row r="2182" spans="12:12" x14ac:dyDescent="0.25">
      <c r="L2182" s="169"/>
    </row>
    <row r="2183" spans="12:12" x14ac:dyDescent="0.25">
      <c r="L2183" s="169"/>
    </row>
    <row r="2184" spans="12:12" x14ac:dyDescent="0.25">
      <c r="L2184" s="169"/>
    </row>
    <row r="2185" spans="12:12" x14ac:dyDescent="0.25">
      <c r="L2185" s="169"/>
    </row>
    <row r="2186" spans="12:12" x14ac:dyDescent="0.25">
      <c r="L2186" s="169"/>
    </row>
    <row r="2187" spans="12:12" x14ac:dyDescent="0.25">
      <c r="L2187" s="169"/>
    </row>
    <row r="2188" spans="12:12" x14ac:dyDescent="0.25">
      <c r="L2188" s="169"/>
    </row>
    <row r="2189" spans="12:12" x14ac:dyDescent="0.25">
      <c r="L2189" s="169"/>
    </row>
    <row r="2190" spans="12:12" x14ac:dyDescent="0.25">
      <c r="L2190" s="169"/>
    </row>
    <row r="2191" spans="12:12" x14ac:dyDescent="0.25">
      <c r="L2191" s="169"/>
    </row>
    <row r="2192" spans="12:12" x14ac:dyDescent="0.25">
      <c r="L2192" s="169"/>
    </row>
    <row r="2193" spans="12:12" x14ac:dyDescent="0.25">
      <c r="L2193" s="169"/>
    </row>
    <row r="2194" spans="12:12" x14ac:dyDescent="0.25">
      <c r="L2194" s="169"/>
    </row>
    <row r="2195" spans="12:12" x14ac:dyDescent="0.25">
      <c r="L2195" s="169"/>
    </row>
    <row r="2196" spans="12:12" x14ac:dyDescent="0.25">
      <c r="L2196" s="169"/>
    </row>
    <row r="2197" spans="12:12" x14ac:dyDescent="0.25">
      <c r="L2197" s="169"/>
    </row>
    <row r="2198" spans="12:12" x14ac:dyDescent="0.25">
      <c r="L2198" s="169"/>
    </row>
    <row r="2199" spans="12:12" x14ac:dyDescent="0.25">
      <c r="L2199" s="169"/>
    </row>
    <row r="2200" spans="12:12" x14ac:dyDescent="0.25">
      <c r="L2200" s="169"/>
    </row>
    <row r="2201" spans="12:12" x14ac:dyDescent="0.25">
      <c r="L2201" s="169"/>
    </row>
    <row r="2202" spans="12:12" x14ac:dyDescent="0.25">
      <c r="L2202" s="169"/>
    </row>
    <row r="2203" spans="12:12" x14ac:dyDescent="0.25">
      <c r="L2203" s="169"/>
    </row>
    <row r="2204" spans="12:12" x14ac:dyDescent="0.25">
      <c r="L2204" s="169"/>
    </row>
    <row r="2205" spans="12:12" x14ac:dyDescent="0.25">
      <c r="L2205" s="169"/>
    </row>
    <row r="2206" spans="12:12" x14ac:dyDescent="0.25">
      <c r="L2206" s="169"/>
    </row>
    <row r="2207" spans="12:12" x14ac:dyDescent="0.25">
      <c r="L2207" s="169"/>
    </row>
    <row r="2208" spans="12:12" x14ac:dyDescent="0.25">
      <c r="L2208" s="169"/>
    </row>
    <row r="2209" spans="12:12" x14ac:dyDescent="0.25">
      <c r="L2209" s="169"/>
    </row>
    <row r="2210" spans="12:12" x14ac:dyDescent="0.25">
      <c r="L2210" s="169"/>
    </row>
    <row r="2211" spans="12:12" x14ac:dyDescent="0.25">
      <c r="L2211" s="169"/>
    </row>
    <row r="2212" spans="12:12" x14ac:dyDescent="0.25">
      <c r="L2212" s="169"/>
    </row>
    <row r="2213" spans="12:12" x14ac:dyDescent="0.25">
      <c r="L2213" s="169"/>
    </row>
    <row r="2214" spans="12:12" x14ac:dyDescent="0.25">
      <c r="L2214" s="169"/>
    </row>
    <row r="2215" spans="12:12" x14ac:dyDescent="0.25">
      <c r="L2215" s="169"/>
    </row>
    <row r="2216" spans="12:12" x14ac:dyDescent="0.25">
      <c r="L2216" s="169"/>
    </row>
    <row r="2217" spans="12:12" x14ac:dyDescent="0.25">
      <c r="L2217" s="169"/>
    </row>
    <row r="2218" spans="12:12" x14ac:dyDescent="0.25">
      <c r="L2218" s="169"/>
    </row>
    <row r="2219" spans="12:12" x14ac:dyDescent="0.25">
      <c r="L2219" s="169"/>
    </row>
    <row r="2220" spans="12:12" x14ac:dyDescent="0.25">
      <c r="L2220" s="169"/>
    </row>
    <row r="2221" spans="12:12" x14ac:dyDescent="0.25">
      <c r="L2221" s="169"/>
    </row>
    <row r="2222" spans="12:12" x14ac:dyDescent="0.25">
      <c r="L2222" s="169"/>
    </row>
    <row r="2223" spans="12:12" x14ac:dyDescent="0.25">
      <c r="L2223" s="169"/>
    </row>
    <row r="2224" spans="12:12" x14ac:dyDescent="0.25">
      <c r="L2224" s="169"/>
    </row>
    <row r="2225" spans="12:12" x14ac:dyDescent="0.25">
      <c r="L2225" s="169"/>
    </row>
    <row r="2226" spans="12:12" x14ac:dyDescent="0.25">
      <c r="L2226" s="169"/>
    </row>
    <row r="2227" spans="12:12" x14ac:dyDescent="0.25">
      <c r="L2227" s="169"/>
    </row>
    <row r="2228" spans="12:12" x14ac:dyDescent="0.25">
      <c r="L2228" s="169"/>
    </row>
    <row r="2229" spans="12:12" x14ac:dyDescent="0.25">
      <c r="L2229" s="169"/>
    </row>
    <row r="2230" spans="12:12" x14ac:dyDescent="0.25">
      <c r="L2230" s="169"/>
    </row>
    <row r="2231" spans="12:12" x14ac:dyDescent="0.25">
      <c r="L2231" s="169"/>
    </row>
    <row r="2232" spans="12:12" x14ac:dyDescent="0.25">
      <c r="L2232" s="169"/>
    </row>
    <row r="2233" spans="12:12" x14ac:dyDescent="0.25">
      <c r="L2233" s="169"/>
    </row>
    <row r="2234" spans="12:12" x14ac:dyDescent="0.25">
      <c r="L2234" s="169"/>
    </row>
    <row r="2235" spans="12:12" x14ac:dyDescent="0.25">
      <c r="L2235" s="169"/>
    </row>
    <row r="2236" spans="12:12" x14ac:dyDescent="0.25">
      <c r="L2236" s="169"/>
    </row>
    <row r="2237" spans="12:12" x14ac:dyDescent="0.25">
      <c r="L2237" s="169"/>
    </row>
    <row r="2238" spans="12:12" x14ac:dyDescent="0.25">
      <c r="L2238" s="169"/>
    </row>
    <row r="2239" spans="12:12" x14ac:dyDescent="0.25">
      <c r="L2239" s="169"/>
    </row>
    <row r="2240" spans="12:12" x14ac:dyDescent="0.25">
      <c r="L2240" s="169"/>
    </row>
    <row r="2241" spans="12:12" x14ac:dyDescent="0.25">
      <c r="L2241" s="169"/>
    </row>
    <row r="2242" spans="12:12" x14ac:dyDescent="0.25">
      <c r="L2242" s="169"/>
    </row>
    <row r="2243" spans="12:12" x14ac:dyDescent="0.25">
      <c r="L2243" s="169"/>
    </row>
    <row r="2244" spans="12:12" x14ac:dyDescent="0.25">
      <c r="L2244" s="169"/>
    </row>
    <row r="2245" spans="12:12" x14ac:dyDescent="0.25">
      <c r="L2245" s="169"/>
    </row>
    <row r="2246" spans="12:12" x14ac:dyDescent="0.25">
      <c r="L2246" s="169"/>
    </row>
    <row r="2247" spans="12:12" x14ac:dyDescent="0.25">
      <c r="L2247" s="169"/>
    </row>
    <row r="2248" spans="12:12" x14ac:dyDescent="0.25">
      <c r="L2248" s="169"/>
    </row>
    <row r="2249" spans="12:12" x14ac:dyDescent="0.25">
      <c r="L2249" s="169"/>
    </row>
    <row r="2250" spans="12:12" x14ac:dyDescent="0.25">
      <c r="L2250" s="169"/>
    </row>
    <row r="2251" spans="12:12" x14ac:dyDescent="0.25">
      <c r="L2251" s="169"/>
    </row>
    <row r="2252" spans="12:12" x14ac:dyDescent="0.25">
      <c r="L2252" s="169"/>
    </row>
    <row r="2253" spans="12:12" x14ac:dyDescent="0.25">
      <c r="L2253" s="169"/>
    </row>
    <row r="2254" spans="12:12" x14ac:dyDescent="0.25">
      <c r="L2254" s="169"/>
    </row>
    <row r="2255" spans="12:12" x14ac:dyDescent="0.25">
      <c r="L2255" s="169"/>
    </row>
    <row r="2256" spans="12:12" x14ac:dyDescent="0.25">
      <c r="L2256" s="169"/>
    </row>
    <row r="2257" spans="12:12" x14ac:dyDescent="0.25">
      <c r="L2257" s="169"/>
    </row>
    <row r="2258" spans="12:12" x14ac:dyDescent="0.25">
      <c r="L2258" s="169"/>
    </row>
    <row r="2259" spans="12:12" x14ac:dyDescent="0.25">
      <c r="L2259" s="169"/>
    </row>
    <row r="2260" spans="12:12" x14ac:dyDescent="0.25">
      <c r="L2260" s="169"/>
    </row>
    <row r="2261" spans="12:12" x14ac:dyDescent="0.25">
      <c r="L2261" s="169"/>
    </row>
    <row r="2262" spans="12:12" x14ac:dyDescent="0.25">
      <c r="L2262" s="169"/>
    </row>
    <row r="2263" spans="12:12" x14ac:dyDescent="0.25">
      <c r="L2263" s="169"/>
    </row>
    <row r="2264" spans="12:12" x14ac:dyDescent="0.25">
      <c r="L2264" s="169"/>
    </row>
    <row r="2265" spans="12:12" x14ac:dyDescent="0.25">
      <c r="L2265" s="169"/>
    </row>
    <row r="2266" spans="12:12" x14ac:dyDescent="0.25">
      <c r="L2266" s="169"/>
    </row>
    <row r="2267" spans="12:12" x14ac:dyDescent="0.25">
      <c r="L2267" s="169"/>
    </row>
    <row r="2268" spans="12:12" x14ac:dyDescent="0.25">
      <c r="L2268" s="169"/>
    </row>
    <row r="2269" spans="12:12" x14ac:dyDescent="0.25">
      <c r="L2269" s="169"/>
    </row>
    <row r="2270" spans="12:12" x14ac:dyDescent="0.25">
      <c r="L2270" s="169"/>
    </row>
    <row r="2271" spans="12:12" x14ac:dyDescent="0.25">
      <c r="L2271" s="169"/>
    </row>
    <row r="2272" spans="12:12" x14ac:dyDescent="0.25">
      <c r="L2272" s="169"/>
    </row>
    <row r="2273" spans="12:12" x14ac:dyDescent="0.25">
      <c r="L2273" s="169"/>
    </row>
    <row r="2274" spans="12:12" x14ac:dyDescent="0.25">
      <c r="L2274" s="169"/>
    </row>
    <row r="2275" spans="12:12" x14ac:dyDescent="0.25">
      <c r="L2275" s="169"/>
    </row>
    <row r="2276" spans="12:12" x14ac:dyDescent="0.25">
      <c r="L2276" s="169"/>
    </row>
    <row r="2277" spans="12:12" x14ac:dyDescent="0.25">
      <c r="L2277" s="169"/>
    </row>
    <row r="2278" spans="12:12" x14ac:dyDescent="0.25">
      <c r="L2278" s="169"/>
    </row>
    <row r="2279" spans="12:12" x14ac:dyDescent="0.25">
      <c r="L2279" s="169"/>
    </row>
    <row r="2280" spans="12:12" x14ac:dyDescent="0.25">
      <c r="L2280" s="169"/>
    </row>
    <row r="2281" spans="12:12" x14ac:dyDescent="0.25">
      <c r="L2281" s="169"/>
    </row>
    <row r="2282" spans="12:12" x14ac:dyDescent="0.25">
      <c r="L2282" s="169"/>
    </row>
    <row r="2283" spans="12:12" x14ac:dyDescent="0.25">
      <c r="L2283" s="169"/>
    </row>
    <row r="2284" spans="12:12" x14ac:dyDescent="0.25">
      <c r="L2284" s="169"/>
    </row>
    <row r="2285" spans="12:12" x14ac:dyDescent="0.25">
      <c r="L2285" s="169"/>
    </row>
    <row r="2286" spans="12:12" x14ac:dyDescent="0.25">
      <c r="L2286" s="169"/>
    </row>
    <row r="2287" spans="12:12" x14ac:dyDescent="0.25">
      <c r="L2287" s="169"/>
    </row>
    <row r="2288" spans="12:12" x14ac:dyDescent="0.25">
      <c r="L2288" s="169"/>
    </row>
    <row r="2289" spans="12:12" x14ac:dyDescent="0.25">
      <c r="L2289" s="169"/>
    </row>
    <row r="2290" spans="12:12" x14ac:dyDescent="0.25">
      <c r="L2290" s="169"/>
    </row>
    <row r="2291" spans="12:12" x14ac:dyDescent="0.25">
      <c r="L2291" s="169"/>
    </row>
    <row r="2292" spans="12:12" x14ac:dyDescent="0.25">
      <c r="L2292" s="169"/>
    </row>
    <row r="2293" spans="12:12" x14ac:dyDescent="0.25">
      <c r="L2293" s="169"/>
    </row>
    <row r="2294" spans="12:12" x14ac:dyDescent="0.25">
      <c r="L2294" s="169"/>
    </row>
    <row r="2295" spans="12:12" x14ac:dyDescent="0.25">
      <c r="L2295" s="169"/>
    </row>
    <row r="2296" spans="12:12" x14ac:dyDescent="0.25">
      <c r="L2296" s="169"/>
    </row>
    <row r="2297" spans="12:12" x14ac:dyDescent="0.25">
      <c r="L2297" s="169"/>
    </row>
    <row r="2298" spans="12:12" x14ac:dyDescent="0.25">
      <c r="L2298" s="169"/>
    </row>
    <row r="2299" spans="12:12" x14ac:dyDescent="0.25">
      <c r="L2299" s="169"/>
    </row>
    <row r="2300" spans="12:12" x14ac:dyDescent="0.25">
      <c r="L2300" s="169"/>
    </row>
    <row r="2301" spans="12:12" x14ac:dyDescent="0.25">
      <c r="L2301" s="169"/>
    </row>
    <row r="2302" spans="12:12" x14ac:dyDescent="0.25">
      <c r="L2302" s="169"/>
    </row>
    <row r="2303" spans="12:12" x14ac:dyDescent="0.25">
      <c r="L2303" s="169"/>
    </row>
    <row r="2304" spans="12:12" x14ac:dyDescent="0.25">
      <c r="L2304" s="169"/>
    </row>
    <row r="2305" spans="12:12" x14ac:dyDescent="0.25">
      <c r="L2305" s="169"/>
    </row>
    <row r="2306" spans="12:12" x14ac:dyDescent="0.25">
      <c r="L2306" s="169"/>
    </row>
    <row r="2307" spans="12:12" x14ac:dyDescent="0.25">
      <c r="L2307" s="169"/>
    </row>
    <row r="2308" spans="12:12" x14ac:dyDescent="0.25">
      <c r="L2308" s="169"/>
    </row>
    <row r="2309" spans="12:12" x14ac:dyDescent="0.25">
      <c r="L2309" s="169"/>
    </row>
    <row r="2310" spans="12:12" x14ac:dyDescent="0.25">
      <c r="L2310" s="169"/>
    </row>
    <row r="2311" spans="12:12" x14ac:dyDescent="0.25">
      <c r="L2311" s="169"/>
    </row>
    <row r="2312" spans="12:12" x14ac:dyDescent="0.25">
      <c r="L2312" s="169"/>
    </row>
    <row r="2313" spans="12:12" x14ac:dyDescent="0.25">
      <c r="L2313" s="169"/>
    </row>
    <row r="2314" spans="12:12" x14ac:dyDescent="0.25">
      <c r="L2314" s="169"/>
    </row>
    <row r="2315" spans="12:12" x14ac:dyDescent="0.25">
      <c r="L2315" s="169"/>
    </row>
    <row r="2316" spans="12:12" x14ac:dyDescent="0.25">
      <c r="L2316" s="169"/>
    </row>
    <row r="2317" spans="12:12" x14ac:dyDescent="0.25">
      <c r="L2317" s="169"/>
    </row>
    <row r="2318" spans="12:12" x14ac:dyDescent="0.25">
      <c r="L2318" s="169"/>
    </row>
    <row r="2319" spans="12:12" x14ac:dyDescent="0.25">
      <c r="L2319" s="169"/>
    </row>
    <row r="2320" spans="12:12" x14ac:dyDescent="0.25">
      <c r="L2320" s="169"/>
    </row>
    <row r="2321" spans="12:12" x14ac:dyDescent="0.25">
      <c r="L2321" s="169"/>
    </row>
    <row r="2322" spans="12:12" x14ac:dyDescent="0.25">
      <c r="L2322" s="169"/>
    </row>
    <row r="2323" spans="12:12" x14ac:dyDescent="0.25">
      <c r="L2323" s="169"/>
    </row>
    <row r="2324" spans="12:12" x14ac:dyDescent="0.25">
      <c r="L2324" s="169"/>
    </row>
    <row r="2325" spans="12:12" x14ac:dyDescent="0.25">
      <c r="L2325" s="169"/>
    </row>
    <row r="2326" spans="12:12" x14ac:dyDescent="0.25">
      <c r="L2326" s="169"/>
    </row>
    <row r="2327" spans="12:12" x14ac:dyDescent="0.25">
      <c r="L2327" s="169"/>
    </row>
    <row r="2328" spans="12:12" x14ac:dyDescent="0.25">
      <c r="L2328" s="169"/>
    </row>
    <row r="2329" spans="12:12" x14ac:dyDescent="0.25">
      <c r="L2329" s="169"/>
    </row>
    <row r="2330" spans="12:12" x14ac:dyDescent="0.25">
      <c r="L2330" s="169"/>
    </row>
    <row r="2331" spans="12:12" x14ac:dyDescent="0.25">
      <c r="L2331" s="169"/>
    </row>
    <row r="2332" spans="12:12" x14ac:dyDescent="0.25">
      <c r="L2332" s="169"/>
    </row>
    <row r="2333" spans="12:12" x14ac:dyDescent="0.25">
      <c r="L2333" s="169"/>
    </row>
    <row r="2334" spans="12:12" x14ac:dyDescent="0.25">
      <c r="L2334" s="169"/>
    </row>
    <row r="2335" spans="12:12" x14ac:dyDescent="0.25">
      <c r="L2335" s="169"/>
    </row>
    <row r="2336" spans="12:12" x14ac:dyDescent="0.25">
      <c r="L2336" s="169"/>
    </row>
    <row r="2337" spans="12:12" x14ac:dyDescent="0.25">
      <c r="L2337" s="169"/>
    </row>
    <row r="2338" spans="12:12" x14ac:dyDescent="0.25">
      <c r="L2338" s="169"/>
    </row>
    <row r="2339" spans="12:12" x14ac:dyDescent="0.25">
      <c r="L2339" s="169"/>
    </row>
    <row r="2340" spans="12:12" x14ac:dyDescent="0.25">
      <c r="L2340" s="169"/>
    </row>
    <row r="2341" spans="12:12" x14ac:dyDescent="0.25">
      <c r="L2341" s="169"/>
    </row>
    <row r="2342" spans="12:12" x14ac:dyDescent="0.25">
      <c r="L2342" s="169"/>
    </row>
    <row r="2343" spans="12:12" x14ac:dyDescent="0.25">
      <c r="L2343" s="169"/>
    </row>
    <row r="2344" spans="12:12" x14ac:dyDescent="0.25">
      <c r="L2344" s="169"/>
    </row>
    <row r="2345" spans="12:12" x14ac:dyDescent="0.25">
      <c r="L2345" s="169"/>
    </row>
    <row r="2346" spans="12:12" x14ac:dyDescent="0.25">
      <c r="L2346" s="169"/>
    </row>
    <row r="2347" spans="12:12" x14ac:dyDescent="0.25">
      <c r="L2347" s="169"/>
    </row>
    <row r="2348" spans="12:12" x14ac:dyDescent="0.25">
      <c r="L2348" s="169"/>
    </row>
    <row r="2349" spans="12:12" x14ac:dyDescent="0.25">
      <c r="L2349" s="169"/>
    </row>
    <row r="2350" spans="12:12" x14ac:dyDescent="0.25">
      <c r="L2350" s="169"/>
    </row>
    <row r="2351" spans="12:12" x14ac:dyDescent="0.25">
      <c r="L2351" s="169"/>
    </row>
    <row r="2352" spans="12:12" x14ac:dyDescent="0.25">
      <c r="L2352" s="169"/>
    </row>
    <row r="2353" spans="12:12" x14ac:dyDescent="0.25">
      <c r="L2353" s="169"/>
    </row>
    <row r="2354" spans="12:12" x14ac:dyDescent="0.25">
      <c r="L2354" s="169"/>
    </row>
    <row r="2355" spans="12:12" x14ac:dyDescent="0.25">
      <c r="L2355" s="169"/>
    </row>
    <row r="2356" spans="12:12" x14ac:dyDescent="0.25">
      <c r="L2356" s="169"/>
    </row>
    <row r="2357" spans="12:12" x14ac:dyDescent="0.25">
      <c r="L2357" s="169"/>
    </row>
    <row r="2358" spans="12:12" x14ac:dyDescent="0.25">
      <c r="L2358" s="169"/>
    </row>
    <row r="2359" spans="12:12" x14ac:dyDescent="0.25">
      <c r="L2359" s="169"/>
    </row>
    <row r="2360" spans="12:12" x14ac:dyDescent="0.25">
      <c r="L2360" s="169"/>
    </row>
    <row r="2361" spans="12:12" x14ac:dyDescent="0.25">
      <c r="L2361" s="169"/>
    </row>
    <row r="2362" spans="12:12" x14ac:dyDescent="0.25">
      <c r="L2362" s="169"/>
    </row>
    <row r="2363" spans="12:12" x14ac:dyDescent="0.25">
      <c r="L2363" s="169"/>
    </row>
    <row r="2364" spans="12:12" x14ac:dyDescent="0.25">
      <c r="L2364" s="169"/>
    </row>
    <row r="2365" spans="12:12" x14ac:dyDescent="0.25">
      <c r="L2365" s="169"/>
    </row>
    <row r="2366" spans="12:12" x14ac:dyDescent="0.25">
      <c r="L2366" s="169"/>
    </row>
    <row r="2367" spans="12:12" x14ac:dyDescent="0.25">
      <c r="L2367" s="169"/>
    </row>
    <row r="2368" spans="12:12" x14ac:dyDescent="0.25">
      <c r="L2368" s="169"/>
    </row>
    <row r="2369" spans="12:12" x14ac:dyDescent="0.25">
      <c r="L2369" s="169"/>
    </row>
    <row r="2370" spans="12:12" x14ac:dyDescent="0.25">
      <c r="L2370" s="169"/>
    </row>
    <row r="2371" spans="12:12" x14ac:dyDescent="0.25">
      <c r="L2371" s="169"/>
    </row>
    <row r="2372" spans="12:12" x14ac:dyDescent="0.25">
      <c r="L2372" s="169"/>
    </row>
    <row r="2373" spans="12:12" x14ac:dyDescent="0.25">
      <c r="L2373" s="169"/>
    </row>
    <row r="2374" spans="12:12" x14ac:dyDescent="0.25">
      <c r="L2374" s="169"/>
    </row>
    <row r="2375" spans="12:12" x14ac:dyDescent="0.25">
      <c r="L2375" s="169"/>
    </row>
    <row r="2376" spans="12:12" x14ac:dyDescent="0.25">
      <c r="L2376" s="169"/>
    </row>
    <row r="2377" spans="12:12" x14ac:dyDescent="0.25">
      <c r="L2377" s="169"/>
    </row>
    <row r="2378" spans="12:12" x14ac:dyDescent="0.25">
      <c r="L2378" s="169"/>
    </row>
    <row r="2379" spans="12:12" x14ac:dyDescent="0.25">
      <c r="L2379" s="169"/>
    </row>
    <row r="2380" spans="12:12" x14ac:dyDescent="0.25">
      <c r="L2380" s="169"/>
    </row>
    <row r="2381" spans="12:12" x14ac:dyDescent="0.25">
      <c r="L2381" s="169"/>
    </row>
    <row r="2382" spans="12:12" x14ac:dyDescent="0.25">
      <c r="L2382" s="169"/>
    </row>
    <row r="2383" spans="12:12" x14ac:dyDescent="0.25">
      <c r="L2383" s="169"/>
    </row>
    <row r="2384" spans="12:12" x14ac:dyDescent="0.25">
      <c r="L2384" s="169"/>
    </row>
    <row r="2385" spans="12:12" x14ac:dyDescent="0.25">
      <c r="L2385" s="169"/>
    </row>
    <row r="2386" spans="12:12" x14ac:dyDescent="0.25">
      <c r="L2386" s="169"/>
    </row>
    <row r="2387" spans="12:12" x14ac:dyDescent="0.25">
      <c r="L2387" s="169"/>
    </row>
    <row r="2388" spans="12:12" x14ac:dyDescent="0.25">
      <c r="L2388" s="169"/>
    </row>
    <row r="2389" spans="12:12" x14ac:dyDescent="0.25">
      <c r="L2389" s="169"/>
    </row>
    <row r="2390" spans="12:12" x14ac:dyDescent="0.25">
      <c r="L2390" s="169"/>
    </row>
    <row r="2391" spans="12:12" x14ac:dyDescent="0.25">
      <c r="L2391" s="169"/>
    </row>
    <row r="2392" spans="12:12" x14ac:dyDescent="0.25">
      <c r="L2392" s="169"/>
    </row>
    <row r="2393" spans="12:12" x14ac:dyDescent="0.25">
      <c r="L2393" s="169"/>
    </row>
    <row r="2394" spans="12:12" x14ac:dyDescent="0.25">
      <c r="L2394" s="169"/>
    </row>
    <row r="2395" spans="12:12" x14ac:dyDescent="0.25">
      <c r="L2395" s="169"/>
    </row>
    <row r="2396" spans="12:12" x14ac:dyDescent="0.25">
      <c r="L2396" s="169"/>
    </row>
    <row r="2397" spans="12:12" x14ac:dyDescent="0.25">
      <c r="L2397" s="169"/>
    </row>
    <row r="2398" spans="12:12" x14ac:dyDescent="0.25">
      <c r="L2398" s="169"/>
    </row>
    <row r="2399" spans="12:12" x14ac:dyDescent="0.25">
      <c r="L2399" s="169"/>
    </row>
    <row r="2400" spans="12:12" x14ac:dyDescent="0.25">
      <c r="L2400" s="169"/>
    </row>
    <row r="2401" spans="12:12" x14ac:dyDescent="0.25">
      <c r="L2401" s="169"/>
    </row>
    <row r="2402" spans="12:12" x14ac:dyDescent="0.25">
      <c r="L2402" s="169"/>
    </row>
    <row r="2403" spans="12:12" x14ac:dyDescent="0.25">
      <c r="L2403" s="169"/>
    </row>
    <row r="2404" spans="12:12" x14ac:dyDescent="0.25">
      <c r="L2404" s="169"/>
    </row>
    <row r="2405" spans="12:12" x14ac:dyDescent="0.25">
      <c r="L2405" s="169"/>
    </row>
    <row r="2406" spans="12:12" x14ac:dyDescent="0.25">
      <c r="L2406" s="169"/>
    </row>
    <row r="2407" spans="12:12" x14ac:dyDescent="0.25">
      <c r="L2407" s="169"/>
    </row>
    <row r="2408" spans="12:12" x14ac:dyDescent="0.25">
      <c r="L2408" s="169"/>
    </row>
    <row r="2409" spans="12:12" x14ac:dyDescent="0.25">
      <c r="L2409" s="169"/>
    </row>
    <row r="2410" spans="12:12" x14ac:dyDescent="0.25">
      <c r="L2410" s="169"/>
    </row>
    <row r="2411" spans="12:12" x14ac:dyDescent="0.25">
      <c r="L2411" s="169"/>
    </row>
    <row r="2412" spans="12:12" x14ac:dyDescent="0.25">
      <c r="L2412" s="169"/>
    </row>
    <row r="2413" spans="12:12" x14ac:dyDescent="0.25">
      <c r="L2413" s="169"/>
    </row>
    <row r="2414" spans="12:12" x14ac:dyDescent="0.25">
      <c r="L2414" s="169"/>
    </row>
    <row r="2415" spans="12:12" x14ac:dyDescent="0.25">
      <c r="L2415" s="169"/>
    </row>
    <row r="2416" spans="12:12" x14ac:dyDescent="0.25">
      <c r="L2416" s="169"/>
    </row>
    <row r="2417" spans="12:12" x14ac:dyDescent="0.25">
      <c r="L2417" s="169"/>
    </row>
    <row r="2418" spans="12:12" x14ac:dyDescent="0.25">
      <c r="L2418" s="169"/>
    </row>
    <row r="2419" spans="12:12" x14ac:dyDescent="0.25">
      <c r="L2419" s="169"/>
    </row>
    <row r="2420" spans="12:12" x14ac:dyDescent="0.25">
      <c r="L2420" s="169"/>
    </row>
    <row r="2421" spans="12:12" x14ac:dyDescent="0.25">
      <c r="L2421" s="169"/>
    </row>
    <row r="2422" spans="12:12" x14ac:dyDescent="0.25">
      <c r="L2422" s="169"/>
    </row>
    <row r="2423" spans="12:12" x14ac:dyDescent="0.25">
      <c r="L2423" s="169"/>
    </row>
    <row r="2424" spans="12:12" x14ac:dyDescent="0.25">
      <c r="L2424" s="169"/>
    </row>
    <row r="2425" spans="12:12" x14ac:dyDescent="0.25">
      <c r="L2425" s="169"/>
    </row>
    <row r="2426" spans="12:12" x14ac:dyDescent="0.25">
      <c r="L2426" s="169"/>
    </row>
    <row r="2427" spans="12:12" x14ac:dyDescent="0.25">
      <c r="L2427" s="169"/>
    </row>
    <row r="2428" spans="12:12" x14ac:dyDescent="0.25">
      <c r="L2428" s="169"/>
    </row>
    <row r="2429" spans="12:12" x14ac:dyDescent="0.25">
      <c r="L2429" s="169"/>
    </row>
    <row r="2430" spans="12:12" x14ac:dyDescent="0.25">
      <c r="L2430" s="169"/>
    </row>
    <row r="2431" spans="12:12" x14ac:dyDescent="0.25">
      <c r="L2431" s="169"/>
    </row>
    <row r="2432" spans="12:12" x14ac:dyDescent="0.25">
      <c r="L2432" s="169"/>
    </row>
    <row r="2433" spans="12:12" x14ac:dyDescent="0.25">
      <c r="L2433" s="169"/>
    </row>
    <row r="2434" spans="12:12" x14ac:dyDescent="0.25">
      <c r="L2434" s="169"/>
    </row>
    <row r="2435" spans="12:12" x14ac:dyDescent="0.25">
      <c r="L2435" s="169"/>
    </row>
    <row r="2436" spans="12:12" x14ac:dyDescent="0.25">
      <c r="L2436" s="169"/>
    </row>
    <row r="2437" spans="12:12" x14ac:dyDescent="0.25">
      <c r="L2437" s="169"/>
    </row>
    <row r="2438" spans="12:12" x14ac:dyDescent="0.25">
      <c r="L2438" s="169"/>
    </row>
    <row r="2439" spans="12:12" x14ac:dyDescent="0.25">
      <c r="L2439" s="169"/>
    </row>
    <row r="2440" spans="12:12" x14ac:dyDescent="0.25">
      <c r="L2440" s="169"/>
    </row>
    <row r="2441" spans="12:12" x14ac:dyDescent="0.25">
      <c r="L2441" s="169"/>
    </row>
    <row r="2442" spans="12:12" x14ac:dyDescent="0.25">
      <c r="L2442" s="169"/>
    </row>
    <row r="2443" spans="12:12" x14ac:dyDescent="0.25">
      <c r="L2443" s="169"/>
    </row>
    <row r="2444" spans="12:12" x14ac:dyDescent="0.25">
      <c r="L2444" s="169"/>
    </row>
    <row r="2445" spans="12:12" x14ac:dyDescent="0.25">
      <c r="L2445" s="169"/>
    </row>
    <row r="2446" spans="12:12" x14ac:dyDescent="0.25">
      <c r="L2446" s="169"/>
    </row>
    <row r="2447" spans="12:12" x14ac:dyDescent="0.25">
      <c r="L2447" s="169"/>
    </row>
    <row r="2448" spans="12:12" x14ac:dyDescent="0.25">
      <c r="L2448" s="169"/>
    </row>
    <row r="2449" spans="12:12" x14ac:dyDescent="0.25">
      <c r="L2449" s="169"/>
    </row>
    <row r="2450" spans="12:12" x14ac:dyDescent="0.25">
      <c r="L2450" s="169"/>
    </row>
    <row r="2451" spans="12:12" x14ac:dyDescent="0.25">
      <c r="L2451" s="169"/>
    </row>
    <row r="2452" spans="12:12" x14ac:dyDescent="0.25">
      <c r="L2452" s="169"/>
    </row>
    <row r="2453" spans="12:12" x14ac:dyDescent="0.25">
      <c r="L2453" s="169"/>
    </row>
    <row r="2454" spans="12:12" x14ac:dyDescent="0.25">
      <c r="L2454" s="169"/>
    </row>
    <row r="2455" spans="12:12" x14ac:dyDescent="0.25">
      <c r="L2455" s="169"/>
    </row>
    <row r="2456" spans="12:12" x14ac:dyDescent="0.25">
      <c r="L2456" s="169"/>
    </row>
    <row r="2457" spans="12:12" x14ac:dyDescent="0.25">
      <c r="L2457" s="169"/>
    </row>
    <row r="2458" spans="12:12" x14ac:dyDescent="0.25">
      <c r="L2458" s="169"/>
    </row>
    <row r="2459" spans="12:12" x14ac:dyDescent="0.25">
      <c r="L2459" s="169"/>
    </row>
    <row r="2460" spans="12:12" x14ac:dyDescent="0.25">
      <c r="L2460" s="169"/>
    </row>
    <row r="2461" spans="12:12" x14ac:dyDescent="0.25">
      <c r="L2461" s="169"/>
    </row>
    <row r="2462" spans="12:12" x14ac:dyDescent="0.25">
      <c r="L2462" s="169"/>
    </row>
    <row r="2463" spans="12:12" x14ac:dyDescent="0.25">
      <c r="L2463" s="169"/>
    </row>
    <row r="2464" spans="12:12" x14ac:dyDescent="0.25">
      <c r="L2464" s="169"/>
    </row>
    <row r="2465" spans="12:12" x14ac:dyDescent="0.25">
      <c r="L2465" s="169"/>
    </row>
    <row r="2466" spans="12:12" x14ac:dyDescent="0.25">
      <c r="L2466" s="169"/>
    </row>
    <row r="2467" spans="12:12" x14ac:dyDescent="0.25">
      <c r="L2467" s="169"/>
    </row>
    <row r="2468" spans="12:12" x14ac:dyDescent="0.25">
      <c r="L2468" s="169"/>
    </row>
    <row r="2469" spans="12:12" x14ac:dyDescent="0.25">
      <c r="L2469" s="169"/>
    </row>
    <row r="2470" spans="12:12" x14ac:dyDescent="0.25">
      <c r="L2470" s="169"/>
    </row>
    <row r="2471" spans="12:12" x14ac:dyDescent="0.25">
      <c r="L2471" s="169"/>
    </row>
    <row r="2472" spans="12:12" x14ac:dyDescent="0.25">
      <c r="L2472" s="169"/>
    </row>
    <row r="2473" spans="12:12" x14ac:dyDescent="0.25">
      <c r="L2473" s="169"/>
    </row>
    <row r="2474" spans="12:12" x14ac:dyDescent="0.25">
      <c r="L2474" s="169"/>
    </row>
    <row r="2475" spans="12:12" x14ac:dyDescent="0.25">
      <c r="L2475" s="169"/>
    </row>
    <row r="2476" spans="12:12" x14ac:dyDescent="0.25">
      <c r="L2476" s="169"/>
    </row>
    <row r="2477" spans="12:12" x14ac:dyDescent="0.25">
      <c r="L2477" s="169"/>
    </row>
    <row r="2478" spans="12:12" x14ac:dyDescent="0.25">
      <c r="L2478" s="169"/>
    </row>
    <row r="2479" spans="12:12" x14ac:dyDescent="0.25">
      <c r="L2479" s="169"/>
    </row>
    <row r="2480" spans="12:12" x14ac:dyDescent="0.25">
      <c r="L2480" s="169"/>
    </row>
    <row r="2481" spans="12:12" x14ac:dyDescent="0.25">
      <c r="L2481" s="169"/>
    </row>
    <row r="2482" spans="12:12" x14ac:dyDescent="0.25">
      <c r="L2482" s="169"/>
    </row>
    <row r="2483" spans="12:12" x14ac:dyDescent="0.25">
      <c r="L2483" s="169"/>
    </row>
    <row r="2484" spans="12:12" x14ac:dyDescent="0.25">
      <c r="L2484" s="169"/>
    </row>
    <row r="2485" spans="12:12" x14ac:dyDescent="0.25">
      <c r="L2485" s="169"/>
    </row>
    <row r="2486" spans="12:12" x14ac:dyDescent="0.25">
      <c r="L2486" s="169"/>
    </row>
    <row r="2487" spans="12:12" x14ac:dyDescent="0.25">
      <c r="L2487" s="169"/>
    </row>
    <row r="2488" spans="12:12" x14ac:dyDescent="0.25">
      <c r="L2488" s="169"/>
    </row>
    <row r="2489" spans="12:12" x14ac:dyDescent="0.25">
      <c r="L2489" s="169"/>
    </row>
    <row r="2490" spans="12:12" x14ac:dyDescent="0.25">
      <c r="L2490" s="169"/>
    </row>
    <row r="2491" spans="12:12" x14ac:dyDescent="0.25">
      <c r="L2491" s="169"/>
    </row>
    <row r="2492" spans="12:12" x14ac:dyDescent="0.25">
      <c r="L2492" s="169"/>
    </row>
    <row r="2493" spans="12:12" x14ac:dyDescent="0.25">
      <c r="L2493" s="169"/>
    </row>
    <row r="2494" spans="12:12" x14ac:dyDescent="0.25">
      <c r="L2494" s="169"/>
    </row>
    <row r="2495" spans="12:12" x14ac:dyDescent="0.25">
      <c r="L2495" s="169"/>
    </row>
    <row r="2496" spans="12:12" x14ac:dyDescent="0.25">
      <c r="L2496" s="169"/>
    </row>
    <row r="2497" spans="12:12" x14ac:dyDescent="0.25">
      <c r="L2497" s="169"/>
    </row>
    <row r="2498" spans="12:12" x14ac:dyDescent="0.25">
      <c r="L2498" s="169"/>
    </row>
    <row r="2499" spans="12:12" x14ac:dyDescent="0.25">
      <c r="L2499" s="169"/>
    </row>
    <row r="2500" spans="12:12" x14ac:dyDescent="0.25">
      <c r="L2500" s="169"/>
    </row>
    <row r="2501" spans="12:12" x14ac:dyDescent="0.25">
      <c r="L2501" s="169"/>
    </row>
    <row r="2502" spans="12:12" x14ac:dyDescent="0.25">
      <c r="L2502" s="169"/>
    </row>
    <row r="2503" spans="12:12" x14ac:dyDescent="0.25">
      <c r="L2503" s="169"/>
    </row>
    <row r="2504" spans="12:12" x14ac:dyDescent="0.25">
      <c r="L2504" s="169"/>
    </row>
    <row r="2505" spans="12:12" x14ac:dyDescent="0.25">
      <c r="L2505" s="169"/>
    </row>
    <row r="2506" spans="12:12" x14ac:dyDescent="0.25">
      <c r="L2506" s="169"/>
    </row>
    <row r="2507" spans="12:12" x14ac:dyDescent="0.25">
      <c r="L2507" s="169"/>
    </row>
    <row r="2508" spans="12:12" x14ac:dyDescent="0.25">
      <c r="L2508" s="169"/>
    </row>
    <row r="2509" spans="12:12" x14ac:dyDescent="0.25">
      <c r="L2509" s="169"/>
    </row>
    <row r="2510" spans="12:12" x14ac:dyDescent="0.25">
      <c r="L2510" s="169"/>
    </row>
    <row r="2511" spans="12:12" x14ac:dyDescent="0.25">
      <c r="L2511" s="169"/>
    </row>
    <row r="2512" spans="12:12" x14ac:dyDescent="0.25">
      <c r="L2512" s="169"/>
    </row>
    <row r="2513" spans="12:12" x14ac:dyDescent="0.25">
      <c r="L2513" s="169"/>
    </row>
    <row r="2514" spans="12:12" x14ac:dyDescent="0.25">
      <c r="L2514" s="169"/>
    </row>
    <row r="2515" spans="12:12" x14ac:dyDescent="0.25">
      <c r="L2515" s="169"/>
    </row>
    <row r="2516" spans="12:12" x14ac:dyDescent="0.25">
      <c r="L2516" s="169"/>
    </row>
    <row r="2517" spans="12:12" x14ac:dyDescent="0.25">
      <c r="L2517" s="169"/>
    </row>
    <row r="2518" spans="12:12" x14ac:dyDescent="0.25">
      <c r="L2518" s="169"/>
    </row>
    <row r="2519" spans="12:12" x14ac:dyDescent="0.25">
      <c r="L2519" s="169"/>
    </row>
    <row r="2520" spans="12:12" x14ac:dyDescent="0.25">
      <c r="L2520" s="169"/>
    </row>
    <row r="2521" spans="12:12" x14ac:dyDescent="0.25">
      <c r="L2521" s="169"/>
    </row>
    <row r="2522" spans="12:12" x14ac:dyDescent="0.25">
      <c r="L2522" s="169"/>
    </row>
    <row r="2523" spans="12:12" x14ac:dyDescent="0.25">
      <c r="L2523" s="169"/>
    </row>
    <row r="2524" spans="12:12" x14ac:dyDescent="0.25">
      <c r="L2524" s="169"/>
    </row>
    <row r="2525" spans="12:12" x14ac:dyDescent="0.25">
      <c r="L2525" s="169"/>
    </row>
    <row r="2526" spans="12:12" x14ac:dyDescent="0.25">
      <c r="L2526" s="169"/>
    </row>
    <row r="2527" spans="12:12" x14ac:dyDescent="0.25">
      <c r="L2527" s="169"/>
    </row>
    <row r="2528" spans="12:12" x14ac:dyDescent="0.25">
      <c r="L2528" s="169"/>
    </row>
    <row r="2529" spans="12:12" x14ac:dyDescent="0.25">
      <c r="L2529" s="169"/>
    </row>
    <row r="2530" spans="12:12" x14ac:dyDescent="0.25">
      <c r="L2530" s="169"/>
    </row>
    <row r="2531" spans="12:12" x14ac:dyDescent="0.25">
      <c r="L2531" s="169"/>
    </row>
    <row r="2532" spans="12:12" x14ac:dyDescent="0.25">
      <c r="L2532" s="169"/>
    </row>
    <row r="2533" spans="12:12" x14ac:dyDescent="0.25">
      <c r="L2533" s="169"/>
    </row>
    <row r="2534" spans="12:12" x14ac:dyDescent="0.25">
      <c r="L2534" s="169"/>
    </row>
    <row r="2535" spans="12:12" x14ac:dyDescent="0.25">
      <c r="L2535" s="169"/>
    </row>
    <row r="2536" spans="12:12" x14ac:dyDescent="0.25">
      <c r="L2536" s="169"/>
    </row>
    <row r="2537" spans="12:12" x14ac:dyDescent="0.25">
      <c r="L2537" s="169"/>
    </row>
    <row r="2538" spans="12:12" x14ac:dyDescent="0.25">
      <c r="L2538" s="169"/>
    </row>
    <row r="2539" spans="12:12" x14ac:dyDescent="0.25">
      <c r="L2539" s="169"/>
    </row>
    <row r="2540" spans="12:12" x14ac:dyDescent="0.25">
      <c r="L2540" s="169"/>
    </row>
    <row r="2541" spans="12:12" x14ac:dyDescent="0.25">
      <c r="L2541" s="169"/>
    </row>
    <row r="2542" spans="12:12" x14ac:dyDescent="0.25">
      <c r="L2542" s="169"/>
    </row>
    <row r="2543" spans="12:12" x14ac:dyDescent="0.25">
      <c r="L2543" s="169"/>
    </row>
    <row r="2544" spans="12:12" x14ac:dyDescent="0.25">
      <c r="L2544" s="169"/>
    </row>
    <row r="2545" spans="12:12" x14ac:dyDescent="0.25">
      <c r="L2545" s="169"/>
    </row>
    <row r="2546" spans="12:12" x14ac:dyDescent="0.25">
      <c r="L2546" s="169"/>
    </row>
    <row r="2547" spans="12:12" x14ac:dyDescent="0.25">
      <c r="L2547" s="169"/>
    </row>
    <row r="2548" spans="12:12" x14ac:dyDescent="0.25">
      <c r="L2548" s="169"/>
    </row>
    <row r="2549" spans="12:12" x14ac:dyDescent="0.25">
      <c r="L2549" s="169"/>
    </row>
    <row r="2550" spans="12:12" x14ac:dyDescent="0.25">
      <c r="L2550" s="169"/>
    </row>
    <row r="2551" spans="12:12" x14ac:dyDescent="0.25">
      <c r="L2551" s="169"/>
    </row>
    <row r="2552" spans="12:12" x14ac:dyDescent="0.25">
      <c r="L2552" s="169"/>
    </row>
    <row r="2553" spans="12:12" x14ac:dyDescent="0.25">
      <c r="L2553" s="169"/>
    </row>
    <row r="2554" spans="12:12" x14ac:dyDescent="0.25">
      <c r="L2554" s="169"/>
    </row>
    <row r="2555" spans="12:12" x14ac:dyDescent="0.25">
      <c r="L2555" s="169"/>
    </row>
    <row r="2556" spans="12:12" x14ac:dyDescent="0.25">
      <c r="L2556" s="169"/>
    </row>
    <row r="2557" spans="12:12" x14ac:dyDescent="0.25">
      <c r="L2557" s="169"/>
    </row>
    <row r="2558" spans="12:12" x14ac:dyDescent="0.25">
      <c r="L2558" s="169"/>
    </row>
    <row r="2559" spans="12:12" x14ac:dyDescent="0.25">
      <c r="L2559" s="169"/>
    </row>
    <row r="2560" spans="12:12" x14ac:dyDescent="0.25">
      <c r="L2560" s="169"/>
    </row>
    <row r="2561" spans="12:12" x14ac:dyDescent="0.25">
      <c r="L2561" s="169"/>
    </row>
    <row r="2562" spans="12:12" x14ac:dyDescent="0.25">
      <c r="L2562" s="169"/>
    </row>
    <row r="2563" spans="12:12" x14ac:dyDescent="0.25">
      <c r="L2563" s="169"/>
    </row>
    <row r="2564" spans="12:12" x14ac:dyDescent="0.25">
      <c r="L2564" s="169"/>
    </row>
    <row r="2565" spans="12:12" x14ac:dyDescent="0.25">
      <c r="L2565" s="169"/>
    </row>
    <row r="2566" spans="12:12" x14ac:dyDescent="0.25">
      <c r="L2566" s="169"/>
    </row>
    <row r="2567" spans="12:12" x14ac:dyDescent="0.25">
      <c r="L2567" s="169"/>
    </row>
    <row r="2568" spans="12:12" x14ac:dyDescent="0.25">
      <c r="L2568" s="169"/>
    </row>
    <row r="2569" spans="12:12" x14ac:dyDescent="0.25">
      <c r="L2569" s="169"/>
    </row>
    <row r="2570" spans="12:12" x14ac:dyDescent="0.25">
      <c r="L2570" s="169"/>
    </row>
    <row r="2571" spans="12:12" x14ac:dyDescent="0.25">
      <c r="L2571" s="169"/>
    </row>
    <row r="2572" spans="12:12" x14ac:dyDescent="0.25">
      <c r="L2572" s="169"/>
    </row>
    <row r="2573" spans="12:12" x14ac:dyDescent="0.25">
      <c r="L2573" s="169"/>
    </row>
    <row r="2574" spans="12:12" x14ac:dyDescent="0.25">
      <c r="L2574" s="169"/>
    </row>
    <row r="2575" spans="12:12" x14ac:dyDescent="0.25">
      <c r="L2575" s="169"/>
    </row>
    <row r="2576" spans="12:12" x14ac:dyDescent="0.25">
      <c r="L2576" s="169"/>
    </row>
    <row r="2577" spans="12:12" x14ac:dyDescent="0.25">
      <c r="L2577" s="169"/>
    </row>
    <row r="2578" spans="12:12" x14ac:dyDescent="0.25">
      <c r="L2578" s="169"/>
    </row>
    <row r="2579" spans="12:12" x14ac:dyDescent="0.25">
      <c r="L2579" s="169"/>
    </row>
    <row r="2580" spans="12:12" x14ac:dyDescent="0.25">
      <c r="L2580" s="169"/>
    </row>
    <row r="2581" spans="12:12" x14ac:dyDescent="0.25">
      <c r="L2581" s="169"/>
    </row>
    <row r="2582" spans="12:12" x14ac:dyDescent="0.25">
      <c r="L2582" s="169"/>
    </row>
    <row r="2583" spans="12:12" x14ac:dyDescent="0.25">
      <c r="L2583" s="169"/>
    </row>
    <row r="2584" spans="12:12" x14ac:dyDescent="0.25">
      <c r="L2584" s="169"/>
    </row>
    <row r="2585" spans="12:12" x14ac:dyDescent="0.25">
      <c r="L2585" s="169"/>
    </row>
    <row r="2586" spans="12:12" x14ac:dyDescent="0.25">
      <c r="L2586" s="169"/>
    </row>
    <row r="2587" spans="12:12" x14ac:dyDescent="0.25">
      <c r="L2587" s="169"/>
    </row>
    <row r="2588" spans="12:12" x14ac:dyDescent="0.25">
      <c r="L2588" s="169"/>
    </row>
    <row r="2589" spans="12:12" x14ac:dyDescent="0.25">
      <c r="L2589" s="169"/>
    </row>
    <row r="2590" spans="12:12" x14ac:dyDescent="0.25">
      <c r="L2590" s="169"/>
    </row>
    <row r="2591" spans="12:12" x14ac:dyDescent="0.25">
      <c r="L2591" s="169"/>
    </row>
    <row r="2592" spans="12:12" x14ac:dyDescent="0.25">
      <c r="L2592" s="169"/>
    </row>
    <row r="2593" spans="12:12" x14ac:dyDescent="0.25">
      <c r="L2593" s="169"/>
    </row>
    <row r="2594" spans="12:12" x14ac:dyDescent="0.25">
      <c r="L2594" s="169"/>
    </row>
    <row r="2595" spans="12:12" x14ac:dyDescent="0.25">
      <c r="L2595" s="169"/>
    </row>
    <row r="2596" spans="12:12" x14ac:dyDescent="0.25">
      <c r="L2596" s="169"/>
    </row>
    <row r="2597" spans="12:12" x14ac:dyDescent="0.25">
      <c r="L2597" s="169"/>
    </row>
    <row r="2598" spans="12:12" x14ac:dyDescent="0.25">
      <c r="L2598" s="169"/>
    </row>
    <row r="2599" spans="12:12" x14ac:dyDescent="0.25">
      <c r="L2599" s="169"/>
    </row>
    <row r="2600" spans="12:12" x14ac:dyDescent="0.25">
      <c r="L2600" s="169"/>
    </row>
    <row r="2601" spans="12:12" x14ac:dyDescent="0.25">
      <c r="L2601" s="169"/>
    </row>
    <row r="2602" spans="12:12" x14ac:dyDescent="0.25">
      <c r="L2602" s="169"/>
    </row>
    <row r="2603" spans="12:12" x14ac:dyDescent="0.25">
      <c r="L2603" s="169"/>
    </row>
    <row r="2604" spans="12:12" x14ac:dyDescent="0.25">
      <c r="L2604" s="169"/>
    </row>
    <row r="2605" spans="12:12" x14ac:dyDescent="0.25">
      <c r="L2605" s="169"/>
    </row>
    <row r="2606" spans="12:12" x14ac:dyDescent="0.25">
      <c r="L2606" s="169"/>
    </row>
    <row r="2607" spans="12:12" x14ac:dyDescent="0.25">
      <c r="L2607" s="169"/>
    </row>
    <row r="2608" spans="12:12" x14ac:dyDescent="0.25">
      <c r="L2608" s="169"/>
    </row>
    <row r="2609" spans="12:12" x14ac:dyDescent="0.25">
      <c r="L2609" s="169"/>
    </row>
    <row r="2610" spans="12:12" x14ac:dyDescent="0.25">
      <c r="L2610" s="169"/>
    </row>
    <row r="2611" spans="12:12" x14ac:dyDescent="0.25">
      <c r="L2611" s="169"/>
    </row>
    <row r="2612" spans="12:12" x14ac:dyDescent="0.25">
      <c r="L2612" s="169"/>
    </row>
    <row r="2613" spans="12:12" x14ac:dyDescent="0.25">
      <c r="L2613" s="169"/>
    </row>
    <row r="2614" spans="12:12" x14ac:dyDescent="0.25">
      <c r="L2614" s="169"/>
    </row>
    <row r="2615" spans="12:12" x14ac:dyDescent="0.25">
      <c r="L2615" s="169"/>
    </row>
    <row r="2616" spans="12:12" x14ac:dyDescent="0.25">
      <c r="L2616" s="169"/>
    </row>
    <row r="2617" spans="12:12" x14ac:dyDescent="0.25">
      <c r="L2617" s="169"/>
    </row>
    <row r="2618" spans="12:12" x14ac:dyDescent="0.25">
      <c r="L2618" s="169"/>
    </row>
    <row r="2619" spans="12:12" x14ac:dyDescent="0.25">
      <c r="L2619" s="169"/>
    </row>
    <row r="2620" spans="12:12" x14ac:dyDescent="0.25">
      <c r="L2620" s="169"/>
    </row>
    <row r="2621" spans="12:12" x14ac:dyDescent="0.25">
      <c r="L2621" s="169"/>
    </row>
    <row r="2622" spans="12:12" x14ac:dyDescent="0.25">
      <c r="L2622" s="169"/>
    </row>
    <row r="2623" spans="12:12" x14ac:dyDescent="0.25">
      <c r="L2623" s="169"/>
    </row>
    <row r="2624" spans="12:12" x14ac:dyDescent="0.25">
      <c r="L2624" s="169"/>
    </row>
    <row r="2625" spans="12:12" x14ac:dyDescent="0.25">
      <c r="L2625" s="169"/>
    </row>
    <row r="2626" spans="12:12" x14ac:dyDescent="0.25">
      <c r="L2626" s="169"/>
    </row>
    <row r="2627" spans="12:12" x14ac:dyDescent="0.25">
      <c r="L2627" s="169"/>
    </row>
    <row r="2628" spans="12:12" x14ac:dyDescent="0.25">
      <c r="L2628" s="169"/>
    </row>
    <row r="2629" spans="12:12" x14ac:dyDescent="0.25">
      <c r="L2629" s="169"/>
    </row>
    <row r="2630" spans="12:12" x14ac:dyDescent="0.25">
      <c r="L2630" s="169"/>
    </row>
    <row r="2631" spans="12:12" x14ac:dyDescent="0.25">
      <c r="L2631" s="169"/>
    </row>
    <row r="2632" spans="12:12" x14ac:dyDescent="0.25">
      <c r="L2632" s="169"/>
    </row>
    <row r="2633" spans="12:12" x14ac:dyDescent="0.25">
      <c r="L2633" s="169"/>
    </row>
    <row r="2634" spans="12:12" x14ac:dyDescent="0.25">
      <c r="L2634" s="169"/>
    </row>
    <row r="2635" spans="12:12" x14ac:dyDescent="0.25">
      <c r="L2635" s="169"/>
    </row>
    <row r="2636" spans="12:12" x14ac:dyDescent="0.25">
      <c r="L2636" s="169"/>
    </row>
    <row r="2637" spans="12:12" x14ac:dyDescent="0.25">
      <c r="L2637" s="169"/>
    </row>
    <row r="2638" spans="12:12" x14ac:dyDescent="0.25">
      <c r="L2638" s="169"/>
    </row>
    <row r="2639" spans="12:12" x14ac:dyDescent="0.25">
      <c r="L2639" s="169"/>
    </row>
    <row r="2640" spans="12:12" x14ac:dyDescent="0.25">
      <c r="L2640" s="169"/>
    </row>
    <row r="2641" spans="12:12" x14ac:dyDescent="0.25">
      <c r="L2641" s="169"/>
    </row>
    <row r="2642" spans="12:12" x14ac:dyDescent="0.25">
      <c r="L2642" s="169"/>
    </row>
    <row r="2643" spans="12:12" x14ac:dyDescent="0.25">
      <c r="L2643" s="169"/>
    </row>
    <row r="2644" spans="12:12" x14ac:dyDescent="0.25">
      <c r="L2644" s="169"/>
    </row>
    <row r="2645" spans="12:12" x14ac:dyDescent="0.25">
      <c r="L2645" s="169"/>
    </row>
    <row r="2646" spans="12:12" x14ac:dyDescent="0.25">
      <c r="L2646" s="169"/>
    </row>
    <row r="2647" spans="12:12" x14ac:dyDescent="0.25">
      <c r="L2647" s="169"/>
    </row>
    <row r="2648" spans="12:12" x14ac:dyDescent="0.25">
      <c r="L2648" s="169"/>
    </row>
    <row r="2649" spans="12:12" x14ac:dyDescent="0.25">
      <c r="L2649" s="169"/>
    </row>
    <row r="2650" spans="12:12" x14ac:dyDescent="0.25">
      <c r="L2650" s="169"/>
    </row>
    <row r="2651" spans="12:12" x14ac:dyDescent="0.25">
      <c r="L2651" s="169"/>
    </row>
    <row r="2652" spans="12:12" x14ac:dyDescent="0.25">
      <c r="L2652" s="169"/>
    </row>
    <row r="2653" spans="12:12" x14ac:dyDescent="0.25">
      <c r="L2653" s="169"/>
    </row>
    <row r="2654" spans="12:12" x14ac:dyDescent="0.25">
      <c r="L2654" s="169"/>
    </row>
    <row r="2655" spans="12:12" x14ac:dyDescent="0.25">
      <c r="L2655" s="169"/>
    </row>
    <row r="2656" spans="12:12" x14ac:dyDescent="0.25">
      <c r="L2656" s="169"/>
    </row>
    <row r="2657" spans="12:12" x14ac:dyDescent="0.25">
      <c r="L2657" s="169"/>
    </row>
    <row r="2658" spans="12:12" x14ac:dyDescent="0.25">
      <c r="L2658" s="169"/>
    </row>
    <row r="2659" spans="12:12" x14ac:dyDescent="0.25">
      <c r="L2659" s="169"/>
    </row>
    <row r="2660" spans="12:12" x14ac:dyDescent="0.25">
      <c r="L2660" s="169"/>
    </row>
    <row r="2661" spans="12:12" x14ac:dyDescent="0.25">
      <c r="L2661" s="169"/>
    </row>
    <row r="2662" spans="12:12" x14ac:dyDescent="0.25">
      <c r="L2662" s="169"/>
    </row>
    <row r="2663" spans="12:12" x14ac:dyDescent="0.25">
      <c r="L2663" s="169"/>
    </row>
    <row r="2664" spans="12:12" x14ac:dyDescent="0.25">
      <c r="L2664" s="169"/>
    </row>
    <row r="2665" spans="12:12" x14ac:dyDescent="0.25">
      <c r="L2665" s="169"/>
    </row>
    <row r="2666" spans="12:12" x14ac:dyDescent="0.25">
      <c r="L2666" s="169"/>
    </row>
    <row r="2667" spans="12:12" x14ac:dyDescent="0.25">
      <c r="L2667" s="169"/>
    </row>
    <row r="2668" spans="12:12" x14ac:dyDescent="0.25">
      <c r="L2668" s="169"/>
    </row>
    <row r="2669" spans="12:12" x14ac:dyDescent="0.25">
      <c r="L2669" s="169"/>
    </row>
    <row r="2670" spans="12:12" x14ac:dyDescent="0.25">
      <c r="L2670" s="169"/>
    </row>
    <row r="2671" spans="12:12" x14ac:dyDescent="0.25">
      <c r="L2671" s="169"/>
    </row>
    <row r="2672" spans="12:12" x14ac:dyDescent="0.25">
      <c r="L2672" s="169"/>
    </row>
    <row r="2673" spans="12:12" x14ac:dyDescent="0.25">
      <c r="L2673" s="169"/>
    </row>
    <row r="2674" spans="12:12" x14ac:dyDescent="0.25">
      <c r="L2674" s="169"/>
    </row>
    <row r="2675" spans="12:12" x14ac:dyDescent="0.25">
      <c r="L2675" s="169"/>
    </row>
    <row r="2676" spans="12:12" x14ac:dyDescent="0.25">
      <c r="L2676" s="169"/>
    </row>
    <row r="2677" spans="12:12" x14ac:dyDescent="0.25">
      <c r="L2677" s="169"/>
    </row>
    <row r="2678" spans="12:12" x14ac:dyDescent="0.25">
      <c r="L2678" s="169"/>
    </row>
    <row r="2679" spans="12:12" x14ac:dyDescent="0.25">
      <c r="L2679" s="169"/>
    </row>
    <row r="2680" spans="12:12" x14ac:dyDescent="0.25">
      <c r="L2680" s="169"/>
    </row>
    <row r="2681" spans="12:12" x14ac:dyDescent="0.25">
      <c r="L2681" s="169"/>
    </row>
    <row r="2682" spans="12:12" x14ac:dyDescent="0.25">
      <c r="L2682" s="169"/>
    </row>
    <row r="2683" spans="12:12" x14ac:dyDescent="0.25">
      <c r="L2683" s="169"/>
    </row>
    <row r="2684" spans="12:12" x14ac:dyDescent="0.25">
      <c r="L2684" s="169"/>
    </row>
    <row r="2685" spans="12:12" x14ac:dyDescent="0.25">
      <c r="L2685" s="169"/>
    </row>
    <row r="2686" spans="12:12" x14ac:dyDescent="0.25">
      <c r="L2686" s="169"/>
    </row>
    <row r="2687" spans="12:12" x14ac:dyDescent="0.25">
      <c r="L2687" s="169"/>
    </row>
    <row r="2688" spans="12:12" x14ac:dyDescent="0.25">
      <c r="L2688" s="169"/>
    </row>
    <row r="2689" spans="12:12" x14ac:dyDescent="0.25">
      <c r="L2689" s="169"/>
    </row>
    <row r="2690" spans="12:12" x14ac:dyDescent="0.25">
      <c r="L2690" s="169"/>
    </row>
    <row r="2691" spans="12:12" x14ac:dyDescent="0.25">
      <c r="L2691" s="169"/>
    </row>
    <row r="2692" spans="12:12" x14ac:dyDescent="0.25">
      <c r="L2692" s="169"/>
    </row>
    <row r="2693" spans="12:12" x14ac:dyDescent="0.25">
      <c r="L2693" s="169"/>
    </row>
    <row r="2694" spans="12:12" x14ac:dyDescent="0.25">
      <c r="L2694" s="169"/>
    </row>
    <row r="2695" spans="12:12" x14ac:dyDescent="0.25">
      <c r="L2695" s="169"/>
    </row>
    <row r="2696" spans="12:12" x14ac:dyDescent="0.25">
      <c r="L2696" s="169"/>
    </row>
    <row r="2697" spans="12:12" x14ac:dyDescent="0.25">
      <c r="L2697" s="169"/>
    </row>
    <row r="2698" spans="12:12" x14ac:dyDescent="0.25">
      <c r="L2698" s="169"/>
    </row>
    <row r="2699" spans="12:12" x14ac:dyDescent="0.25">
      <c r="L2699" s="169"/>
    </row>
    <row r="2700" spans="12:12" x14ac:dyDescent="0.25">
      <c r="L2700" s="169"/>
    </row>
    <row r="2701" spans="12:12" x14ac:dyDescent="0.25">
      <c r="L2701" s="169"/>
    </row>
    <row r="2702" spans="12:12" x14ac:dyDescent="0.25">
      <c r="L2702" s="169"/>
    </row>
    <row r="2703" spans="12:12" x14ac:dyDescent="0.25">
      <c r="L2703" s="169"/>
    </row>
    <row r="2704" spans="12:12" x14ac:dyDescent="0.25">
      <c r="L2704" s="169"/>
    </row>
    <row r="2705" spans="12:12" x14ac:dyDescent="0.25">
      <c r="L2705" s="169"/>
    </row>
    <row r="2706" spans="12:12" x14ac:dyDescent="0.25">
      <c r="L2706" s="169"/>
    </row>
    <row r="2707" spans="12:12" x14ac:dyDescent="0.25">
      <c r="L2707" s="169"/>
    </row>
    <row r="2708" spans="12:12" x14ac:dyDescent="0.25">
      <c r="L2708" s="169"/>
    </row>
    <row r="2709" spans="12:12" x14ac:dyDescent="0.25">
      <c r="L2709" s="169"/>
    </row>
    <row r="2710" spans="12:12" x14ac:dyDescent="0.25">
      <c r="L2710" s="169"/>
    </row>
    <row r="2711" spans="12:12" x14ac:dyDescent="0.25">
      <c r="L2711" s="169"/>
    </row>
    <row r="2712" spans="12:12" x14ac:dyDescent="0.25">
      <c r="L2712" s="169"/>
    </row>
    <row r="2713" spans="12:12" x14ac:dyDescent="0.25">
      <c r="L2713" s="169"/>
    </row>
    <row r="2714" spans="12:12" x14ac:dyDescent="0.25">
      <c r="L2714" s="169"/>
    </row>
    <row r="2715" spans="12:12" x14ac:dyDescent="0.25">
      <c r="L2715" s="169"/>
    </row>
    <row r="2716" spans="12:12" x14ac:dyDescent="0.25">
      <c r="L2716" s="169"/>
    </row>
    <row r="2717" spans="12:12" x14ac:dyDescent="0.25">
      <c r="L2717" s="169"/>
    </row>
    <row r="2718" spans="12:12" x14ac:dyDescent="0.25">
      <c r="L2718" s="169"/>
    </row>
    <row r="2719" spans="12:12" x14ac:dyDescent="0.25">
      <c r="L2719" s="169"/>
    </row>
    <row r="2720" spans="12:12" x14ac:dyDescent="0.25">
      <c r="L2720" s="169"/>
    </row>
    <row r="2721" spans="12:12" x14ac:dyDescent="0.25">
      <c r="L2721" s="169"/>
    </row>
    <row r="2722" spans="12:12" x14ac:dyDescent="0.25">
      <c r="L2722" s="169"/>
    </row>
    <row r="2723" spans="12:12" x14ac:dyDescent="0.25">
      <c r="L2723" s="169"/>
    </row>
    <row r="2724" spans="12:12" x14ac:dyDescent="0.25">
      <c r="L2724" s="169"/>
    </row>
    <row r="2725" spans="12:12" x14ac:dyDescent="0.25">
      <c r="L2725" s="169"/>
    </row>
    <row r="2726" spans="12:12" x14ac:dyDescent="0.25">
      <c r="L2726" s="169"/>
    </row>
    <row r="2727" spans="12:12" x14ac:dyDescent="0.25">
      <c r="L2727" s="169"/>
    </row>
    <row r="2728" spans="12:12" x14ac:dyDescent="0.25">
      <c r="L2728" s="169"/>
    </row>
    <row r="2729" spans="12:12" x14ac:dyDescent="0.25">
      <c r="L2729" s="169"/>
    </row>
    <row r="2730" spans="12:12" x14ac:dyDescent="0.25">
      <c r="L2730" s="169"/>
    </row>
    <row r="2731" spans="12:12" x14ac:dyDescent="0.25">
      <c r="L2731" s="169"/>
    </row>
    <row r="2732" spans="12:12" x14ac:dyDescent="0.25">
      <c r="L2732" s="169"/>
    </row>
    <row r="2733" spans="12:12" x14ac:dyDescent="0.25">
      <c r="L2733" s="169"/>
    </row>
    <row r="2734" spans="12:12" x14ac:dyDescent="0.25">
      <c r="L2734" s="169"/>
    </row>
    <row r="2735" spans="12:12" x14ac:dyDescent="0.25">
      <c r="L2735" s="169"/>
    </row>
    <row r="2736" spans="12:12" x14ac:dyDescent="0.25">
      <c r="L2736" s="169"/>
    </row>
    <row r="2737" spans="12:12" x14ac:dyDescent="0.25">
      <c r="L2737" s="169"/>
    </row>
    <row r="2738" spans="12:12" x14ac:dyDescent="0.25">
      <c r="L2738" s="169"/>
    </row>
    <row r="2739" spans="12:12" x14ac:dyDescent="0.25">
      <c r="L2739" s="169"/>
    </row>
    <row r="2740" spans="12:12" x14ac:dyDescent="0.25">
      <c r="L2740" s="169"/>
    </row>
    <row r="2741" spans="12:12" x14ac:dyDescent="0.25">
      <c r="L2741" s="169"/>
    </row>
    <row r="2742" spans="12:12" x14ac:dyDescent="0.25">
      <c r="L2742" s="169"/>
    </row>
    <row r="2743" spans="12:12" x14ac:dyDescent="0.25">
      <c r="L2743" s="169"/>
    </row>
    <row r="2744" spans="12:12" x14ac:dyDescent="0.25">
      <c r="L2744" s="169"/>
    </row>
    <row r="2745" spans="12:12" x14ac:dyDescent="0.25">
      <c r="L2745" s="169"/>
    </row>
    <row r="2746" spans="12:12" x14ac:dyDescent="0.25">
      <c r="L2746" s="169"/>
    </row>
    <row r="2747" spans="12:12" x14ac:dyDescent="0.25">
      <c r="L2747" s="169"/>
    </row>
    <row r="2748" spans="12:12" x14ac:dyDescent="0.25">
      <c r="L2748" s="169"/>
    </row>
    <row r="2749" spans="12:12" x14ac:dyDescent="0.25">
      <c r="L2749" s="169"/>
    </row>
    <row r="2750" spans="12:12" x14ac:dyDescent="0.25">
      <c r="L2750" s="169"/>
    </row>
    <row r="2751" spans="12:12" x14ac:dyDescent="0.25">
      <c r="L2751" s="169"/>
    </row>
    <row r="2752" spans="12:12" x14ac:dyDescent="0.25">
      <c r="L2752" s="169"/>
    </row>
    <row r="2753" spans="12:12" x14ac:dyDescent="0.25">
      <c r="L2753" s="169"/>
    </row>
    <row r="2754" spans="12:12" x14ac:dyDescent="0.25">
      <c r="L2754" s="169"/>
    </row>
    <row r="2755" spans="12:12" x14ac:dyDescent="0.25">
      <c r="L2755" s="169"/>
    </row>
    <row r="2756" spans="12:12" x14ac:dyDescent="0.25">
      <c r="L2756" s="169"/>
    </row>
    <row r="2757" spans="12:12" x14ac:dyDescent="0.25">
      <c r="L2757" s="169"/>
    </row>
    <row r="2758" spans="12:12" x14ac:dyDescent="0.25">
      <c r="L2758" s="169"/>
    </row>
    <row r="2759" spans="12:12" x14ac:dyDescent="0.25">
      <c r="L2759" s="169"/>
    </row>
    <row r="2760" spans="12:12" x14ac:dyDescent="0.25">
      <c r="L2760" s="169"/>
    </row>
    <row r="2761" spans="12:12" x14ac:dyDescent="0.25">
      <c r="L2761" s="169"/>
    </row>
    <row r="2762" spans="12:12" x14ac:dyDescent="0.25">
      <c r="L2762" s="169"/>
    </row>
    <row r="2763" spans="12:12" x14ac:dyDescent="0.25">
      <c r="L2763" s="169"/>
    </row>
    <row r="2764" spans="12:12" x14ac:dyDescent="0.25">
      <c r="L2764" s="169"/>
    </row>
    <row r="2765" spans="12:12" x14ac:dyDescent="0.25">
      <c r="L2765" s="169"/>
    </row>
    <row r="2766" spans="12:12" x14ac:dyDescent="0.25">
      <c r="L2766" s="169"/>
    </row>
    <row r="2767" spans="12:12" x14ac:dyDescent="0.25">
      <c r="L2767" s="169"/>
    </row>
    <row r="2768" spans="12:12" x14ac:dyDescent="0.25">
      <c r="L2768" s="169"/>
    </row>
    <row r="2769" spans="12:12" x14ac:dyDescent="0.25">
      <c r="L2769" s="169"/>
    </row>
    <row r="2770" spans="12:12" x14ac:dyDescent="0.25">
      <c r="L2770" s="169"/>
    </row>
    <row r="2771" spans="12:12" x14ac:dyDescent="0.25">
      <c r="L2771" s="169"/>
    </row>
    <row r="2772" spans="12:12" x14ac:dyDescent="0.25">
      <c r="L2772" s="169"/>
    </row>
    <row r="2773" spans="12:12" x14ac:dyDescent="0.25">
      <c r="L2773" s="169"/>
    </row>
    <row r="2774" spans="12:12" x14ac:dyDescent="0.25">
      <c r="L2774" s="169"/>
    </row>
    <row r="2775" spans="12:12" x14ac:dyDescent="0.25">
      <c r="L2775" s="169"/>
    </row>
    <row r="2776" spans="12:12" x14ac:dyDescent="0.25">
      <c r="L2776" s="169"/>
    </row>
    <row r="2777" spans="12:12" x14ac:dyDescent="0.25">
      <c r="L2777" s="169"/>
    </row>
    <row r="2778" spans="12:12" x14ac:dyDescent="0.25">
      <c r="L2778" s="169"/>
    </row>
    <row r="2779" spans="12:12" x14ac:dyDescent="0.25">
      <c r="L2779" s="169"/>
    </row>
    <row r="2780" spans="12:12" x14ac:dyDescent="0.25">
      <c r="L2780" s="169"/>
    </row>
    <row r="2781" spans="12:12" x14ac:dyDescent="0.25">
      <c r="L2781" s="169"/>
    </row>
    <row r="2782" spans="12:12" x14ac:dyDescent="0.25">
      <c r="L2782" s="169"/>
    </row>
    <row r="2783" spans="12:12" x14ac:dyDescent="0.25">
      <c r="L2783" s="169"/>
    </row>
    <row r="2784" spans="12:12" x14ac:dyDescent="0.25">
      <c r="L2784" s="169"/>
    </row>
    <row r="2785" spans="12:12" x14ac:dyDescent="0.25">
      <c r="L2785" s="169"/>
    </row>
    <row r="2786" spans="12:12" x14ac:dyDescent="0.25">
      <c r="L2786" s="169"/>
    </row>
    <row r="2787" spans="12:12" x14ac:dyDescent="0.25">
      <c r="L2787" s="169"/>
    </row>
    <row r="2788" spans="12:12" x14ac:dyDescent="0.25">
      <c r="L2788" s="169"/>
    </row>
    <row r="2789" spans="12:12" x14ac:dyDescent="0.25">
      <c r="L2789" s="169"/>
    </row>
    <row r="2790" spans="12:12" x14ac:dyDescent="0.25">
      <c r="L2790" s="169"/>
    </row>
    <row r="2791" spans="12:12" x14ac:dyDescent="0.25">
      <c r="L2791" s="169"/>
    </row>
    <row r="2792" spans="12:12" x14ac:dyDescent="0.25">
      <c r="L2792" s="169"/>
    </row>
    <row r="2793" spans="12:12" x14ac:dyDescent="0.25">
      <c r="L2793" s="169"/>
    </row>
    <row r="2794" spans="12:12" x14ac:dyDescent="0.25">
      <c r="L2794" s="169"/>
    </row>
    <row r="2795" spans="12:12" x14ac:dyDescent="0.25">
      <c r="L2795" s="169"/>
    </row>
    <row r="2796" spans="12:12" x14ac:dyDescent="0.25">
      <c r="L2796" s="169"/>
    </row>
    <row r="2797" spans="12:12" x14ac:dyDescent="0.25">
      <c r="L2797" s="169"/>
    </row>
    <row r="2798" spans="12:12" x14ac:dyDescent="0.25">
      <c r="L2798" s="169"/>
    </row>
    <row r="2799" spans="12:12" x14ac:dyDescent="0.25">
      <c r="L2799" s="169"/>
    </row>
    <row r="2800" spans="12:12" x14ac:dyDescent="0.25">
      <c r="L2800" s="169"/>
    </row>
    <row r="2801" spans="12:12" x14ac:dyDescent="0.25">
      <c r="L2801" s="169"/>
    </row>
    <row r="2802" spans="12:12" x14ac:dyDescent="0.25">
      <c r="L2802" s="169"/>
    </row>
    <row r="2803" spans="12:12" x14ac:dyDescent="0.25">
      <c r="L2803" s="169"/>
    </row>
    <row r="2804" spans="12:12" x14ac:dyDescent="0.25">
      <c r="L2804" s="169"/>
    </row>
    <row r="2805" spans="12:12" x14ac:dyDescent="0.25">
      <c r="L2805" s="169"/>
    </row>
    <row r="2806" spans="12:12" x14ac:dyDescent="0.25">
      <c r="L2806" s="169"/>
    </row>
    <row r="2807" spans="12:12" x14ac:dyDescent="0.25">
      <c r="L2807" s="169"/>
    </row>
    <row r="2808" spans="12:12" x14ac:dyDescent="0.25">
      <c r="L2808" s="169"/>
    </row>
    <row r="2809" spans="12:12" x14ac:dyDescent="0.25">
      <c r="L2809" s="169"/>
    </row>
    <row r="2810" spans="12:12" x14ac:dyDescent="0.25">
      <c r="L2810" s="169"/>
    </row>
    <row r="2811" spans="12:12" x14ac:dyDescent="0.25">
      <c r="L2811" s="169"/>
    </row>
    <row r="2812" spans="12:12" x14ac:dyDescent="0.25">
      <c r="L2812" s="169"/>
    </row>
    <row r="2813" spans="12:12" x14ac:dyDescent="0.25">
      <c r="L2813" s="169"/>
    </row>
    <row r="2814" spans="12:12" x14ac:dyDescent="0.25">
      <c r="L2814" s="169"/>
    </row>
    <row r="2815" spans="12:12" x14ac:dyDescent="0.25">
      <c r="L2815" s="169"/>
    </row>
    <row r="2816" spans="12:12" x14ac:dyDescent="0.25">
      <c r="L2816" s="169"/>
    </row>
    <row r="2817" spans="12:12" x14ac:dyDescent="0.25">
      <c r="L2817" s="169"/>
    </row>
    <row r="2818" spans="12:12" x14ac:dyDescent="0.25">
      <c r="L2818" s="169"/>
    </row>
    <row r="2819" spans="12:12" x14ac:dyDescent="0.25">
      <c r="L2819" s="169"/>
    </row>
    <row r="2820" spans="12:12" x14ac:dyDescent="0.25">
      <c r="L2820" s="169"/>
    </row>
    <row r="2821" spans="12:12" x14ac:dyDescent="0.25">
      <c r="L2821" s="169"/>
    </row>
    <row r="2822" spans="12:12" x14ac:dyDescent="0.25">
      <c r="L2822" s="169"/>
    </row>
    <row r="2823" spans="12:12" x14ac:dyDescent="0.25">
      <c r="L2823" s="169"/>
    </row>
    <row r="2824" spans="12:12" x14ac:dyDescent="0.25">
      <c r="L2824" s="169"/>
    </row>
    <row r="2825" spans="12:12" x14ac:dyDescent="0.25">
      <c r="L2825" s="169"/>
    </row>
    <row r="2826" spans="12:12" x14ac:dyDescent="0.25">
      <c r="L2826" s="169"/>
    </row>
    <row r="2827" spans="12:12" x14ac:dyDescent="0.25">
      <c r="L2827" s="169"/>
    </row>
    <row r="2828" spans="12:12" x14ac:dyDescent="0.25">
      <c r="L2828" s="169"/>
    </row>
    <row r="2829" spans="12:12" x14ac:dyDescent="0.25">
      <c r="L2829" s="169"/>
    </row>
    <row r="2830" spans="12:12" x14ac:dyDescent="0.25">
      <c r="L2830" s="169"/>
    </row>
    <row r="2831" spans="12:12" x14ac:dyDescent="0.25">
      <c r="L2831" s="169"/>
    </row>
    <row r="2832" spans="12:12" x14ac:dyDescent="0.25">
      <c r="L2832" s="169"/>
    </row>
    <row r="2833" spans="12:12" x14ac:dyDescent="0.25">
      <c r="L2833" s="169"/>
    </row>
    <row r="2834" spans="12:12" x14ac:dyDescent="0.25">
      <c r="L2834" s="169"/>
    </row>
    <row r="2835" spans="12:12" x14ac:dyDescent="0.25">
      <c r="L2835" s="169"/>
    </row>
    <row r="2836" spans="12:12" x14ac:dyDescent="0.25">
      <c r="L2836" s="169"/>
    </row>
    <row r="2837" spans="12:12" x14ac:dyDescent="0.25">
      <c r="L2837" s="169"/>
    </row>
    <row r="2838" spans="12:12" x14ac:dyDescent="0.25">
      <c r="L2838" s="169"/>
    </row>
    <row r="2839" spans="12:12" x14ac:dyDescent="0.25">
      <c r="L2839" s="169"/>
    </row>
    <row r="2840" spans="12:12" x14ac:dyDescent="0.25">
      <c r="L2840" s="169"/>
    </row>
    <row r="2841" spans="12:12" x14ac:dyDescent="0.25">
      <c r="L2841" s="169"/>
    </row>
    <row r="2842" spans="12:12" x14ac:dyDescent="0.25">
      <c r="L2842" s="169"/>
    </row>
    <row r="2843" spans="12:12" x14ac:dyDescent="0.25">
      <c r="L2843" s="169"/>
    </row>
    <row r="2844" spans="12:12" x14ac:dyDescent="0.25">
      <c r="L2844" s="169"/>
    </row>
    <row r="2845" spans="12:12" x14ac:dyDescent="0.25">
      <c r="L2845" s="169"/>
    </row>
    <row r="2846" spans="12:12" x14ac:dyDescent="0.25">
      <c r="L2846" s="169"/>
    </row>
    <row r="2847" spans="12:12" x14ac:dyDescent="0.25">
      <c r="L2847" s="169"/>
    </row>
    <row r="2848" spans="12:12" x14ac:dyDescent="0.25">
      <c r="L2848" s="169"/>
    </row>
    <row r="2849" spans="12:12" x14ac:dyDescent="0.25">
      <c r="L2849" s="169"/>
    </row>
    <row r="2850" spans="12:12" x14ac:dyDescent="0.25">
      <c r="L2850" s="169"/>
    </row>
    <row r="2851" spans="12:12" x14ac:dyDescent="0.25">
      <c r="L2851" s="169"/>
    </row>
    <row r="2852" spans="12:12" x14ac:dyDescent="0.25">
      <c r="L2852" s="169"/>
    </row>
    <row r="2853" spans="12:12" x14ac:dyDescent="0.25">
      <c r="L2853" s="169"/>
    </row>
    <row r="2854" spans="12:12" x14ac:dyDescent="0.25">
      <c r="L2854" s="169"/>
    </row>
    <row r="2855" spans="12:12" x14ac:dyDescent="0.25">
      <c r="L2855" s="169"/>
    </row>
    <row r="2856" spans="12:12" x14ac:dyDescent="0.25">
      <c r="L2856" s="169"/>
    </row>
    <row r="2857" spans="12:12" x14ac:dyDescent="0.25">
      <c r="L2857" s="169"/>
    </row>
    <row r="2858" spans="12:12" x14ac:dyDescent="0.25">
      <c r="L2858" s="169"/>
    </row>
    <row r="2859" spans="12:12" x14ac:dyDescent="0.25">
      <c r="L2859" s="169"/>
    </row>
    <row r="2860" spans="12:12" x14ac:dyDescent="0.25">
      <c r="L2860" s="169"/>
    </row>
    <row r="2861" spans="12:12" x14ac:dyDescent="0.25">
      <c r="L2861" s="169"/>
    </row>
    <row r="2862" spans="12:12" x14ac:dyDescent="0.25">
      <c r="L2862" s="169"/>
    </row>
    <row r="2863" spans="12:12" x14ac:dyDescent="0.25">
      <c r="L2863" s="169"/>
    </row>
    <row r="2864" spans="12:12" x14ac:dyDescent="0.25">
      <c r="L2864" s="169"/>
    </row>
    <row r="2865" spans="12:12" x14ac:dyDescent="0.25">
      <c r="L2865" s="169"/>
    </row>
    <row r="2866" spans="12:12" x14ac:dyDescent="0.25">
      <c r="L2866" s="169"/>
    </row>
    <row r="2867" spans="12:12" x14ac:dyDescent="0.25">
      <c r="L2867" s="169"/>
    </row>
    <row r="2868" spans="12:12" x14ac:dyDescent="0.25">
      <c r="L2868" s="169"/>
    </row>
    <row r="2869" spans="12:12" x14ac:dyDescent="0.25">
      <c r="L2869" s="169"/>
    </row>
    <row r="2870" spans="12:12" x14ac:dyDescent="0.25">
      <c r="L2870" s="169"/>
    </row>
    <row r="2871" spans="12:12" x14ac:dyDescent="0.25">
      <c r="L2871" s="169"/>
    </row>
    <row r="2872" spans="12:12" x14ac:dyDescent="0.25">
      <c r="L2872" s="169"/>
    </row>
    <row r="2873" spans="12:12" x14ac:dyDescent="0.25">
      <c r="L2873" s="169"/>
    </row>
    <row r="2874" spans="12:12" x14ac:dyDescent="0.25">
      <c r="L2874" s="169"/>
    </row>
    <row r="2875" spans="12:12" x14ac:dyDescent="0.25">
      <c r="L2875" s="169"/>
    </row>
    <row r="2876" spans="12:12" x14ac:dyDescent="0.25">
      <c r="L2876" s="169"/>
    </row>
    <row r="2877" spans="12:12" x14ac:dyDescent="0.25">
      <c r="L2877" s="169"/>
    </row>
    <row r="2878" spans="12:12" x14ac:dyDescent="0.25">
      <c r="L2878" s="169"/>
    </row>
    <row r="2879" spans="12:12" x14ac:dyDescent="0.25">
      <c r="L2879" s="169"/>
    </row>
    <row r="2880" spans="12:12" x14ac:dyDescent="0.25">
      <c r="L2880" s="169"/>
    </row>
    <row r="2881" spans="12:12" x14ac:dyDescent="0.25">
      <c r="L2881" s="169"/>
    </row>
    <row r="2882" spans="12:12" x14ac:dyDescent="0.25">
      <c r="L2882" s="169"/>
    </row>
    <row r="2883" spans="12:12" x14ac:dyDescent="0.25">
      <c r="L2883" s="169"/>
    </row>
    <row r="2884" spans="12:12" x14ac:dyDescent="0.25">
      <c r="L2884" s="169"/>
    </row>
    <row r="2885" spans="12:12" x14ac:dyDescent="0.25">
      <c r="L2885" s="169"/>
    </row>
    <row r="2886" spans="12:12" x14ac:dyDescent="0.25">
      <c r="L2886" s="169"/>
    </row>
    <row r="2887" spans="12:12" x14ac:dyDescent="0.25">
      <c r="L2887" s="169"/>
    </row>
    <row r="2888" spans="12:12" x14ac:dyDescent="0.25">
      <c r="L2888" s="169"/>
    </row>
    <row r="2889" spans="12:12" x14ac:dyDescent="0.25">
      <c r="L2889" s="169"/>
    </row>
    <row r="2890" spans="12:12" x14ac:dyDescent="0.25">
      <c r="L2890" s="169"/>
    </row>
    <row r="2891" spans="12:12" x14ac:dyDescent="0.25">
      <c r="L2891" s="169"/>
    </row>
    <row r="2892" spans="12:12" x14ac:dyDescent="0.25">
      <c r="L2892" s="169"/>
    </row>
    <row r="2893" spans="12:12" x14ac:dyDescent="0.25">
      <c r="L2893" s="169"/>
    </row>
    <row r="2894" spans="12:12" x14ac:dyDescent="0.25">
      <c r="L2894" s="169"/>
    </row>
    <row r="2895" spans="12:12" x14ac:dyDescent="0.25">
      <c r="L2895" s="169"/>
    </row>
    <row r="2896" spans="12:12" x14ac:dyDescent="0.25">
      <c r="L2896" s="169"/>
    </row>
    <row r="2897" spans="12:12" x14ac:dyDescent="0.25">
      <c r="L2897" s="169"/>
    </row>
    <row r="2898" spans="12:12" x14ac:dyDescent="0.25">
      <c r="L2898" s="169"/>
    </row>
    <row r="2899" spans="12:12" x14ac:dyDescent="0.25">
      <c r="L2899" s="169"/>
    </row>
    <row r="2900" spans="12:12" x14ac:dyDescent="0.25">
      <c r="L2900" s="169"/>
    </row>
    <row r="2901" spans="12:12" x14ac:dyDescent="0.25">
      <c r="L2901" s="169"/>
    </row>
    <row r="2902" spans="12:12" x14ac:dyDescent="0.25">
      <c r="L2902" s="169"/>
    </row>
    <row r="2903" spans="12:12" x14ac:dyDescent="0.25">
      <c r="L2903" s="169"/>
    </row>
    <row r="2904" spans="12:12" x14ac:dyDescent="0.25">
      <c r="L2904" s="169"/>
    </row>
    <row r="2905" spans="12:12" x14ac:dyDescent="0.25">
      <c r="L2905" s="169"/>
    </row>
    <row r="2906" spans="12:12" x14ac:dyDescent="0.25">
      <c r="L2906" s="169"/>
    </row>
    <row r="2907" spans="12:12" x14ac:dyDescent="0.25">
      <c r="L2907" s="169"/>
    </row>
    <row r="2908" spans="12:12" x14ac:dyDescent="0.25">
      <c r="L2908" s="169"/>
    </row>
    <row r="2909" spans="12:12" x14ac:dyDescent="0.25">
      <c r="L2909" s="169"/>
    </row>
    <row r="2910" spans="12:12" x14ac:dyDescent="0.25">
      <c r="L2910" s="169"/>
    </row>
    <row r="2911" spans="12:12" x14ac:dyDescent="0.25">
      <c r="L2911" s="169"/>
    </row>
    <row r="2912" spans="12:12" x14ac:dyDescent="0.25">
      <c r="L2912" s="169"/>
    </row>
    <row r="2913" spans="12:12" x14ac:dyDescent="0.25">
      <c r="L2913" s="169"/>
    </row>
    <row r="2914" spans="12:12" x14ac:dyDescent="0.25">
      <c r="L2914" s="169"/>
    </row>
    <row r="2915" spans="12:12" x14ac:dyDescent="0.25">
      <c r="L2915" s="169"/>
    </row>
    <row r="2916" spans="12:12" x14ac:dyDescent="0.25">
      <c r="L2916" s="169"/>
    </row>
    <row r="2917" spans="12:12" x14ac:dyDescent="0.25">
      <c r="L2917" s="169"/>
    </row>
    <row r="2918" spans="12:12" x14ac:dyDescent="0.25">
      <c r="L2918" s="169"/>
    </row>
    <row r="2919" spans="12:12" x14ac:dyDescent="0.25">
      <c r="L2919" s="169"/>
    </row>
    <row r="2920" spans="12:12" x14ac:dyDescent="0.25">
      <c r="L2920" s="169"/>
    </row>
    <row r="2921" spans="12:12" x14ac:dyDescent="0.25">
      <c r="L2921" s="169"/>
    </row>
    <row r="2922" spans="12:12" x14ac:dyDescent="0.25">
      <c r="L2922" s="169"/>
    </row>
    <row r="2923" spans="12:12" x14ac:dyDescent="0.25">
      <c r="L2923" s="169"/>
    </row>
    <row r="2924" spans="12:12" x14ac:dyDescent="0.25">
      <c r="L2924" s="169"/>
    </row>
    <row r="2925" spans="12:12" x14ac:dyDescent="0.25">
      <c r="L2925" s="169"/>
    </row>
    <row r="2926" spans="12:12" x14ac:dyDescent="0.25">
      <c r="L2926" s="169"/>
    </row>
    <row r="2927" spans="12:12" x14ac:dyDescent="0.25">
      <c r="L2927" s="169"/>
    </row>
    <row r="2928" spans="12:12" x14ac:dyDescent="0.25">
      <c r="L2928" s="169"/>
    </row>
    <row r="2929" spans="12:12" x14ac:dyDescent="0.25">
      <c r="L2929" s="169"/>
    </row>
    <row r="2930" spans="12:12" x14ac:dyDescent="0.25">
      <c r="L2930" s="169"/>
    </row>
    <row r="2931" spans="12:12" x14ac:dyDescent="0.25">
      <c r="L2931" s="169"/>
    </row>
    <row r="2932" spans="12:12" x14ac:dyDescent="0.25">
      <c r="L2932" s="169"/>
    </row>
    <row r="2933" spans="12:12" x14ac:dyDescent="0.25">
      <c r="L2933" s="169"/>
    </row>
    <row r="2934" spans="12:12" x14ac:dyDescent="0.25">
      <c r="L2934" s="169"/>
    </row>
    <row r="2935" spans="12:12" x14ac:dyDescent="0.25">
      <c r="L2935" s="169"/>
    </row>
    <row r="2936" spans="12:12" x14ac:dyDescent="0.25">
      <c r="L2936" s="169"/>
    </row>
    <row r="2937" spans="12:12" x14ac:dyDescent="0.25">
      <c r="L2937" s="169"/>
    </row>
    <row r="2938" spans="12:12" x14ac:dyDescent="0.25">
      <c r="L2938" s="169"/>
    </row>
    <row r="2939" spans="12:12" x14ac:dyDescent="0.25">
      <c r="L2939" s="169"/>
    </row>
    <row r="2940" spans="12:12" x14ac:dyDescent="0.25">
      <c r="L2940" s="169"/>
    </row>
    <row r="2941" spans="12:12" x14ac:dyDescent="0.25">
      <c r="L2941" s="169"/>
    </row>
    <row r="2942" spans="12:12" x14ac:dyDescent="0.25">
      <c r="L2942" s="169"/>
    </row>
    <row r="2943" spans="12:12" x14ac:dyDescent="0.25">
      <c r="L2943" s="169"/>
    </row>
    <row r="2944" spans="12:12" x14ac:dyDescent="0.25">
      <c r="L2944" s="169"/>
    </row>
    <row r="2945" spans="12:12" x14ac:dyDescent="0.25">
      <c r="L2945" s="169"/>
    </row>
    <row r="2946" spans="12:12" x14ac:dyDescent="0.25">
      <c r="L2946" s="169"/>
    </row>
    <row r="2947" spans="12:12" x14ac:dyDescent="0.25">
      <c r="L2947" s="169"/>
    </row>
    <row r="2948" spans="12:12" x14ac:dyDescent="0.25">
      <c r="L2948" s="169"/>
    </row>
    <row r="2949" spans="12:12" x14ac:dyDescent="0.25">
      <c r="L2949" s="169"/>
    </row>
    <row r="2950" spans="12:12" x14ac:dyDescent="0.25">
      <c r="L2950" s="169"/>
    </row>
    <row r="2951" spans="12:12" x14ac:dyDescent="0.25">
      <c r="L2951" s="169"/>
    </row>
    <row r="2952" spans="12:12" x14ac:dyDescent="0.25">
      <c r="L2952" s="169"/>
    </row>
    <row r="2953" spans="12:12" x14ac:dyDescent="0.25">
      <c r="L2953" s="169"/>
    </row>
    <row r="2954" spans="12:12" x14ac:dyDescent="0.25">
      <c r="L2954" s="169"/>
    </row>
    <row r="2955" spans="12:12" x14ac:dyDescent="0.25">
      <c r="L2955" s="169"/>
    </row>
    <row r="2956" spans="12:12" x14ac:dyDescent="0.25">
      <c r="L2956" s="169"/>
    </row>
    <row r="2957" spans="12:12" x14ac:dyDescent="0.25">
      <c r="L2957" s="169"/>
    </row>
    <row r="2958" spans="12:12" x14ac:dyDescent="0.25">
      <c r="L2958" s="169"/>
    </row>
    <row r="2959" spans="12:12" x14ac:dyDescent="0.25">
      <c r="L2959" s="169"/>
    </row>
    <row r="2960" spans="12:12" x14ac:dyDescent="0.25">
      <c r="L2960" s="169"/>
    </row>
    <row r="2961" spans="12:12" x14ac:dyDescent="0.25">
      <c r="L2961" s="169"/>
    </row>
    <row r="2962" spans="12:12" x14ac:dyDescent="0.25">
      <c r="L2962" s="169"/>
    </row>
    <row r="2963" spans="12:12" x14ac:dyDescent="0.25">
      <c r="L2963" s="169"/>
    </row>
    <row r="2964" spans="12:12" x14ac:dyDescent="0.25">
      <c r="L2964" s="169"/>
    </row>
    <row r="2965" spans="12:12" x14ac:dyDescent="0.25">
      <c r="L2965" s="169"/>
    </row>
    <row r="2966" spans="12:12" x14ac:dyDescent="0.25">
      <c r="L2966" s="169"/>
    </row>
    <row r="2967" spans="12:12" x14ac:dyDescent="0.25">
      <c r="L2967" s="169"/>
    </row>
    <row r="2968" spans="12:12" x14ac:dyDescent="0.25">
      <c r="L2968" s="169"/>
    </row>
    <row r="2969" spans="12:12" x14ac:dyDescent="0.25">
      <c r="L2969" s="169"/>
    </row>
    <row r="2970" spans="12:12" x14ac:dyDescent="0.25">
      <c r="L2970" s="169"/>
    </row>
    <row r="2971" spans="12:12" x14ac:dyDescent="0.25">
      <c r="L2971" s="169"/>
    </row>
    <row r="2972" spans="12:12" x14ac:dyDescent="0.25">
      <c r="L2972" s="169"/>
    </row>
    <row r="2973" spans="12:12" x14ac:dyDescent="0.25">
      <c r="L2973" s="169"/>
    </row>
    <row r="2974" spans="12:12" x14ac:dyDescent="0.25">
      <c r="L2974" s="169"/>
    </row>
    <row r="2975" spans="12:12" x14ac:dyDescent="0.25">
      <c r="L2975" s="169"/>
    </row>
    <row r="2976" spans="12:12" x14ac:dyDescent="0.25">
      <c r="L2976" s="169"/>
    </row>
    <row r="2977" spans="12:12" x14ac:dyDescent="0.25">
      <c r="L2977" s="169"/>
    </row>
    <row r="2978" spans="12:12" x14ac:dyDescent="0.25">
      <c r="L2978" s="169"/>
    </row>
    <row r="2979" spans="12:12" x14ac:dyDescent="0.25">
      <c r="L2979" s="169"/>
    </row>
    <row r="2980" spans="12:12" x14ac:dyDescent="0.25">
      <c r="L2980" s="169"/>
    </row>
    <row r="2981" spans="12:12" x14ac:dyDescent="0.25">
      <c r="L2981" s="169"/>
    </row>
    <row r="2982" spans="12:12" x14ac:dyDescent="0.25">
      <c r="L2982" s="169"/>
    </row>
    <row r="2983" spans="12:12" x14ac:dyDescent="0.25">
      <c r="L2983" s="169"/>
    </row>
    <row r="2984" spans="12:12" x14ac:dyDescent="0.25">
      <c r="L2984" s="169"/>
    </row>
    <row r="2985" spans="12:12" x14ac:dyDescent="0.25">
      <c r="L2985" s="169"/>
    </row>
    <row r="2986" spans="12:12" x14ac:dyDescent="0.25">
      <c r="L2986" s="169"/>
    </row>
    <row r="2987" spans="12:12" x14ac:dyDescent="0.25">
      <c r="L2987" s="169"/>
    </row>
    <row r="2988" spans="12:12" x14ac:dyDescent="0.25">
      <c r="L2988" s="169"/>
    </row>
    <row r="2989" spans="12:12" x14ac:dyDescent="0.25">
      <c r="L2989" s="169"/>
    </row>
    <row r="2990" spans="12:12" x14ac:dyDescent="0.25">
      <c r="L2990" s="169"/>
    </row>
    <row r="2991" spans="12:12" x14ac:dyDescent="0.25">
      <c r="L2991" s="169"/>
    </row>
    <row r="2992" spans="12:12" x14ac:dyDescent="0.25">
      <c r="L2992" s="169"/>
    </row>
    <row r="2993" spans="12:12" x14ac:dyDescent="0.25">
      <c r="L2993" s="169"/>
    </row>
    <row r="2994" spans="12:12" x14ac:dyDescent="0.25">
      <c r="L2994" s="169"/>
    </row>
    <row r="2995" spans="12:12" x14ac:dyDescent="0.25">
      <c r="L2995" s="169"/>
    </row>
    <row r="2996" spans="12:12" x14ac:dyDescent="0.25">
      <c r="L2996" s="169"/>
    </row>
    <row r="2997" spans="12:12" x14ac:dyDescent="0.25">
      <c r="L2997" s="169"/>
    </row>
    <row r="2998" spans="12:12" x14ac:dyDescent="0.25">
      <c r="L2998" s="169"/>
    </row>
    <row r="2999" spans="12:12" x14ac:dyDescent="0.25">
      <c r="L2999" s="169"/>
    </row>
    <row r="3000" spans="12:12" x14ac:dyDescent="0.25">
      <c r="L3000" s="169"/>
    </row>
    <row r="3001" spans="12:12" x14ac:dyDescent="0.25">
      <c r="L3001" s="169"/>
    </row>
    <row r="3002" spans="12:12" x14ac:dyDescent="0.25">
      <c r="L3002" s="169"/>
    </row>
    <row r="3003" spans="12:12" x14ac:dyDescent="0.25">
      <c r="L3003" s="169"/>
    </row>
    <row r="3004" spans="12:12" x14ac:dyDescent="0.25">
      <c r="L3004" s="169"/>
    </row>
    <row r="3005" spans="12:12" x14ac:dyDescent="0.25">
      <c r="L3005" s="169"/>
    </row>
    <row r="3006" spans="12:12" x14ac:dyDescent="0.25">
      <c r="L3006" s="169"/>
    </row>
    <row r="3007" spans="12:12" x14ac:dyDescent="0.25">
      <c r="L3007" s="169"/>
    </row>
    <row r="3008" spans="12:12" x14ac:dyDescent="0.25">
      <c r="L3008" s="169"/>
    </row>
    <row r="3009" spans="12:12" x14ac:dyDescent="0.25">
      <c r="L3009" s="169"/>
    </row>
    <row r="3010" spans="12:12" x14ac:dyDescent="0.25">
      <c r="L3010" s="169"/>
    </row>
    <row r="3011" spans="12:12" x14ac:dyDescent="0.25">
      <c r="L3011" s="169"/>
    </row>
    <row r="3012" spans="12:12" x14ac:dyDescent="0.25">
      <c r="L3012" s="169"/>
    </row>
    <row r="3013" spans="12:12" x14ac:dyDescent="0.25">
      <c r="L3013" s="169"/>
    </row>
    <row r="3014" spans="12:12" x14ac:dyDescent="0.25">
      <c r="L3014" s="169"/>
    </row>
    <row r="3015" spans="12:12" x14ac:dyDescent="0.25">
      <c r="L3015" s="169"/>
    </row>
    <row r="3016" spans="12:12" x14ac:dyDescent="0.25">
      <c r="L3016" s="169"/>
    </row>
    <row r="3017" spans="12:12" x14ac:dyDescent="0.25">
      <c r="L3017" s="169"/>
    </row>
    <row r="3018" spans="12:12" x14ac:dyDescent="0.25">
      <c r="L3018" s="169"/>
    </row>
    <row r="3019" spans="12:12" x14ac:dyDescent="0.25">
      <c r="L3019" s="169"/>
    </row>
    <row r="3020" spans="12:12" x14ac:dyDescent="0.25">
      <c r="L3020" s="169"/>
    </row>
    <row r="3021" spans="12:12" x14ac:dyDescent="0.25">
      <c r="L3021" s="169"/>
    </row>
    <row r="3022" spans="12:12" x14ac:dyDescent="0.25">
      <c r="L3022" s="169"/>
    </row>
    <row r="3023" spans="12:12" x14ac:dyDescent="0.25">
      <c r="L3023" s="169"/>
    </row>
    <row r="3024" spans="12:12" x14ac:dyDescent="0.25">
      <c r="L3024" s="169"/>
    </row>
    <row r="3025" spans="12:12" x14ac:dyDescent="0.25">
      <c r="L3025" s="169"/>
    </row>
    <row r="3026" spans="12:12" x14ac:dyDescent="0.25">
      <c r="L3026" s="169"/>
    </row>
    <row r="3027" spans="12:12" x14ac:dyDescent="0.25">
      <c r="L3027" s="169"/>
    </row>
    <row r="3028" spans="12:12" x14ac:dyDescent="0.25">
      <c r="L3028" s="169"/>
    </row>
    <row r="3029" spans="12:12" x14ac:dyDescent="0.25">
      <c r="L3029" s="169"/>
    </row>
    <row r="3030" spans="12:12" x14ac:dyDescent="0.25">
      <c r="L3030" s="169"/>
    </row>
    <row r="3031" spans="12:12" x14ac:dyDescent="0.25">
      <c r="L3031" s="169"/>
    </row>
    <row r="3032" spans="12:12" x14ac:dyDescent="0.25">
      <c r="L3032" s="169"/>
    </row>
    <row r="3033" spans="12:12" x14ac:dyDescent="0.25">
      <c r="L3033" s="169"/>
    </row>
    <row r="3034" spans="12:12" x14ac:dyDescent="0.25">
      <c r="L3034" s="169"/>
    </row>
    <row r="3035" spans="12:12" x14ac:dyDescent="0.25">
      <c r="L3035" s="169"/>
    </row>
    <row r="3036" spans="12:12" x14ac:dyDescent="0.25">
      <c r="L3036" s="169"/>
    </row>
    <row r="3037" spans="12:12" x14ac:dyDescent="0.25">
      <c r="L3037" s="169"/>
    </row>
    <row r="3038" spans="12:12" x14ac:dyDescent="0.25">
      <c r="L3038" s="169"/>
    </row>
    <row r="3039" spans="12:12" x14ac:dyDescent="0.25">
      <c r="L3039" s="169"/>
    </row>
    <row r="3040" spans="12:12" x14ac:dyDescent="0.25">
      <c r="L3040" s="169"/>
    </row>
    <row r="3041" spans="12:12" x14ac:dyDescent="0.25">
      <c r="L3041" s="169"/>
    </row>
    <row r="3042" spans="12:12" x14ac:dyDescent="0.25">
      <c r="L3042" s="169"/>
    </row>
    <row r="3043" spans="12:12" x14ac:dyDescent="0.25">
      <c r="L3043" s="169"/>
    </row>
    <row r="3044" spans="12:12" x14ac:dyDescent="0.25">
      <c r="L3044" s="169"/>
    </row>
    <row r="3045" spans="12:12" x14ac:dyDescent="0.25">
      <c r="L3045" s="169"/>
    </row>
    <row r="3046" spans="12:12" x14ac:dyDescent="0.25">
      <c r="L3046" s="169"/>
    </row>
    <row r="3047" spans="12:12" x14ac:dyDescent="0.25">
      <c r="L3047" s="169"/>
    </row>
    <row r="3048" spans="12:12" x14ac:dyDescent="0.25">
      <c r="L3048" s="169"/>
    </row>
    <row r="3049" spans="12:12" x14ac:dyDescent="0.25">
      <c r="L3049" s="169"/>
    </row>
    <row r="3050" spans="12:12" x14ac:dyDescent="0.25">
      <c r="L3050" s="169"/>
    </row>
    <row r="3051" spans="12:12" x14ac:dyDescent="0.25">
      <c r="L3051" s="169"/>
    </row>
    <row r="3052" spans="12:12" x14ac:dyDescent="0.25">
      <c r="L3052" s="169"/>
    </row>
    <row r="3053" spans="12:12" x14ac:dyDescent="0.25">
      <c r="L3053" s="169"/>
    </row>
    <row r="3054" spans="12:12" x14ac:dyDescent="0.25">
      <c r="L3054" s="169"/>
    </row>
    <row r="3055" spans="12:12" x14ac:dyDescent="0.25">
      <c r="L3055" s="169"/>
    </row>
    <row r="3056" spans="12:12" x14ac:dyDescent="0.25">
      <c r="L3056" s="169"/>
    </row>
    <row r="3057" spans="12:12" x14ac:dyDescent="0.25">
      <c r="L3057" s="169"/>
    </row>
    <row r="3058" spans="12:12" x14ac:dyDescent="0.25">
      <c r="L3058" s="169"/>
    </row>
    <row r="3059" spans="12:12" x14ac:dyDescent="0.25">
      <c r="L3059" s="169"/>
    </row>
    <row r="3060" spans="12:12" x14ac:dyDescent="0.25">
      <c r="L3060" s="169"/>
    </row>
    <row r="3061" spans="12:12" x14ac:dyDescent="0.25">
      <c r="L3061" s="169"/>
    </row>
    <row r="3062" spans="12:12" x14ac:dyDescent="0.25">
      <c r="L3062" s="169"/>
    </row>
    <row r="3063" spans="12:12" x14ac:dyDescent="0.25">
      <c r="L3063" s="169"/>
    </row>
    <row r="3064" spans="12:12" x14ac:dyDescent="0.25">
      <c r="L3064" s="169"/>
    </row>
    <row r="3065" spans="12:12" x14ac:dyDescent="0.25">
      <c r="L3065" s="169"/>
    </row>
    <row r="3066" spans="12:12" x14ac:dyDescent="0.25">
      <c r="L3066" s="169"/>
    </row>
    <row r="3067" spans="12:12" x14ac:dyDescent="0.25">
      <c r="L3067" s="169"/>
    </row>
    <row r="3068" spans="12:12" x14ac:dyDescent="0.25">
      <c r="L3068" s="169"/>
    </row>
    <row r="3069" spans="12:12" x14ac:dyDescent="0.25">
      <c r="L3069" s="169"/>
    </row>
    <row r="3070" spans="12:12" x14ac:dyDescent="0.25">
      <c r="L3070" s="169"/>
    </row>
    <row r="3071" spans="12:12" x14ac:dyDescent="0.25">
      <c r="L3071" s="169"/>
    </row>
    <row r="3072" spans="12:12" x14ac:dyDescent="0.25">
      <c r="L3072" s="169"/>
    </row>
    <row r="3073" spans="12:12" x14ac:dyDescent="0.25">
      <c r="L3073" s="169"/>
    </row>
    <row r="3074" spans="12:12" x14ac:dyDescent="0.25">
      <c r="L3074" s="169"/>
    </row>
    <row r="3075" spans="12:12" x14ac:dyDescent="0.25">
      <c r="L3075" s="169"/>
    </row>
    <row r="3076" spans="12:12" x14ac:dyDescent="0.25">
      <c r="L3076" s="169"/>
    </row>
    <row r="3077" spans="12:12" x14ac:dyDescent="0.25">
      <c r="L3077" s="169"/>
    </row>
    <row r="3078" spans="12:12" x14ac:dyDescent="0.25">
      <c r="L3078" s="169"/>
    </row>
    <row r="3079" spans="12:12" x14ac:dyDescent="0.25">
      <c r="L3079" s="169"/>
    </row>
    <row r="3080" spans="12:12" x14ac:dyDescent="0.25">
      <c r="L3080" s="169"/>
    </row>
    <row r="3081" spans="12:12" x14ac:dyDescent="0.25">
      <c r="L3081" s="169"/>
    </row>
    <row r="3082" spans="12:12" x14ac:dyDescent="0.25">
      <c r="L3082" s="169"/>
    </row>
    <row r="3083" spans="12:12" x14ac:dyDescent="0.25">
      <c r="L3083" s="169"/>
    </row>
    <row r="3084" spans="12:12" x14ac:dyDescent="0.25">
      <c r="L3084" s="169"/>
    </row>
    <row r="3085" spans="12:12" x14ac:dyDescent="0.25">
      <c r="L3085" s="169"/>
    </row>
    <row r="3086" spans="12:12" x14ac:dyDescent="0.25">
      <c r="L3086" s="169"/>
    </row>
    <row r="3087" spans="12:12" x14ac:dyDescent="0.25">
      <c r="L3087" s="169"/>
    </row>
    <row r="3088" spans="12:12" x14ac:dyDescent="0.25">
      <c r="L3088" s="169"/>
    </row>
    <row r="3089" spans="12:12" x14ac:dyDescent="0.25">
      <c r="L3089" s="169"/>
    </row>
    <row r="3090" spans="12:12" x14ac:dyDescent="0.25">
      <c r="L3090" s="169"/>
    </row>
    <row r="3091" spans="12:12" x14ac:dyDescent="0.25">
      <c r="L3091" s="169"/>
    </row>
    <row r="3092" spans="12:12" x14ac:dyDescent="0.25">
      <c r="L3092" s="169"/>
    </row>
    <row r="3093" spans="12:12" x14ac:dyDescent="0.25">
      <c r="L3093" s="169"/>
    </row>
    <row r="3094" spans="12:12" x14ac:dyDescent="0.25">
      <c r="L3094" s="169"/>
    </row>
    <row r="3095" spans="12:12" x14ac:dyDescent="0.25">
      <c r="L3095" s="169"/>
    </row>
    <row r="3096" spans="12:12" x14ac:dyDescent="0.25">
      <c r="L3096" s="169"/>
    </row>
    <row r="3097" spans="12:12" x14ac:dyDescent="0.25">
      <c r="L3097" s="169"/>
    </row>
    <row r="3098" spans="12:12" x14ac:dyDescent="0.25">
      <c r="L3098" s="169"/>
    </row>
    <row r="3099" spans="12:12" x14ac:dyDescent="0.25">
      <c r="L3099" s="169"/>
    </row>
    <row r="3100" spans="12:12" x14ac:dyDescent="0.25">
      <c r="L3100" s="169"/>
    </row>
    <row r="3101" spans="12:12" x14ac:dyDescent="0.25">
      <c r="L3101" s="169"/>
    </row>
    <row r="3102" spans="12:12" x14ac:dyDescent="0.25">
      <c r="L3102" s="169"/>
    </row>
    <row r="3103" spans="12:12" x14ac:dyDescent="0.25">
      <c r="L3103" s="169"/>
    </row>
    <row r="3104" spans="12:12" x14ac:dyDescent="0.25">
      <c r="L3104" s="169"/>
    </row>
    <row r="3105" spans="12:12" x14ac:dyDescent="0.25">
      <c r="L3105" s="169"/>
    </row>
    <row r="3106" spans="12:12" x14ac:dyDescent="0.25">
      <c r="L3106" s="169"/>
    </row>
    <row r="3107" spans="12:12" x14ac:dyDescent="0.25">
      <c r="L3107" s="169"/>
    </row>
    <row r="3108" spans="12:12" x14ac:dyDescent="0.25">
      <c r="L3108" s="169"/>
    </row>
    <row r="3109" spans="12:12" x14ac:dyDescent="0.25">
      <c r="L3109" s="169"/>
    </row>
    <row r="3110" spans="12:12" x14ac:dyDescent="0.25">
      <c r="L3110" s="169"/>
    </row>
    <row r="3111" spans="12:12" x14ac:dyDescent="0.25">
      <c r="L3111" s="169"/>
    </row>
    <row r="3112" spans="12:12" x14ac:dyDescent="0.25">
      <c r="L3112" s="169"/>
    </row>
    <row r="3113" spans="12:12" x14ac:dyDescent="0.25">
      <c r="L3113" s="169"/>
    </row>
    <row r="3114" spans="12:12" x14ac:dyDescent="0.25">
      <c r="L3114" s="169"/>
    </row>
    <row r="3115" spans="12:12" x14ac:dyDescent="0.25">
      <c r="L3115" s="169"/>
    </row>
    <row r="3116" spans="12:12" x14ac:dyDescent="0.25">
      <c r="L3116" s="169"/>
    </row>
    <row r="3117" spans="12:12" x14ac:dyDescent="0.25">
      <c r="L3117" s="169"/>
    </row>
    <row r="3118" spans="12:12" x14ac:dyDescent="0.25">
      <c r="L3118" s="169"/>
    </row>
    <row r="3119" spans="12:12" x14ac:dyDescent="0.25">
      <c r="L3119" s="169"/>
    </row>
    <row r="3120" spans="12:12" x14ac:dyDescent="0.25">
      <c r="L3120" s="169"/>
    </row>
    <row r="3121" spans="12:12" x14ac:dyDescent="0.25">
      <c r="L3121" s="169"/>
    </row>
    <row r="3122" spans="12:12" x14ac:dyDescent="0.25">
      <c r="L3122" s="169"/>
    </row>
    <row r="3123" spans="12:12" x14ac:dyDescent="0.25">
      <c r="L3123" s="169"/>
    </row>
    <row r="3124" spans="12:12" x14ac:dyDescent="0.25">
      <c r="L3124" s="169"/>
    </row>
    <row r="3125" spans="12:12" x14ac:dyDescent="0.25">
      <c r="L3125" s="169"/>
    </row>
    <row r="3126" spans="12:12" x14ac:dyDescent="0.25">
      <c r="L3126" s="169"/>
    </row>
    <row r="3127" spans="12:12" x14ac:dyDescent="0.25">
      <c r="L3127" s="169"/>
    </row>
    <row r="3128" spans="12:12" x14ac:dyDescent="0.25">
      <c r="L3128" s="169"/>
    </row>
    <row r="3129" spans="12:12" x14ac:dyDescent="0.25">
      <c r="L3129" s="169"/>
    </row>
    <row r="3130" spans="12:12" x14ac:dyDescent="0.25">
      <c r="L3130" s="169"/>
    </row>
    <row r="3131" spans="12:12" x14ac:dyDescent="0.25">
      <c r="L3131" s="169"/>
    </row>
    <row r="3132" spans="12:12" x14ac:dyDescent="0.25">
      <c r="L3132" s="169"/>
    </row>
    <row r="3133" spans="12:12" x14ac:dyDescent="0.25">
      <c r="L3133" s="169"/>
    </row>
    <row r="3134" spans="12:12" x14ac:dyDescent="0.25">
      <c r="L3134" s="169"/>
    </row>
    <row r="3135" spans="12:12" x14ac:dyDescent="0.25">
      <c r="L3135" s="169"/>
    </row>
    <row r="3136" spans="12:12" x14ac:dyDescent="0.25">
      <c r="L3136" s="169"/>
    </row>
    <row r="3137" spans="12:12" x14ac:dyDescent="0.25">
      <c r="L3137" s="169"/>
    </row>
    <row r="3138" spans="12:12" x14ac:dyDescent="0.25">
      <c r="L3138" s="169"/>
    </row>
    <row r="3139" spans="12:12" x14ac:dyDescent="0.25">
      <c r="L3139" s="169"/>
    </row>
    <row r="3140" spans="12:12" x14ac:dyDescent="0.25">
      <c r="L3140" s="169"/>
    </row>
    <row r="3141" spans="12:12" x14ac:dyDescent="0.25">
      <c r="L3141" s="169"/>
    </row>
    <row r="3142" spans="12:12" x14ac:dyDescent="0.25">
      <c r="L3142" s="169"/>
    </row>
    <row r="3143" spans="12:12" x14ac:dyDescent="0.25">
      <c r="L3143" s="169"/>
    </row>
    <row r="3144" spans="12:12" x14ac:dyDescent="0.25">
      <c r="L3144" s="169"/>
    </row>
    <row r="3145" spans="12:12" x14ac:dyDescent="0.25">
      <c r="L3145" s="169"/>
    </row>
    <row r="3146" spans="12:12" x14ac:dyDescent="0.25">
      <c r="L3146" s="169"/>
    </row>
    <row r="3147" spans="12:12" x14ac:dyDescent="0.25">
      <c r="L3147" s="169"/>
    </row>
    <row r="3148" spans="12:12" x14ac:dyDescent="0.25">
      <c r="L3148" s="169"/>
    </row>
    <row r="3149" spans="12:12" x14ac:dyDescent="0.25">
      <c r="L3149" s="169"/>
    </row>
    <row r="3150" spans="12:12" x14ac:dyDescent="0.25">
      <c r="L3150" s="169"/>
    </row>
    <row r="3151" spans="12:12" x14ac:dyDescent="0.25">
      <c r="L3151" s="169"/>
    </row>
    <row r="3152" spans="12:12" x14ac:dyDescent="0.25">
      <c r="L3152" s="169"/>
    </row>
    <row r="3153" spans="12:12" x14ac:dyDescent="0.25">
      <c r="L3153" s="169"/>
    </row>
    <row r="3154" spans="12:12" x14ac:dyDescent="0.25">
      <c r="L3154" s="169"/>
    </row>
    <row r="3155" spans="12:12" x14ac:dyDescent="0.25">
      <c r="L3155" s="169"/>
    </row>
    <row r="3156" spans="12:12" x14ac:dyDescent="0.25">
      <c r="L3156" s="169"/>
    </row>
    <row r="3157" spans="12:12" x14ac:dyDescent="0.25">
      <c r="L3157" s="169"/>
    </row>
    <row r="3158" spans="12:12" x14ac:dyDescent="0.25">
      <c r="L3158" s="169"/>
    </row>
    <row r="3159" spans="12:12" x14ac:dyDescent="0.25">
      <c r="L3159" s="169"/>
    </row>
    <row r="3160" spans="12:12" x14ac:dyDescent="0.25">
      <c r="L3160" s="169"/>
    </row>
    <row r="3161" spans="12:12" x14ac:dyDescent="0.25">
      <c r="L3161" s="169"/>
    </row>
    <row r="3162" spans="12:12" x14ac:dyDescent="0.25">
      <c r="L3162" s="169"/>
    </row>
    <row r="3163" spans="12:12" x14ac:dyDescent="0.25">
      <c r="L3163" s="169"/>
    </row>
    <row r="3164" spans="12:12" x14ac:dyDescent="0.25">
      <c r="L3164" s="169"/>
    </row>
    <row r="3165" spans="12:12" x14ac:dyDescent="0.25">
      <c r="L3165" s="169"/>
    </row>
    <row r="3166" spans="12:12" x14ac:dyDescent="0.25">
      <c r="L3166" s="169"/>
    </row>
    <row r="3167" spans="12:12" x14ac:dyDescent="0.25">
      <c r="L3167" s="169"/>
    </row>
    <row r="3168" spans="12:12" x14ac:dyDescent="0.25">
      <c r="L3168" s="169"/>
    </row>
    <row r="3169" spans="12:12" x14ac:dyDescent="0.25">
      <c r="L3169" s="169"/>
    </row>
    <row r="3170" spans="12:12" x14ac:dyDescent="0.25">
      <c r="L3170" s="169"/>
    </row>
    <row r="3171" spans="12:12" x14ac:dyDescent="0.25">
      <c r="L3171" s="169"/>
    </row>
    <row r="3172" spans="12:12" x14ac:dyDescent="0.25">
      <c r="L3172" s="169"/>
    </row>
    <row r="3173" spans="12:12" x14ac:dyDescent="0.25">
      <c r="L3173" s="169"/>
    </row>
    <row r="3174" spans="12:12" x14ac:dyDescent="0.25">
      <c r="L3174" s="169"/>
    </row>
    <row r="3175" spans="12:12" x14ac:dyDescent="0.25">
      <c r="L3175" s="169"/>
    </row>
    <row r="3176" spans="12:12" x14ac:dyDescent="0.25">
      <c r="L3176" s="169"/>
    </row>
    <row r="3177" spans="12:12" x14ac:dyDescent="0.25">
      <c r="L3177" s="169"/>
    </row>
    <row r="3178" spans="12:12" x14ac:dyDescent="0.25">
      <c r="L3178" s="169"/>
    </row>
    <row r="3179" spans="12:12" x14ac:dyDescent="0.25">
      <c r="L3179" s="169"/>
    </row>
    <row r="3180" spans="12:12" x14ac:dyDescent="0.25">
      <c r="L3180" s="169"/>
    </row>
    <row r="3181" spans="12:12" x14ac:dyDescent="0.25">
      <c r="L3181" s="169"/>
    </row>
    <row r="3182" spans="12:12" x14ac:dyDescent="0.25">
      <c r="L3182" s="169"/>
    </row>
    <row r="3183" spans="12:12" x14ac:dyDescent="0.25">
      <c r="L3183" s="169"/>
    </row>
    <row r="3184" spans="12:12" x14ac:dyDescent="0.25">
      <c r="L3184" s="169"/>
    </row>
    <row r="3185" spans="12:12" x14ac:dyDescent="0.25">
      <c r="L3185" s="169"/>
    </row>
    <row r="3186" spans="12:12" x14ac:dyDescent="0.25">
      <c r="L3186" s="169"/>
    </row>
    <row r="3187" spans="12:12" x14ac:dyDescent="0.25">
      <c r="L3187" s="169"/>
    </row>
    <row r="3188" spans="12:12" x14ac:dyDescent="0.25">
      <c r="L3188" s="169"/>
    </row>
    <row r="3189" spans="12:12" x14ac:dyDescent="0.25">
      <c r="L3189" s="169"/>
    </row>
    <row r="3190" spans="12:12" x14ac:dyDescent="0.25">
      <c r="L3190" s="169"/>
    </row>
    <row r="3191" spans="12:12" x14ac:dyDescent="0.25">
      <c r="L3191" s="169"/>
    </row>
    <row r="3192" spans="12:12" x14ac:dyDescent="0.25">
      <c r="L3192" s="169"/>
    </row>
    <row r="3193" spans="12:12" x14ac:dyDescent="0.25">
      <c r="L3193" s="169"/>
    </row>
    <row r="3194" spans="12:12" x14ac:dyDescent="0.25">
      <c r="L3194" s="169"/>
    </row>
    <row r="3195" spans="12:12" x14ac:dyDescent="0.25">
      <c r="L3195" s="169"/>
    </row>
    <row r="3196" spans="12:12" x14ac:dyDescent="0.25">
      <c r="L3196" s="169"/>
    </row>
    <row r="3197" spans="12:12" x14ac:dyDescent="0.25">
      <c r="L3197" s="169"/>
    </row>
    <row r="3198" spans="12:12" x14ac:dyDescent="0.25">
      <c r="L3198" s="169"/>
    </row>
    <row r="3199" spans="12:12" x14ac:dyDescent="0.25">
      <c r="L3199" s="169"/>
    </row>
    <row r="3200" spans="12:12" x14ac:dyDescent="0.25">
      <c r="L3200" s="169"/>
    </row>
    <row r="3201" spans="12:12" x14ac:dyDescent="0.25">
      <c r="L3201" s="169"/>
    </row>
    <row r="3202" spans="12:12" x14ac:dyDescent="0.25">
      <c r="L3202" s="169"/>
    </row>
    <row r="3203" spans="12:12" x14ac:dyDescent="0.25">
      <c r="L3203" s="169"/>
    </row>
    <row r="3204" spans="12:12" x14ac:dyDescent="0.25">
      <c r="L3204" s="169"/>
    </row>
    <row r="3205" spans="12:12" x14ac:dyDescent="0.25">
      <c r="L3205" s="169"/>
    </row>
    <row r="3206" spans="12:12" x14ac:dyDescent="0.25">
      <c r="L3206" s="169"/>
    </row>
    <row r="3207" spans="12:12" x14ac:dyDescent="0.25">
      <c r="L3207" s="169"/>
    </row>
    <row r="3208" spans="12:12" x14ac:dyDescent="0.25">
      <c r="L3208" s="169"/>
    </row>
    <row r="3209" spans="12:12" x14ac:dyDescent="0.25">
      <c r="L3209" s="169"/>
    </row>
    <row r="3210" spans="12:12" x14ac:dyDescent="0.25">
      <c r="L3210" s="169"/>
    </row>
    <row r="3211" spans="12:12" x14ac:dyDescent="0.25">
      <c r="L3211" s="169"/>
    </row>
    <row r="3212" spans="12:12" x14ac:dyDescent="0.25">
      <c r="L3212" s="169"/>
    </row>
    <row r="3213" spans="12:12" x14ac:dyDescent="0.25">
      <c r="L3213" s="169"/>
    </row>
    <row r="3214" spans="12:12" x14ac:dyDescent="0.25">
      <c r="L3214" s="169"/>
    </row>
    <row r="3215" spans="12:12" x14ac:dyDescent="0.25">
      <c r="L3215" s="169"/>
    </row>
    <row r="3216" spans="12:12" x14ac:dyDescent="0.25">
      <c r="L3216" s="169"/>
    </row>
    <row r="3217" spans="12:12" x14ac:dyDescent="0.25">
      <c r="L3217" s="169"/>
    </row>
    <row r="3218" spans="12:12" x14ac:dyDescent="0.25">
      <c r="L3218" s="169"/>
    </row>
    <row r="3219" spans="12:12" x14ac:dyDescent="0.25">
      <c r="L3219" s="169"/>
    </row>
    <row r="3220" spans="12:12" x14ac:dyDescent="0.25">
      <c r="L3220" s="169"/>
    </row>
    <row r="3221" spans="12:12" x14ac:dyDescent="0.25">
      <c r="L3221" s="169"/>
    </row>
    <row r="3222" spans="12:12" x14ac:dyDescent="0.25">
      <c r="L3222" s="169"/>
    </row>
    <row r="3223" spans="12:12" x14ac:dyDescent="0.25">
      <c r="L3223" s="169"/>
    </row>
    <row r="3224" spans="12:12" x14ac:dyDescent="0.25">
      <c r="L3224" s="169"/>
    </row>
    <row r="3225" spans="12:12" x14ac:dyDescent="0.25">
      <c r="L3225" s="169"/>
    </row>
    <row r="3226" spans="12:12" x14ac:dyDescent="0.25">
      <c r="L3226" s="169"/>
    </row>
    <row r="3227" spans="12:12" x14ac:dyDescent="0.25">
      <c r="L3227" s="169"/>
    </row>
    <row r="3228" spans="12:12" x14ac:dyDescent="0.25">
      <c r="L3228" s="169"/>
    </row>
    <row r="3229" spans="12:12" x14ac:dyDescent="0.25">
      <c r="L3229" s="169"/>
    </row>
    <row r="3230" spans="12:12" x14ac:dyDescent="0.25">
      <c r="L3230" s="169"/>
    </row>
    <row r="3231" spans="12:12" x14ac:dyDescent="0.25">
      <c r="L3231" s="169"/>
    </row>
    <row r="3232" spans="12:12" x14ac:dyDescent="0.25">
      <c r="L3232" s="169"/>
    </row>
    <row r="3233" spans="12:12" x14ac:dyDescent="0.25">
      <c r="L3233" s="169"/>
    </row>
    <row r="3234" spans="12:12" x14ac:dyDescent="0.25">
      <c r="L3234" s="169"/>
    </row>
    <row r="3235" spans="12:12" x14ac:dyDescent="0.25">
      <c r="L3235" s="169"/>
    </row>
    <row r="3236" spans="12:12" x14ac:dyDescent="0.25">
      <c r="L3236" s="169"/>
    </row>
    <row r="3237" spans="12:12" x14ac:dyDescent="0.25">
      <c r="L3237" s="169"/>
    </row>
    <row r="3238" spans="12:12" x14ac:dyDescent="0.25">
      <c r="L3238" s="169"/>
    </row>
    <row r="3239" spans="12:12" x14ac:dyDescent="0.25">
      <c r="L3239" s="169"/>
    </row>
    <row r="3240" spans="12:12" x14ac:dyDescent="0.25">
      <c r="L3240" s="169"/>
    </row>
    <row r="3241" spans="12:12" x14ac:dyDescent="0.25">
      <c r="L3241" s="169"/>
    </row>
    <row r="3242" spans="12:12" x14ac:dyDescent="0.25">
      <c r="L3242" s="169"/>
    </row>
    <row r="3243" spans="12:12" x14ac:dyDescent="0.25">
      <c r="L3243" s="169"/>
    </row>
    <row r="3244" spans="12:12" x14ac:dyDescent="0.25">
      <c r="L3244" s="169"/>
    </row>
    <row r="3245" spans="12:12" x14ac:dyDescent="0.25">
      <c r="L3245" s="169"/>
    </row>
    <row r="3246" spans="12:12" x14ac:dyDescent="0.25">
      <c r="L3246" s="169"/>
    </row>
    <row r="3247" spans="12:12" x14ac:dyDescent="0.25">
      <c r="L3247" s="169"/>
    </row>
    <row r="3248" spans="12:12" x14ac:dyDescent="0.25">
      <c r="L3248" s="169"/>
    </row>
    <row r="3249" spans="12:12" x14ac:dyDescent="0.25">
      <c r="L3249" s="169"/>
    </row>
    <row r="3250" spans="12:12" x14ac:dyDescent="0.25">
      <c r="L3250" s="169"/>
    </row>
    <row r="3251" spans="12:12" x14ac:dyDescent="0.25">
      <c r="L3251" s="169"/>
    </row>
    <row r="3252" spans="12:12" x14ac:dyDescent="0.25">
      <c r="L3252" s="169"/>
    </row>
    <row r="3253" spans="12:12" x14ac:dyDescent="0.25">
      <c r="L3253" s="169"/>
    </row>
    <row r="3254" spans="12:12" x14ac:dyDescent="0.25">
      <c r="L3254" s="169"/>
    </row>
    <row r="3255" spans="12:12" x14ac:dyDescent="0.25">
      <c r="L3255" s="169"/>
    </row>
    <row r="3256" spans="12:12" x14ac:dyDescent="0.25">
      <c r="L3256" s="169"/>
    </row>
    <row r="3257" spans="12:12" x14ac:dyDescent="0.25">
      <c r="L3257" s="169"/>
    </row>
    <row r="3258" spans="12:12" x14ac:dyDescent="0.25">
      <c r="L3258" s="169"/>
    </row>
    <row r="3259" spans="12:12" x14ac:dyDescent="0.25">
      <c r="L3259" s="169"/>
    </row>
    <row r="3260" spans="12:12" x14ac:dyDescent="0.25">
      <c r="L3260" s="169"/>
    </row>
    <row r="3261" spans="12:12" x14ac:dyDescent="0.25">
      <c r="L3261" s="169"/>
    </row>
    <row r="3262" spans="12:12" x14ac:dyDescent="0.25">
      <c r="L3262" s="169"/>
    </row>
    <row r="3263" spans="12:12" x14ac:dyDescent="0.25">
      <c r="L3263" s="169"/>
    </row>
    <row r="3264" spans="12:12" x14ac:dyDescent="0.25">
      <c r="L3264" s="169"/>
    </row>
    <row r="3265" spans="12:12" x14ac:dyDescent="0.25">
      <c r="L3265" s="169"/>
    </row>
    <row r="3266" spans="12:12" x14ac:dyDescent="0.25">
      <c r="L3266" s="169"/>
    </row>
    <row r="3267" spans="12:12" x14ac:dyDescent="0.25">
      <c r="L3267" s="169"/>
    </row>
    <row r="3268" spans="12:12" x14ac:dyDescent="0.25">
      <c r="L3268" s="169"/>
    </row>
    <row r="3269" spans="12:12" x14ac:dyDescent="0.25">
      <c r="L3269" s="169"/>
    </row>
    <row r="3270" spans="12:12" x14ac:dyDescent="0.25">
      <c r="L3270" s="169"/>
    </row>
    <row r="3271" spans="12:12" x14ac:dyDescent="0.25">
      <c r="L3271" s="169"/>
    </row>
    <row r="3272" spans="12:12" x14ac:dyDescent="0.25">
      <c r="L3272" s="169"/>
    </row>
    <row r="3273" spans="12:12" x14ac:dyDescent="0.25">
      <c r="L3273" s="169"/>
    </row>
    <row r="3274" spans="12:12" x14ac:dyDescent="0.25">
      <c r="L3274" s="169"/>
    </row>
    <row r="3275" spans="12:12" x14ac:dyDescent="0.25">
      <c r="L3275" s="169"/>
    </row>
    <row r="3276" spans="12:12" x14ac:dyDescent="0.25">
      <c r="L3276" s="169"/>
    </row>
    <row r="3277" spans="12:12" x14ac:dyDescent="0.25">
      <c r="L3277" s="169"/>
    </row>
    <row r="3278" spans="12:12" x14ac:dyDescent="0.25">
      <c r="L3278" s="169"/>
    </row>
    <row r="3279" spans="12:12" x14ac:dyDescent="0.25">
      <c r="L3279" s="169"/>
    </row>
    <row r="3280" spans="12:12" x14ac:dyDescent="0.25">
      <c r="L3280" s="169"/>
    </row>
    <row r="3281" spans="12:12" x14ac:dyDescent="0.25">
      <c r="L3281" s="169"/>
    </row>
    <row r="3282" spans="12:12" x14ac:dyDescent="0.25">
      <c r="L3282" s="169"/>
    </row>
    <row r="3283" spans="12:12" x14ac:dyDescent="0.25">
      <c r="L3283" s="169"/>
    </row>
    <row r="3284" spans="12:12" x14ac:dyDescent="0.25">
      <c r="L3284" s="169"/>
    </row>
    <row r="3285" spans="12:12" x14ac:dyDescent="0.25">
      <c r="L3285" s="169"/>
    </row>
    <row r="3286" spans="12:12" x14ac:dyDescent="0.25">
      <c r="L3286" s="169"/>
    </row>
    <row r="3287" spans="12:12" x14ac:dyDescent="0.25">
      <c r="L3287" s="169"/>
    </row>
    <row r="3288" spans="12:12" x14ac:dyDescent="0.25">
      <c r="L3288" s="169"/>
    </row>
    <row r="3289" spans="12:12" x14ac:dyDescent="0.25">
      <c r="L3289" s="169"/>
    </row>
    <row r="3290" spans="12:12" x14ac:dyDescent="0.25">
      <c r="L3290" s="169"/>
    </row>
    <row r="3291" spans="12:12" x14ac:dyDescent="0.25">
      <c r="L3291" s="169"/>
    </row>
    <row r="3292" spans="12:12" x14ac:dyDescent="0.25">
      <c r="L3292" s="169"/>
    </row>
    <row r="3293" spans="12:12" x14ac:dyDescent="0.25">
      <c r="L3293" s="169"/>
    </row>
    <row r="3294" spans="12:12" x14ac:dyDescent="0.25">
      <c r="L3294" s="169"/>
    </row>
    <row r="3295" spans="12:12" x14ac:dyDescent="0.25">
      <c r="L3295" s="169"/>
    </row>
    <row r="3296" spans="12:12" x14ac:dyDescent="0.25">
      <c r="L3296" s="169"/>
    </row>
    <row r="3297" spans="12:12" x14ac:dyDescent="0.25">
      <c r="L3297" s="169"/>
    </row>
    <row r="3298" spans="12:12" x14ac:dyDescent="0.25">
      <c r="L3298" s="169"/>
    </row>
    <row r="3299" spans="12:12" x14ac:dyDescent="0.25">
      <c r="L3299" s="169"/>
    </row>
    <row r="3300" spans="12:12" x14ac:dyDescent="0.25">
      <c r="L3300" s="169"/>
    </row>
    <row r="3301" spans="12:12" x14ac:dyDescent="0.25">
      <c r="L3301" s="169"/>
    </row>
    <row r="3302" spans="12:12" x14ac:dyDescent="0.25">
      <c r="L3302" s="169"/>
    </row>
    <row r="3303" spans="12:12" x14ac:dyDescent="0.25">
      <c r="L3303" s="169"/>
    </row>
    <row r="3304" spans="12:12" x14ac:dyDescent="0.25">
      <c r="L3304" s="169"/>
    </row>
    <row r="3305" spans="12:12" x14ac:dyDescent="0.25">
      <c r="L3305" s="169"/>
    </row>
    <row r="3306" spans="12:12" x14ac:dyDescent="0.25">
      <c r="L3306" s="169"/>
    </row>
    <row r="3307" spans="12:12" x14ac:dyDescent="0.25">
      <c r="L3307" s="169"/>
    </row>
    <row r="3308" spans="12:12" x14ac:dyDescent="0.25">
      <c r="L3308" s="169"/>
    </row>
    <row r="3309" spans="12:12" x14ac:dyDescent="0.25">
      <c r="L3309" s="169"/>
    </row>
    <row r="3310" spans="12:12" x14ac:dyDescent="0.25">
      <c r="L3310" s="169"/>
    </row>
    <row r="3311" spans="12:12" x14ac:dyDescent="0.25">
      <c r="L3311" s="169"/>
    </row>
    <row r="3312" spans="12:12" x14ac:dyDescent="0.25">
      <c r="L3312" s="169"/>
    </row>
    <row r="3313" spans="12:12" x14ac:dyDescent="0.25">
      <c r="L3313" s="169"/>
    </row>
    <row r="3314" spans="12:12" x14ac:dyDescent="0.25">
      <c r="L3314" s="169"/>
    </row>
    <row r="3315" spans="12:12" x14ac:dyDescent="0.25">
      <c r="L3315" s="169"/>
    </row>
    <row r="3316" spans="12:12" x14ac:dyDescent="0.25">
      <c r="L3316" s="169"/>
    </row>
    <row r="3317" spans="12:12" x14ac:dyDescent="0.25">
      <c r="L3317" s="169"/>
    </row>
    <row r="3318" spans="12:12" x14ac:dyDescent="0.25">
      <c r="L3318" s="169"/>
    </row>
    <row r="3319" spans="12:12" x14ac:dyDescent="0.25">
      <c r="L3319" s="169"/>
    </row>
    <row r="3320" spans="12:12" x14ac:dyDescent="0.25">
      <c r="L3320" s="169"/>
    </row>
    <row r="3321" spans="12:12" x14ac:dyDescent="0.25">
      <c r="L3321" s="169"/>
    </row>
    <row r="3322" spans="12:12" x14ac:dyDescent="0.25">
      <c r="L3322" s="169"/>
    </row>
    <row r="3323" spans="12:12" x14ac:dyDescent="0.25">
      <c r="L3323" s="169"/>
    </row>
    <row r="3324" spans="12:12" x14ac:dyDescent="0.25">
      <c r="L3324" s="169"/>
    </row>
    <row r="3325" spans="12:12" x14ac:dyDescent="0.25">
      <c r="L3325" s="169"/>
    </row>
    <row r="3326" spans="12:12" x14ac:dyDescent="0.25">
      <c r="L3326" s="169"/>
    </row>
    <row r="3327" spans="12:12" x14ac:dyDescent="0.25">
      <c r="L3327" s="169"/>
    </row>
    <row r="3328" spans="12:12" x14ac:dyDescent="0.25">
      <c r="L3328" s="169"/>
    </row>
    <row r="3329" spans="12:12" x14ac:dyDescent="0.25">
      <c r="L3329" s="169"/>
    </row>
    <row r="3330" spans="12:12" x14ac:dyDescent="0.25">
      <c r="L3330" s="169"/>
    </row>
    <row r="3331" spans="12:12" x14ac:dyDescent="0.25">
      <c r="L3331" s="169"/>
    </row>
    <row r="3332" spans="12:12" x14ac:dyDescent="0.25">
      <c r="L3332" s="169"/>
    </row>
    <row r="3333" spans="12:12" x14ac:dyDescent="0.25">
      <c r="L3333" s="169"/>
    </row>
    <row r="3334" spans="12:12" x14ac:dyDescent="0.25">
      <c r="L3334" s="169"/>
    </row>
    <row r="3335" spans="12:12" x14ac:dyDescent="0.25">
      <c r="L3335" s="169"/>
    </row>
    <row r="3336" spans="12:12" x14ac:dyDescent="0.25">
      <c r="L3336" s="169"/>
    </row>
    <row r="3337" spans="12:12" x14ac:dyDescent="0.25">
      <c r="L3337" s="169"/>
    </row>
    <row r="3338" spans="12:12" x14ac:dyDescent="0.25">
      <c r="L3338" s="169"/>
    </row>
    <row r="3339" spans="12:12" x14ac:dyDescent="0.25">
      <c r="L3339" s="169"/>
    </row>
    <row r="3340" spans="12:12" x14ac:dyDescent="0.25">
      <c r="L3340" s="169"/>
    </row>
    <row r="3341" spans="12:12" x14ac:dyDescent="0.25">
      <c r="L3341" s="169"/>
    </row>
    <row r="3342" spans="12:12" x14ac:dyDescent="0.25">
      <c r="L3342" s="169"/>
    </row>
    <row r="3343" spans="12:12" x14ac:dyDescent="0.25">
      <c r="L3343" s="169"/>
    </row>
    <row r="3344" spans="12:12" x14ac:dyDescent="0.25">
      <c r="L3344" s="169"/>
    </row>
    <row r="3345" spans="12:12" x14ac:dyDescent="0.25">
      <c r="L3345" s="169"/>
    </row>
    <row r="3346" spans="12:12" x14ac:dyDescent="0.25">
      <c r="L3346" s="169"/>
    </row>
    <row r="3347" spans="12:12" x14ac:dyDescent="0.25">
      <c r="L3347" s="169"/>
    </row>
    <row r="3348" spans="12:12" x14ac:dyDescent="0.25">
      <c r="L3348" s="169"/>
    </row>
    <row r="3349" spans="12:12" x14ac:dyDescent="0.25">
      <c r="L3349" s="169"/>
    </row>
    <row r="3350" spans="12:12" x14ac:dyDescent="0.25">
      <c r="L3350" s="169"/>
    </row>
    <row r="3351" spans="12:12" x14ac:dyDescent="0.25">
      <c r="L3351" s="169"/>
    </row>
    <row r="3352" spans="12:12" x14ac:dyDescent="0.25">
      <c r="L3352" s="169"/>
    </row>
    <row r="3353" spans="12:12" x14ac:dyDescent="0.25">
      <c r="L3353" s="169"/>
    </row>
    <row r="3354" spans="12:12" x14ac:dyDescent="0.25">
      <c r="L3354" s="169"/>
    </row>
    <row r="3355" spans="12:12" x14ac:dyDescent="0.25">
      <c r="L3355" s="169"/>
    </row>
    <row r="3356" spans="12:12" x14ac:dyDescent="0.25">
      <c r="L3356" s="169"/>
    </row>
    <row r="3357" spans="12:12" x14ac:dyDescent="0.25">
      <c r="L3357" s="169"/>
    </row>
    <row r="3358" spans="12:12" x14ac:dyDescent="0.25">
      <c r="L3358" s="169"/>
    </row>
    <row r="3359" spans="12:12" x14ac:dyDescent="0.25">
      <c r="L3359" s="169"/>
    </row>
    <row r="3360" spans="12:12" x14ac:dyDescent="0.25">
      <c r="L3360" s="169"/>
    </row>
    <row r="3361" spans="12:12" x14ac:dyDescent="0.25">
      <c r="L3361" s="169"/>
    </row>
    <row r="3362" spans="12:12" x14ac:dyDescent="0.25">
      <c r="L3362" s="169"/>
    </row>
    <row r="3363" spans="12:12" x14ac:dyDescent="0.25">
      <c r="L3363" s="169"/>
    </row>
    <row r="3364" spans="12:12" x14ac:dyDescent="0.25">
      <c r="L3364" s="169"/>
    </row>
    <row r="3365" spans="12:12" x14ac:dyDescent="0.25">
      <c r="L3365" s="169"/>
    </row>
    <row r="3366" spans="12:12" x14ac:dyDescent="0.25">
      <c r="L3366" s="169"/>
    </row>
    <row r="3367" spans="12:12" x14ac:dyDescent="0.25">
      <c r="L3367" s="169"/>
    </row>
    <row r="3368" spans="12:12" x14ac:dyDescent="0.25">
      <c r="L3368" s="169"/>
    </row>
    <row r="3369" spans="12:12" x14ac:dyDescent="0.25">
      <c r="L3369" s="169"/>
    </row>
    <row r="3370" spans="12:12" x14ac:dyDescent="0.25">
      <c r="L3370" s="169"/>
    </row>
    <row r="3371" spans="12:12" x14ac:dyDescent="0.25">
      <c r="L3371" s="169"/>
    </row>
    <row r="3372" spans="12:12" x14ac:dyDescent="0.25">
      <c r="L3372" s="169"/>
    </row>
    <row r="3373" spans="12:12" x14ac:dyDescent="0.25">
      <c r="L3373" s="169"/>
    </row>
    <row r="3374" spans="12:12" x14ac:dyDescent="0.25">
      <c r="L3374" s="169"/>
    </row>
    <row r="3375" spans="12:12" x14ac:dyDescent="0.25">
      <c r="L3375" s="169"/>
    </row>
    <row r="3376" spans="12:12" x14ac:dyDescent="0.25">
      <c r="L3376" s="169"/>
    </row>
    <row r="3377" spans="12:12" x14ac:dyDescent="0.25">
      <c r="L3377" s="169"/>
    </row>
    <row r="3378" spans="12:12" x14ac:dyDescent="0.25">
      <c r="L3378" s="169"/>
    </row>
    <row r="3379" spans="12:12" x14ac:dyDescent="0.25">
      <c r="L3379" s="169"/>
    </row>
    <row r="3380" spans="12:12" x14ac:dyDescent="0.25">
      <c r="L3380" s="169"/>
    </row>
    <row r="3381" spans="12:12" x14ac:dyDescent="0.25">
      <c r="L3381" s="169"/>
    </row>
    <row r="3382" spans="12:12" x14ac:dyDescent="0.25">
      <c r="L3382" s="169"/>
    </row>
    <row r="3383" spans="12:12" x14ac:dyDescent="0.25">
      <c r="L3383" s="169"/>
    </row>
    <row r="3384" spans="12:12" x14ac:dyDescent="0.25">
      <c r="L3384" s="169"/>
    </row>
    <row r="3385" spans="12:12" x14ac:dyDescent="0.25">
      <c r="L3385" s="169"/>
    </row>
    <row r="3386" spans="12:12" x14ac:dyDescent="0.25">
      <c r="L3386" s="169"/>
    </row>
    <row r="3387" spans="12:12" x14ac:dyDescent="0.25">
      <c r="L3387" s="169"/>
    </row>
    <row r="3388" spans="12:12" x14ac:dyDescent="0.25">
      <c r="L3388" s="169"/>
    </row>
    <row r="3389" spans="12:12" x14ac:dyDescent="0.25">
      <c r="L3389" s="169"/>
    </row>
    <row r="3390" spans="12:12" x14ac:dyDescent="0.25">
      <c r="L3390" s="169"/>
    </row>
    <row r="3391" spans="12:12" x14ac:dyDescent="0.25">
      <c r="L3391" s="169"/>
    </row>
    <row r="3392" spans="12:12" x14ac:dyDescent="0.25">
      <c r="L3392" s="169"/>
    </row>
    <row r="3393" spans="12:12" x14ac:dyDescent="0.25">
      <c r="L3393" s="169"/>
    </row>
    <row r="3394" spans="12:12" x14ac:dyDescent="0.25">
      <c r="L3394" s="169"/>
    </row>
    <row r="3395" spans="12:12" x14ac:dyDescent="0.25">
      <c r="L3395" s="169"/>
    </row>
    <row r="3396" spans="12:12" x14ac:dyDescent="0.25">
      <c r="L3396" s="169"/>
    </row>
    <row r="3397" spans="12:12" x14ac:dyDescent="0.25">
      <c r="L3397" s="169"/>
    </row>
    <row r="3398" spans="12:12" x14ac:dyDescent="0.25">
      <c r="L3398" s="169"/>
    </row>
    <row r="3399" spans="12:12" x14ac:dyDescent="0.25">
      <c r="L3399" s="169"/>
    </row>
    <row r="3400" spans="12:12" x14ac:dyDescent="0.25">
      <c r="L3400" s="169"/>
    </row>
    <row r="3401" spans="12:12" x14ac:dyDescent="0.25">
      <c r="L3401" s="169"/>
    </row>
    <row r="3402" spans="12:12" x14ac:dyDescent="0.25">
      <c r="L3402" s="169"/>
    </row>
    <row r="3403" spans="12:12" x14ac:dyDescent="0.25">
      <c r="L3403" s="169"/>
    </row>
    <row r="3404" spans="12:12" x14ac:dyDescent="0.25">
      <c r="L3404" s="169"/>
    </row>
    <row r="3405" spans="12:12" x14ac:dyDescent="0.25">
      <c r="L3405" s="169"/>
    </row>
    <row r="3406" spans="12:12" x14ac:dyDescent="0.25">
      <c r="L3406" s="169"/>
    </row>
    <row r="3407" spans="12:12" x14ac:dyDescent="0.25">
      <c r="L3407" s="169"/>
    </row>
    <row r="3408" spans="12:12" x14ac:dyDescent="0.25">
      <c r="L3408" s="169"/>
    </row>
    <row r="3409" spans="12:12" x14ac:dyDescent="0.25">
      <c r="L3409" s="169"/>
    </row>
    <row r="3410" spans="12:12" x14ac:dyDescent="0.25">
      <c r="L3410" s="169"/>
    </row>
    <row r="3411" spans="12:12" x14ac:dyDescent="0.25">
      <c r="L3411" s="169"/>
    </row>
    <row r="3412" spans="12:12" x14ac:dyDescent="0.25">
      <c r="L3412" s="169"/>
    </row>
    <row r="3413" spans="12:12" x14ac:dyDescent="0.25">
      <c r="L3413" s="169"/>
    </row>
    <row r="3414" spans="12:12" x14ac:dyDescent="0.25">
      <c r="L3414" s="169"/>
    </row>
    <row r="3415" spans="12:12" x14ac:dyDescent="0.25">
      <c r="L3415" s="169"/>
    </row>
    <row r="3416" spans="12:12" x14ac:dyDescent="0.25">
      <c r="L3416" s="169"/>
    </row>
    <row r="3417" spans="12:12" x14ac:dyDescent="0.25">
      <c r="L3417" s="169"/>
    </row>
    <row r="3418" spans="12:12" x14ac:dyDescent="0.25">
      <c r="L3418" s="169"/>
    </row>
    <row r="3419" spans="12:12" x14ac:dyDescent="0.25">
      <c r="L3419" s="169"/>
    </row>
    <row r="3420" spans="12:12" x14ac:dyDescent="0.25">
      <c r="L3420" s="169"/>
    </row>
    <row r="3421" spans="12:12" x14ac:dyDescent="0.25">
      <c r="L3421" s="169"/>
    </row>
    <row r="3422" spans="12:12" x14ac:dyDescent="0.25">
      <c r="L3422" s="169"/>
    </row>
    <row r="3423" spans="12:12" x14ac:dyDescent="0.25">
      <c r="L3423" s="169"/>
    </row>
    <row r="3424" spans="12:12" x14ac:dyDescent="0.25">
      <c r="L3424" s="169"/>
    </row>
    <row r="3425" spans="12:12" x14ac:dyDescent="0.25">
      <c r="L3425" s="169"/>
    </row>
    <row r="3426" spans="12:12" x14ac:dyDescent="0.25">
      <c r="L3426" s="169"/>
    </row>
    <row r="3427" spans="12:12" x14ac:dyDescent="0.25">
      <c r="L3427" s="169"/>
    </row>
    <row r="3428" spans="12:12" x14ac:dyDescent="0.25">
      <c r="L3428" s="169"/>
    </row>
    <row r="3429" spans="12:12" x14ac:dyDescent="0.25">
      <c r="L3429" s="169"/>
    </row>
    <row r="3430" spans="12:12" x14ac:dyDescent="0.25">
      <c r="L3430" s="169"/>
    </row>
    <row r="3431" spans="12:12" x14ac:dyDescent="0.25">
      <c r="L3431" s="169"/>
    </row>
    <row r="3432" spans="12:12" x14ac:dyDescent="0.25">
      <c r="L3432" s="169"/>
    </row>
    <row r="3433" spans="12:12" x14ac:dyDescent="0.25">
      <c r="L3433" s="169"/>
    </row>
    <row r="3434" spans="12:12" x14ac:dyDescent="0.25">
      <c r="L3434" s="169"/>
    </row>
    <row r="3435" spans="12:12" x14ac:dyDescent="0.25">
      <c r="L3435" s="169"/>
    </row>
    <row r="3436" spans="12:12" x14ac:dyDescent="0.25">
      <c r="L3436" s="169"/>
    </row>
    <row r="3437" spans="12:12" x14ac:dyDescent="0.25">
      <c r="L3437" s="169"/>
    </row>
    <row r="3438" spans="12:12" x14ac:dyDescent="0.25">
      <c r="L3438" s="169"/>
    </row>
    <row r="3439" spans="12:12" x14ac:dyDescent="0.25">
      <c r="L3439" s="169"/>
    </row>
    <row r="3440" spans="12:12" x14ac:dyDescent="0.25">
      <c r="L3440" s="169"/>
    </row>
    <row r="3441" spans="12:12" x14ac:dyDescent="0.25">
      <c r="L3441" s="169"/>
    </row>
    <row r="3442" spans="12:12" x14ac:dyDescent="0.25">
      <c r="L3442" s="169"/>
    </row>
    <row r="3443" spans="12:12" x14ac:dyDescent="0.25">
      <c r="L3443" s="169"/>
    </row>
    <row r="3444" spans="12:12" x14ac:dyDescent="0.25">
      <c r="L3444" s="169"/>
    </row>
    <row r="3445" spans="12:12" x14ac:dyDescent="0.25">
      <c r="L3445" s="169"/>
    </row>
    <row r="3446" spans="12:12" x14ac:dyDescent="0.25">
      <c r="L3446" s="169"/>
    </row>
    <row r="3447" spans="12:12" x14ac:dyDescent="0.25">
      <c r="L3447" s="169"/>
    </row>
    <row r="3448" spans="12:12" x14ac:dyDescent="0.25">
      <c r="L3448" s="169"/>
    </row>
    <row r="3449" spans="12:12" x14ac:dyDescent="0.25">
      <c r="L3449" s="169"/>
    </row>
    <row r="3450" spans="12:12" x14ac:dyDescent="0.25">
      <c r="L3450" s="169"/>
    </row>
    <row r="3451" spans="12:12" x14ac:dyDescent="0.25">
      <c r="L3451" s="169"/>
    </row>
    <row r="3452" spans="12:12" x14ac:dyDescent="0.25">
      <c r="L3452" s="169"/>
    </row>
    <row r="3453" spans="12:12" x14ac:dyDescent="0.25">
      <c r="L3453" s="169"/>
    </row>
    <row r="3454" spans="12:12" x14ac:dyDescent="0.25">
      <c r="L3454" s="169"/>
    </row>
    <row r="3455" spans="12:12" x14ac:dyDescent="0.25">
      <c r="L3455" s="169"/>
    </row>
    <row r="3456" spans="12:12" x14ac:dyDescent="0.25">
      <c r="L3456" s="169"/>
    </row>
    <row r="3457" spans="12:12" x14ac:dyDescent="0.25">
      <c r="L3457" s="169"/>
    </row>
    <row r="3458" spans="12:12" x14ac:dyDescent="0.25">
      <c r="L3458" s="169"/>
    </row>
    <row r="3459" spans="12:12" x14ac:dyDescent="0.25">
      <c r="L3459" s="169"/>
    </row>
    <row r="3460" spans="12:12" x14ac:dyDescent="0.25">
      <c r="L3460" s="169"/>
    </row>
    <row r="3461" spans="12:12" x14ac:dyDescent="0.25">
      <c r="L3461" s="169"/>
    </row>
    <row r="3462" spans="12:12" x14ac:dyDescent="0.25">
      <c r="L3462" s="169"/>
    </row>
    <row r="3463" spans="12:12" x14ac:dyDescent="0.25">
      <c r="L3463" s="169"/>
    </row>
    <row r="3464" spans="12:12" x14ac:dyDescent="0.25">
      <c r="L3464" s="169"/>
    </row>
    <row r="3465" spans="12:12" x14ac:dyDescent="0.25">
      <c r="L3465" s="169"/>
    </row>
    <row r="3466" spans="12:12" x14ac:dyDescent="0.25">
      <c r="L3466" s="169"/>
    </row>
    <row r="3467" spans="12:12" x14ac:dyDescent="0.25">
      <c r="L3467" s="169"/>
    </row>
    <row r="3468" spans="12:12" x14ac:dyDescent="0.25">
      <c r="L3468" s="169"/>
    </row>
    <row r="3469" spans="12:12" x14ac:dyDescent="0.25">
      <c r="L3469" s="169"/>
    </row>
    <row r="3470" spans="12:12" x14ac:dyDescent="0.25">
      <c r="L3470" s="169"/>
    </row>
    <row r="3471" spans="12:12" x14ac:dyDescent="0.25">
      <c r="L3471" s="169"/>
    </row>
    <row r="3472" spans="12:12" x14ac:dyDescent="0.25">
      <c r="L3472" s="169"/>
    </row>
    <row r="3473" spans="12:12" x14ac:dyDescent="0.25">
      <c r="L3473" s="169"/>
    </row>
    <row r="3474" spans="12:12" x14ac:dyDescent="0.25">
      <c r="L3474" s="169"/>
    </row>
    <row r="3475" spans="12:12" x14ac:dyDescent="0.25">
      <c r="L3475" s="169"/>
    </row>
    <row r="3476" spans="12:12" x14ac:dyDescent="0.25">
      <c r="L3476" s="169"/>
    </row>
    <row r="3477" spans="12:12" x14ac:dyDescent="0.25">
      <c r="L3477" s="169"/>
    </row>
    <row r="3478" spans="12:12" x14ac:dyDescent="0.25">
      <c r="L3478" s="169"/>
    </row>
    <row r="3479" spans="12:12" x14ac:dyDescent="0.25">
      <c r="L3479" s="169"/>
    </row>
    <row r="3480" spans="12:12" x14ac:dyDescent="0.25">
      <c r="L3480" s="169"/>
    </row>
    <row r="3481" spans="12:12" x14ac:dyDescent="0.25">
      <c r="L3481" s="169"/>
    </row>
    <row r="3482" spans="12:12" x14ac:dyDescent="0.25">
      <c r="L3482" s="169"/>
    </row>
    <row r="3483" spans="12:12" x14ac:dyDescent="0.25">
      <c r="L3483" s="169"/>
    </row>
    <row r="3484" spans="12:12" x14ac:dyDescent="0.25">
      <c r="L3484" s="169"/>
    </row>
    <row r="3485" spans="12:12" x14ac:dyDescent="0.25">
      <c r="L3485" s="169"/>
    </row>
    <row r="3486" spans="12:12" x14ac:dyDescent="0.25">
      <c r="L3486" s="169"/>
    </row>
    <row r="3487" spans="12:12" x14ac:dyDescent="0.25">
      <c r="L3487" s="169"/>
    </row>
    <row r="3488" spans="12:12" x14ac:dyDescent="0.25">
      <c r="L3488" s="169"/>
    </row>
    <row r="3489" spans="12:12" x14ac:dyDescent="0.25">
      <c r="L3489" s="169"/>
    </row>
    <row r="3490" spans="12:12" x14ac:dyDescent="0.25">
      <c r="L3490" s="169"/>
    </row>
    <row r="3491" spans="12:12" x14ac:dyDescent="0.25">
      <c r="L3491" s="169"/>
    </row>
    <row r="3492" spans="12:12" x14ac:dyDescent="0.25">
      <c r="L3492" s="169"/>
    </row>
    <row r="3493" spans="12:12" x14ac:dyDescent="0.25">
      <c r="L3493" s="169"/>
    </row>
    <row r="3494" spans="12:12" x14ac:dyDescent="0.25">
      <c r="L3494" s="169"/>
    </row>
    <row r="3495" spans="12:12" x14ac:dyDescent="0.25">
      <c r="L3495" s="169"/>
    </row>
    <row r="3496" spans="12:12" x14ac:dyDescent="0.25">
      <c r="L3496" s="169"/>
    </row>
    <row r="3497" spans="12:12" x14ac:dyDescent="0.25">
      <c r="L3497" s="169"/>
    </row>
    <row r="3498" spans="12:12" x14ac:dyDescent="0.25">
      <c r="L3498" s="169"/>
    </row>
    <row r="3499" spans="12:12" x14ac:dyDescent="0.25">
      <c r="L3499" s="169"/>
    </row>
    <row r="3500" spans="12:12" x14ac:dyDescent="0.25">
      <c r="L3500" s="169"/>
    </row>
    <row r="3501" spans="12:12" x14ac:dyDescent="0.25">
      <c r="L3501" s="169"/>
    </row>
    <row r="3502" spans="12:12" x14ac:dyDescent="0.25">
      <c r="L3502" s="169"/>
    </row>
    <row r="3503" spans="12:12" x14ac:dyDescent="0.25">
      <c r="L3503" s="169"/>
    </row>
    <row r="3504" spans="12:12" x14ac:dyDescent="0.25">
      <c r="L3504" s="169"/>
    </row>
    <row r="3505" spans="12:12" x14ac:dyDescent="0.25">
      <c r="L3505" s="169"/>
    </row>
    <row r="3506" spans="12:12" x14ac:dyDescent="0.25">
      <c r="L3506" s="169"/>
    </row>
    <row r="3507" spans="12:12" x14ac:dyDescent="0.25">
      <c r="L3507" s="169"/>
    </row>
    <row r="3508" spans="12:12" x14ac:dyDescent="0.25">
      <c r="L3508" s="169"/>
    </row>
    <row r="3509" spans="12:12" x14ac:dyDescent="0.25">
      <c r="L3509" s="169"/>
    </row>
    <row r="3510" spans="12:12" x14ac:dyDescent="0.25">
      <c r="L3510" s="169"/>
    </row>
    <row r="3511" spans="12:12" x14ac:dyDescent="0.25">
      <c r="L3511" s="169"/>
    </row>
    <row r="3512" spans="12:12" x14ac:dyDescent="0.25">
      <c r="L3512" s="169"/>
    </row>
    <row r="3513" spans="12:12" x14ac:dyDescent="0.25">
      <c r="L3513" s="169"/>
    </row>
    <row r="3514" spans="12:12" x14ac:dyDescent="0.25">
      <c r="L3514" s="169"/>
    </row>
    <row r="3515" spans="12:12" x14ac:dyDescent="0.25">
      <c r="L3515" s="169"/>
    </row>
    <row r="3516" spans="12:12" x14ac:dyDescent="0.25">
      <c r="L3516" s="169"/>
    </row>
    <row r="3517" spans="12:12" x14ac:dyDescent="0.25">
      <c r="L3517" s="169"/>
    </row>
    <row r="3518" spans="12:12" x14ac:dyDescent="0.25">
      <c r="L3518" s="169"/>
    </row>
    <row r="3519" spans="12:12" x14ac:dyDescent="0.25">
      <c r="L3519" s="169"/>
    </row>
    <row r="3520" spans="12:12" x14ac:dyDescent="0.25">
      <c r="L3520" s="169"/>
    </row>
    <row r="3521" spans="12:12" x14ac:dyDescent="0.25">
      <c r="L3521" s="169"/>
    </row>
    <row r="3522" spans="12:12" x14ac:dyDescent="0.25">
      <c r="L3522" s="169"/>
    </row>
    <row r="3523" spans="12:12" x14ac:dyDescent="0.25">
      <c r="L3523" s="169"/>
    </row>
    <row r="3524" spans="12:12" x14ac:dyDescent="0.25">
      <c r="L3524" s="169"/>
    </row>
    <row r="3525" spans="12:12" x14ac:dyDescent="0.25">
      <c r="L3525" s="169"/>
    </row>
    <row r="3526" spans="12:12" x14ac:dyDescent="0.25">
      <c r="L3526" s="169"/>
    </row>
    <row r="3527" spans="12:12" x14ac:dyDescent="0.25">
      <c r="L3527" s="169"/>
    </row>
    <row r="3528" spans="12:12" x14ac:dyDescent="0.25">
      <c r="L3528" s="169"/>
    </row>
    <row r="3529" spans="12:12" x14ac:dyDescent="0.25">
      <c r="L3529" s="169"/>
    </row>
    <row r="3530" spans="12:12" x14ac:dyDescent="0.25">
      <c r="L3530" s="169"/>
    </row>
    <row r="3531" spans="12:12" x14ac:dyDescent="0.25">
      <c r="L3531" s="169"/>
    </row>
    <row r="3532" spans="12:12" x14ac:dyDescent="0.25">
      <c r="L3532" s="169"/>
    </row>
    <row r="3533" spans="12:12" x14ac:dyDescent="0.25">
      <c r="L3533" s="169"/>
    </row>
    <row r="3534" spans="12:12" x14ac:dyDescent="0.25">
      <c r="L3534" s="169"/>
    </row>
    <row r="3535" spans="12:12" x14ac:dyDescent="0.25">
      <c r="L3535" s="169"/>
    </row>
    <row r="3536" spans="12:12" x14ac:dyDescent="0.25">
      <c r="L3536" s="169"/>
    </row>
    <row r="3537" spans="12:12" x14ac:dyDescent="0.25">
      <c r="L3537" s="169"/>
    </row>
    <row r="3538" spans="12:12" x14ac:dyDescent="0.25">
      <c r="L3538" s="169"/>
    </row>
    <row r="3539" spans="12:12" x14ac:dyDescent="0.25">
      <c r="L3539" s="169"/>
    </row>
    <row r="3540" spans="12:12" x14ac:dyDescent="0.25">
      <c r="L3540" s="169"/>
    </row>
    <row r="3541" spans="12:12" x14ac:dyDescent="0.25">
      <c r="L3541" s="169"/>
    </row>
    <row r="3542" spans="12:12" x14ac:dyDescent="0.25">
      <c r="L3542" s="169"/>
    </row>
    <row r="3543" spans="12:12" x14ac:dyDescent="0.25">
      <c r="L3543" s="169"/>
    </row>
    <row r="3544" spans="12:12" x14ac:dyDescent="0.25">
      <c r="L3544" s="169"/>
    </row>
    <row r="3545" spans="12:12" x14ac:dyDescent="0.25">
      <c r="L3545" s="169"/>
    </row>
    <row r="3546" spans="12:12" x14ac:dyDescent="0.25">
      <c r="L3546" s="169"/>
    </row>
    <row r="3547" spans="12:12" x14ac:dyDescent="0.25">
      <c r="L3547" s="169"/>
    </row>
    <row r="3548" spans="12:12" x14ac:dyDescent="0.25">
      <c r="L3548" s="169"/>
    </row>
    <row r="3549" spans="12:12" x14ac:dyDescent="0.25">
      <c r="L3549" s="169"/>
    </row>
    <row r="3550" spans="12:12" x14ac:dyDescent="0.25">
      <c r="L3550" s="169"/>
    </row>
    <row r="3551" spans="12:12" x14ac:dyDescent="0.25">
      <c r="L3551" s="169"/>
    </row>
    <row r="3552" spans="12:12" x14ac:dyDescent="0.25">
      <c r="L3552" s="169"/>
    </row>
    <row r="3553" spans="12:12" x14ac:dyDescent="0.25">
      <c r="L3553" s="169"/>
    </row>
    <row r="3554" spans="12:12" x14ac:dyDescent="0.25">
      <c r="L3554" s="169"/>
    </row>
    <row r="3555" spans="12:12" x14ac:dyDescent="0.25">
      <c r="L3555" s="169"/>
    </row>
    <row r="3556" spans="12:12" x14ac:dyDescent="0.25">
      <c r="L3556" s="169"/>
    </row>
    <row r="3557" spans="12:12" x14ac:dyDescent="0.25">
      <c r="L3557" s="169"/>
    </row>
    <row r="3558" spans="12:12" x14ac:dyDescent="0.25">
      <c r="L3558" s="169"/>
    </row>
    <row r="3559" spans="12:12" x14ac:dyDescent="0.25">
      <c r="L3559" s="169"/>
    </row>
    <row r="3560" spans="12:12" x14ac:dyDescent="0.25">
      <c r="L3560" s="169"/>
    </row>
    <row r="3561" spans="12:12" x14ac:dyDescent="0.25">
      <c r="L3561" s="169"/>
    </row>
    <row r="3562" spans="12:12" x14ac:dyDescent="0.25">
      <c r="L3562" s="169"/>
    </row>
    <row r="3563" spans="12:12" x14ac:dyDescent="0.25">
      <c r="L3563" s="169"/>
    </row>
    <row r="3564" spans="12:12" x14ac:dyDescent="0.25">
      <c r="L3564" s="169"/>
    </row>
    <row r="3565" spans="12:12" x14ac:dyDescent="0.25">
      <c r="L3565" s="169"/>
    </row>
    <row r="3566" spans="12:12" x14ac:dyDescent="0.25">
      <c r="L3566" s="169"/>
    </row>
    <row r="3567" spans="12:12" x14ac:dyDescent="0.25">
      <c r="L3567" s="169"/>
    </row>
    <row r="3568" spans="12:12" x14ac:dyDescent="0.25">
      <c r="L3568" s="169"/>
    </row>
    <row r="3569" spans="12:12" x14ac:dyDescent="0.25">
      <c r="L3569" s="169"/>
    </row>
    <row r="3570" spans="12:12" x14ac:dyDescent="0.25">
      <c r="L3570" s="169"/>
    </row>
    <row r="3571" spans="12:12" x14ac:dyDescent="0.25">
      <c r="L3571" s="169"/>
    </row>
    <row r="3572" spans="12:12" x14ac:dyDescent="0.25">
      <c r="L3572" s="169"/>
    </row>
    <row r="3573" spans="12:12" x14ac:dyDescent="0.25">
      <c r="L3573" s="169"/>
    </row>
    <row r="3574" spans="12:12" x14ac:dyDescent="0.25">
      <c r="L3574" s="169"/>
    </row>
    <row r="3575" spans="12:12" x14ac:dyDescent="0.25">
      <c r="L3575" s="169"/>
    </row>
    <row r="3576" spans="12:12" x14ac:dyDescent="0.25">
      <c r="L3576" s="169"/>
    </row>
    <row r="3577" spans="12:12" x14ac:dyDescent="0.25">
      <c r="L3577" s="169"/>
    </row>
    <row r="3578" spans="12:12" x14ac:dyDescent="0.25">
      <c r="L3578" s="169"/>
    </row>
    <row r="3579" spans="12:12" x14ac:dyDescent="0.25">
      <c r="L3579" s="169"/>
    </row>
    <row r="3580" spans="12:12" x14ac:dyDescent="0.25">
      <c r="L3580" s="169"/>
    </row>
    <row r="3581" spans="12:12" x14ac:dyDescent="0.25">
      <c r="L3581" s="169"/>
    </row>
    <row r="3582" spans="12:12" x14ac:dyDescent="0.25">
      <c r="L3582" s="169"/>
    </row>
    <row r="3583" spans="12:12" x14ac:dyDescent="0.25">
      <c r="L3583" s="169"/>
    </row>
    <row r="3584" spans="12:12" x14ac:dyDescent="0.25">
      <c r="L3584" s="169"/>
    </row>
    <row r="3585" spans="12:12" x14ac:dyDescent="0.25">
      <c r="L3585" s="169"/>
    </row>
    <row r="3586" spans="12:12" x14ac:dyDescent="0.25">
      <c r="L3586" s="169"/>
    </row>
    <row r="3587" spans="12:12" x14ac:dyDescent="0.25">
      <c r="L3587" s="169"/>
    </row>
    <row r="3588" spans="12:12" x14ac:dyDescent="0.25">
      <c r="L3588" s="169"/>
    </row>
    <row r="3589" spans="12:12" x14ac:dyDescent="0.25">
      <c r="L3589" s="169"/>
    </row>
    <row r="3590" spans="12:12" x14ac:dyDescent="0.25">
      <c r="L3590" s="169"/>
    </row>
    <row r="3591" spans="12:12" x14ac:dyDescent="0.25">
      <c r="L3591" s="169"/>
    </row>
    <row r="3592" spans="12:12" x14ac:dyDescent="0.25">
      <c r="L3592" s="169"/>
    </row>
    <row r="3593" spans="12:12" x14ac:dyDescent="0.25">
      <c r="L3593" s="169"/>
    </row>
    <row r="3594" spans="12:12" x14ac:dyDescent="0.25">
      <c r="L3594" s="169"/>
    </row>
    <row r="3595" spans="12:12" x14ac:dyDescent="0.25">
      <c r="L3595" s="169"/>
    </row>
    <row r="3596" spans="12:12" x14ac:dyDescent="0.25">
      <c r="L3596" s="169"/>
    </row>
    <row r="3597" spans="12:12" x14ac:dyDescent="0.25">
      <c r="L3597" s="169"/>
    </row>
    <row r="3598" spans="12:12" x14ac:dyDescent="0.25">
      <c r="L3598" s="169"/>
    </row>
    <row r="3599" spans="12:12" x14ac:dyDescent="0.25">
      <c r="L3599" s="169"/>
    </row>
    <row r="3600" spans="12:12" x14ac:dyDescent="0.25">
      <c r="L3600" s="169"/>
    </row>
    <row r="3601" spans="12:12" x14ac:dyDescent="0.25">
      <c r="L3601" s="169"/>
    </row>
    <row r="3602" spans="12:12" x14ac:dyDescent="0.25">
      <c r="L3602" s="169"/>
    </row>
    <row r="3603" spans="12:12" x14ac:dyDescent="0.25">
      <c r="L3603" s="169"/>
    </row>
    <row r="3604" spans="12:12" x14ac:dyDescent="0.25">
      <c r="L3604" s="169"/>
    </row>
    <row r="3605" spans="12:12" x14ac:dyDescent="0.25">
      <c r="L3605" s="169"/>
    </row>
    <row r="3606" spans="12:12" x14ac:dyDescent="0.25">
      <c r="L3606" s="169"/>
    </row>
    <row r="3607" spans="12:12" x14ac:dyDescent="0.25">
      <c r="L3607" s="169"/>
    </row>
    <row r="3608" spans="12:12" x14ac:dyDescent="0.25">
      <c r="L3608" s="169"/>
    </row>
    <row r="3609" spans="12:12" x14ac:dyDescent="0.25">
      <c r="L3609" s="169"/>
    </row>
    <row r="3610" spans="12:12" x14ac:dyDescent="0.25">
      <c r="L3610" s="169"/>
    </row>
    <row r="3611" spans="12:12" x14ac:dyDescent="0.25">
      <c r="L3611" s="169"/>
    </row>
    <row r="3612" spans="12:12" x14ac:dyDescent="0.25">
      <c r="L3612" s="169"/>
    </row>
    <row r="3613" spans="12:12" x14ac:dyDescent="0.25">
      <c r="L3613" s="169"/>
    </row>
    <row r="3614" spans="12:12" x14ac:dyDescent="0.25">
      <c r="L3614" s="169"/>
    </row>
    <row r="3615" spans="12:12" x14ac:dyDescent="0.25">
      <c r="L3615" s="169"/>
    </row>
    <row r="3616" spans="12:12" x14ac:dyDescent="0.25">
      <c r="L3616" s="169"/>
    </row>
    <row r="3617" spans="12:12" x14ac:dyDescent="0.25">
      <c r="L3617" s="169"/>
    </row>
    <row r="3618" spans="12:12" x14ac:dyDescent="0.25">
      <c r="L3618" s="169"/>
    </row>
    <row r="3619" spans="12:12" x14ac:dyDescent="0.25">
      <c r="L3619" s="169"/>
    </row>
    <row r="3620" spans="12:12" x14ac:dyDescent="0.25">
      <c r="L3620" s="169"/>
    </row>
    <row r="3621" spans="12:12" x14ac:dyDescent="0.25">
      <c r="L3621" s="169"/>
    </row>
    <row r="3622" spans="12:12" x14ac:dyDescent="0.25">
      <c r="L3622" s="169"/>
    </row>
    <row r="3623" spans="12:12" x14ac:dyDescent="0.25">
      <c r="L3623" s="169"/>
    </row>
    <row r="3624" spans="12:12" x14ac:dyDescent="0.25">
      <c r="L3624" s="169"/>
    </row>
    <row r="3625" spans="12:12" x14ac:dyDescent="0.25">
      <c r="L3625" s="169"/>
    </row>
    <row r="3626" spans="12:12" x14ac:dyDescent="0.25">
      <c r="L3626" s="169"/>
    </row>
    <row r="3627" spans="12:12" x14ac:dyDescent="0.25">
      <c r="L3627" s="169"/>
    </row>
    <row r="3628" spans="12:12" x14ac:dyDescent="0.25">
      <c r="L3628" s="169"/>
    </row>
    <row r="3629" spans="12:12" x14ac:dyDescent="0.25">
      <c r="L3629" s="169"/>
    </row>
    <row r="3630" spans="12:12" x14ac:dyDescent="0.25">
      <c r="L3630" s="169"/>
    </row>
    <row r="3631" spans="12:12" x14ac:dyDescent="0.25">
      <c r="L3631" s="169"/>
    </row>
    <row r="3632" spans="12:12" x14ac:dyDescent="0.25">
      <c r="L3632" s="169"/>
    </row>
    <row r="3633" spans="12:12" x14ac:dyDescent="0.25">
      <c r="L3633" s="169"/>
    </row>
    <row r="3634" spans="12:12" x14ac:dyDescent="0.25">
      <c r="L3634" s="169"/>
    </row>
    <row r="3635" spans="12:12" x14ac:dyDescent="0.25">
      <c r="L3635" s="169"/>
    </row>
    <row r="3636" spans="12:12" x14ac:dyDescent="0.25">
      <c r="L3636" s="169"/>
    </row>
    <row r="3637" spans="12:12" x14ac:dyDescent="0.25">
      <c r="L3637" s="169"/>
    </row>
    <row r="3638" spans="12:12" x14ac:dyDescent="0.25">
      <c r="L3638" s="169"/>
    </row>
    <row r="3639" spans="12:12" x14ac:dyDescent="0.25">
      <c r="L3639" s="169"/>
    </row>
    <row r="3640" spans="12:12" x14ac:dyDescent="0.25">
      <c r="L3640" s="169"/>
    </row>
    <row r="3641" spans="12:12" x14ac:dyDescent="0.25">
      <c r="L3641" s="169"/>
    </row>
    <row r="3642" spans="12:12" x14ac:dyDescent="0.25">
      <c r="L3642" s="169"/>
    </row>
    <row r="3643" spans="12:12" x14ac:dyDescent="0.25">
      <c r="L3643" s="169"/>
    </row>
    <row r="3644" spans="12:12" x14ac:dyDescent="0.25">
      <c r="L3644" s="169"/>
    </row>
    <row r="3645" spans="12:12" x14ac:dyDescent="0.25">
      <c r="L3645" s="169"/>
    </row>
    <row r="3646" spans="12:12" x14ac:dyDescent="0.25">
      <c r="L3646" s="169"/>
    </row>
    <row r="3647" spans="12:12" x14ac:dyDescent="0.25">
      <c r="L3647" s="169"/>
    </row>
    <row r="3648" spans="12:12" x14ac:dyDescent="0.25">
      <c r="L3648" s="169"/>
    </row>
    <row r="3649" spans="12:12" x14ac:dyDescent="0.25">
      <c r="L3649" s="169"/>
    </row>
    <row r="3650" spans="12:12" x14ac:dyDescent="0.25">
      <c r="L3650" s="169"/>
    </row>
    <row r="3651" spans="12:12" x14ac:dyDescent="0.25">
      <c r="L3651" s="169"/>
    </row>
    <row r="3652" spans="12:12" x14ac:dyDescent="0.25">
      <c r="L3652" s="169"/>
    </row>
    <row r="3653" spans="12:12" x14ac:dyDescent="0.25">
      <c r="L3653" s="169"/>
    </row>
    <row r="3654" spans="12:12" x14ac:dyDescent="0.25">
      <c r="L3654" s="169"/>
    </row>
    <row r="3655" spans="12:12" x14ac:dyDescent="0.25">
      <c r="L3655" s="169"/>
    </row>
    <row r="3656" spans="12:12" x14ac:dyDescent="0.25">
      <c r="L3656" s="169"/>
    </row>
    <row r="3657" spans="12:12" x14ac:dyDescent="0.25">
      <c r="L3657" s="169"/>
    </row>
    <row r="3658" spans="12:12" x14ac:dyDescent="0.25">
      <c r="L3658" s="169"/>
    </row>
    <row r="3659" spans="12:12" x14ac:dyDescent="0.25">
      <c r="L3659" s="169"/>
    </row>
    <row r="3660" spans="12:12" x14ac:dyDescent="0.25">
      <c r="L3660" s="169"/>
    </row>
    <row r="3661" spans="12:12" x14ac:dyDescent="0.25">
      <c r="L3661" s="169"/>
    </row>
    <row r="3662" spans="12:12" x14ac:dyDescent="0.25">
      <c r="L3662" s="169"/>
    </row>
    <row r="3663" spans="12:12" x14ac:dyDescent="0.25">
      <c r="L3663" s="169"/>
    </row>
    <row r="3664" spans="12:12" x14ac:dyDescent="0.25">
      <c r="L3664" s="169"/>
    </row>
    <row r="3665" spans="12:12" x14ac:dyDescent="0.25">
      <c r="L3665" s="169"/>
    </row>
    <row r="3666" spans="12:12" x14ac:dyDescent="0.25">
      <c r="L3666" s="169"/>
    </row>
    <row r="3667" spans="12:12" x14ac:dyDescent="0.25">
      <c r="L3667" s="169"/>
    </row>
    <row r="3668" spans="12:12" x14ac:dyDescent="0.25">
      <c r="L3668" s="169"/>
    </row>
    <row r="3669" spans="12:12" x14ac:dyDescent="0.25">
      <c r="L3669" s="169"/>
    </row>
    <row r="3670" spans="12:12" x14ac:dyDescent="0.25">
      <c r="L3670" s="169"/>
    </row>
    <row r="3671" spans="12:12" x14ac:dyDescent="0.25">
      <c r="L3671" s="169"/>
    </row>
    <row r="3672" spans="12:12" x14ac:dyDescent="0.25">
      <c r="L3672" s="169"/>
    </row>
    <row r="3673" spans="12:12" x14ac:dyDescent="0.25">
      <c r="L3673" s="169"/>
    </row>
    <row r="3674" spans="12:12" x14ac:dyDescent="0.25">
      <c r="L3674" s="169"/>
    </row>
    <row r="3675" spans="12:12" x14ac:dyDescent="0.25">
      <c r="L3675" s="169"/>
    </row>
    <row r="3676" spans="12:12" x14ac:dyDescent="0.25">
      <c r="L3676" s="169"/>
    </row>
    <row r="3677" spans="12:12" x14ac:dyDescent="0.25">
      <c r="L3677" s="169"/>
    </row>
    <row r="3678" spans="12:12" x14ac:dyDescent="0.25">
      <c r="L3678" s="169"/>
    </row>
    <row r="3679" spans="12:12" x14ac:dyDescent="0.25">
      <c r="L3679" s="169"/>
    </row>
    <row r="3680" spans="12:12" x14ac:dyDescent="0.25">
      <c r="L3680" s="169"/>
    </row>
    <row r="3681" spans="12:12" x14ac:dyDescent="0.25">
      <c r="L3681" s="169"/>
    </row>
    <row r="3682" spans="12:12" x14ac:dyDescent="0.25">
      <c r="L3682" s="169"/>
    </row>
    <row r="3683" spans="12:12" x14ac:dyDescent="0.25">
      <c r="L3683" s="169"/>
    </row>
    <row r="3684" spans="12:12" x14ac:dyDescent="0.25">
      <c r="L3684" s="169"/>
    </row>
    <row r="3685" spans="12:12" x14ac:dyDescent="0.25">
      <c r="L3685" s="169"/>
    </row>
    <row r="3686" spans="12:12" x14ac:dyDescent="0.25">
      <c r="L3686" s="169"/>
    </row>
    <row r="3687" spans="12:12" x14ac:dyDescent="0.25">
      <c r="L3687" s="169"/>
    </row>
    <row r="3688" spans="12:12" x14ac:dyDescent="0.25">
      <c r="L3688" s="169"/>
    </row>
    <row r="3689" spans="12:12" x14ac:dyDescent="0.25">
      <c r="L3689" s="169"/>
    </row>
    <row r="3690" spans="12:12" x14ac:dyDescent="0.25">
      <c r="L3690" s="169"/>
    </row>
    <row r="3691" spans="12:12" x14ac:dyDescent="0.25">
      <c r="L3691" s="169"/>
    </row>
    <row r="3692" spans="12:12" x14ac:dyDescent="0.25">
      <c r="L3692" s="169"/>
    </row>
    <row r="3693" spans="12:12" x14ac:dyDescent="0.25">
      <c r="L3693" s="169"/>
    </row>
    <row r="3694" spans="12:12" x14ac:dyDescent="0.25">
      <c r="L3694" s="169"/>
    </row>
    <row r="3695" spans="12:12" x14ac:dyDescent="0.25">
      <c r="L3695" s="169"/>
    </row>
    <row r="3696" spans="12:12" x14ac:dyDescent="0.25">
      <c r="L3696" s="169"/>
    </row>
    <row r="3697" spans="12:12" x14ac:dyDescent="0.25">
      <c r="L3697" s="169"/>
    </row>
    <row r="3698" spans="12:12" x14ac:dyDescent="0.25">
      <c r="L3698" s="169"/>
    </row>
    <row r="3699" spans="12:12" x14ac:dyDescent="0.25">
      <c r="L3699" s="169"/>
    </row>
    <row r="3700" spans="12:12" x14ac:dyDescent="0.25">
      <c r="L3700" s="169"/>
    </row>
    <row r="3701" spans="12:12" x14ac:dyDescent="0.25">
      <c r="L3701" s="169"/>
    </row>
    <row r="3702" spans="12:12" x14ac:dyDescent="0.25">
      <c r="L3702" s="169"/>
    </row>
    <row r="3703" spans="12:12" x14ac:dyDescent="0.25">
      <c r="L3703" s="169"/>
    </row>
    <row r="3704" spans="12:12" x14ac:dyDescent="0.25">
      <c r="L3704" s="169"/>
    </row>
    <row r="3705" spans="12:12" x14ac:dyDescent="0.25">
      <c r="L3705" s="169"/>
    </row>
    <row r="3706" spans="12:12" x14ac:dyDescent="0.25">
      <c r="L3706" s="169"/>
    </row>
    <row r="3707" spans="12:12" x14ac:dyDescent="0.25">
      <c r="L3707" s="169"/>
    </row>
    <row r="3708" spans="12:12" x14ac:dyDescent="0.25">
      <c r="L3708" s="169"/>
    </row>
    <row r="3709" spans="12:12" x14ac:dyDescent="0.25">
      <c r="L3709" s="169"/>
    </row>
    <row r="3710" spans="12:12" x14ac:dyDescent="0.25">
      <c r="L3710" s="169"/>
    </row>
    <row r="3711" spans="12:12" x14ac:dyDescent="0.25">
      <c r="L3711" s="169"/>
    </row>
    <row r="3712" spans="12:12" x14ac:dyDescent="0.25">
      <c r="L3712" s="169"/>
    </row>
    <row r="3713" spans="12:12" x14ac:dyDescent="0.25">
      <c r="L3713" s="169"/>
    </row>
    <row r="3714" spans="12:12" x14ac:dyDescent="0.25">
      <c r="L3714" s="169"/>
    </row>
    <row r="3715" spans="12:12" x14ac:dyDescent="0.25">
      <c r="L3715" s="169"/>
    </row>
    <row r="3716" spans="12:12" x14ac:dyDescent="0.25">
      <c r="L3716" s="169"/>
    </row>
    <row r="3717" spans="12:12" x14ac:dyDescent="0.25">
      <c r="L3717" s="169"/>
    </row>
    <row r="3718" spans="12:12" x14ac:dyDescent="0.25">
      <c r="L3718" s="169"/>
    </row>
    <row r="3719" spans="12:12" x14ac:dyDescent="0.25">
      <c r="L3719" s="169"/>
    </row>
    <row r="3720" spans="12:12" x14ac:dyDescent="0.25">
      <c r="L3720" s="169"/>
    </row>
    <row r="3721" spans="12:12" x14ac:dyDescent="0.25">
      <c r="L3721" s="169"/>
    </row>
    <row r="3722" spans="12:12" x14ac:dyDescent="0.25">
      <c r="L3722" s="169"/>
    </row>
    <row r="3723" spans="12:12" x14ac:dyDescent="0.25">
      <c r="L3723" s="169"/>
    </row>
    <row r="3724" spans="12:12" x14ac:dyDescent="0.25">
      <c r="L3724" s="169"/>
    </row>
    <row r="3725" spans="12:12" x14ac:dyDescent="0.25">
      <c r="L3725" s="169"/>
    </row>
    <row r="3726" spans="12:12" x14ac:dyDescent="0.25">
      <c r="L3726" s="169"/>
    </row>
    <row r="3727" spans="12:12" x14ac:dyDescent="0.25">
      <c r="L3727" s="169"/>
    </row>
    <row r="3728" spans="12:12" x14ac:dyDescent="0.25">
      <c r="L3728" s="169"/>
    </row>
    <row r="3729" spans="12:12" x14ac:dyDescent="0.25">
      <c r="L3729" s="169"/>
    </row>
    <row r="3730" spans="12:12" x14ac:dyDescent="0.25">
      <c r="L3730" s="169"/>
    </row>
    <row r="3731" spans="12:12" x14ac:dyDescent="0.25">
      <c r="L3731" s="169"/>
    </row>
    <row r="3732" spans="12:12" x14ac:dyDescent="0.25">
      <c r="L3732" s="169"/>
    </row>
    <row r="3733" spans="12:12" x14ac:dyDescent="0.25">
      <c r="L3733" s="169"/>
    </row>
    <row r="3734" spans="12:12" x14ac:dyDescent="0.25">
      <c r="L3734" s="169"/>
    </row>
    <row r="3735" spans="12:12" x14ac:dyDescent="0.25">
      <c r="L3735" s="169"/>
    </row>
    <row r="3736" spans="12:12" x14ac:dyDescent="0.25">
      <c r="L3736" s="169"/>
    </row>
    <row r="3737" spans="12:12" x14ac:dyDescent="0.25">
      <c r="L3737" s="169"/>
    </row>
    <row r="3738" spans="12:12" x14ac:dyDescent="0.25">
      <c r="L3738" s="169"/>
    </row>
    <row r="3739" spans="12:12" x14ac:dyDescent="0.25">
      <c r="L3739" s="169"/>
    </row>
    <row r="3740" spans="12:12" x14ac:dyDescent="0.25">
      <c r="L3740" s="169"/>
    </row>
    <row r="3741" spans="12:12" x14ac:dyDescent="0.25">
      <c r="L3741" s="169"/>
    </row>
    <row r="3742" spans="12:12" x14ac:dyDescent="0.25">
      <c r="L3742" s="169"/>
    </row>
    <row r="3743" spans="12:12" x14ac:dyDescent="0.25">
      <c r="L3743" s="169"/>
    </row>
    <row r="3744" spans="12:12" x14ac:dyDescent="0.25">
      <c r="L3744" s="169"/>
    </row>
    <row r="3745" spans="12:12" x14ac:dyDescent="0.25">
      <c r="L3745" s="169"/>
    </row>
    <row r="3746" spans="12:12" x14ac:dyDescent="0.25">
      <c r="L3746" s="169"/>
    </row>
    <row r="3747" spans="12:12" x14ac:dyDescent="0.25">
      <c r="L3747" s="169"/>
    </row>
    <row r="3748" spans="12:12" x14ac:dyDescent="0.25">
      <c r="L3748" s="169"/>
    </row>
    <row r="3749" spans="12:12" x14ac:dyDescent="0.25">
      <c r="L3749" s="169"/>
    </row>
    <row r="3750" spans="12:12" x14ac:dyDescent="0.25">
      <c r="L3750" s="169"/>
    </row>
    <row r="3751" spans="12:12" x14ac:dyDescent="0.25">
      <c r="L3751" s="169"/>
    </row>
    <row r="3752" spans="12:12" x14ac:dyDescent="0.25">
      <c r="L3752" s="169"/>
    </row>
    <row r="3753" spans="12:12" x14ac:dyDescent="0.25">
      <c r="L3753" s="169"/>
    </row>
    <row r="3754" spans="12:12" x14ac:dyDescent="0.25">
      <c r="L3754" s="169"/>
    </row>
    <row r="3755" spans="12:12" x14ac:dyDescent="0.25">
      <c r="L3755" s="169"/>
    </row>
    <row r="3756" spans="12:12" x14ac:dyDescent="0.25">
      <c r="L3756" s="169"/>
    </row>
    <row r="3757" spans="12:12" x14ac:dyDescent="0.25">
      <c r="L3757" s="169"/>
    </row>
    <row r="3758" spans="12:12" x14ac:dyDescent="0.25">
      <c r="L3758" s="169"/>
    </row>
    <row r="3759" spans="12:12" x14ac:dyDescent="0.25">
      <c r="L3759" s="169"/>
    </row>
    <row r="3760" spans="12:12" x14ac:dyDescent="0.25">
      <c r="L3760" s="169"/>
    </row>
    <row r="3761" spans="12:12" x14ac:dyDescent="0.25">
      <c r="L3761" s="169"/>
    </row>
    <row r="3762" spans="12:12" x14ac:dyDescent="0.25">
      <c r="L3762" s="169"/>
    </row>
    <row r="3763" spans="12:12" x14ac:dyDescent="0.25">
      <c r="L3763" s="169"/>
    </row>
    <row r="3764" spans="12:12" x14ac:dyDescent="0.25">
      <c r="L3764" s="169"/>
    </row>
    <row r="3765" spans="12:12" x14ac:dyDescent="0.25">
      <c r="L3765" s="169"/>
    </row>
    <row r="3766" spans="12:12" x14ac:dyDescent="0.25">
      <c r="L3766" s="169"/>
    </row>
    <row r="3767" spans="12:12" x14ac:dyDescent="0.25">
      <c r="L3767" s="169"/>
    </row>
    <row r="3768" spans="12:12" x14ac:dyDescent="0.25">
      <c r="L3768" s="169"/>
    </row>
    <row r="3769" spans="12:12" x14ac:dyDescent="0.25">
      <c r="L3769" s="169"/>
    </row>
    <row r="3770" spans="12:12" x14ac:dyDescent="0.25">
      <c r="L3770" s="169"/>
    </row>
    <row r="3771" spans="12:12" x14ac:dyDescent="0.25">
      <c r="L3771" s="169"/>
    </row>
    <row r="3772" spans="12:12" x14ac:dyDescent="0.25">
      <c r="L3772" s="169"/>
    </row>
    <row r="3773" spans="12:12" x14ac:dyDescent="0.25">
      <c r="L3773" s="169"/>
    </row>
    <row r="3774" spans="12:12" x14ac:dyDescent="0.25">
      <c r="L3774" s="169"/>
    </row>
    <row r="3775" spans="12:12" x14ac:dyDescent="0.25">
      <c r="L3775" s="169"/>
    </row>
    <row r="3776" spans="12:12" x14ac:dyDescent="0.25">
      <c r="L3776" s="169"/>
    </row>
    <row r="3777" spans="12:12" x14ac:dyDescent="0.25">
      <c r="L3777" s="169"/>
    </row>
    <row r="3778" spans="12:12" x14ac:dyDescent="0.25">
      <c r="L3778" s="169"/>
    </row>
    <row r="3779" spans="12:12" x14ac:dyDescent="0.25">
      <c r="L3779" s="169"/>
    </row>
    <row r="3780" spans="12:12" x14ac:dyDescent="0.25">
      <c r="L3780" s="169"/>
    </row>
    <row r="3781" spans="12:12" x14ac:dyDescent="0.25">
      <c r="L3781" s="169"/>
    </row>
    <row r="3782" spans="12:12" x14ac:dyDescent="0.25">
      <c r="L3782" s="169"/>
    </row>
    <row r="3783" spans="12:12" x14ac:dyDescent="0.25">
      <c r="L3783" s="169"/>
    </row>
    <row r="3784" spans="12:12" x14ac:dyDescent="0.25">
      <c r="L3784" s="169"/>
    </row>
    <row r="3785" spans="12:12" x14ac:dyDescent="0.25">
      <c r="L3785" s="169"/>
    </row>
    <row r="3786" spans="12:12" x14ac:dyDescent="0.25">
      <c r="L3786" s="169"/>
    </row>
    <row r="3787" spans="12:12" x14ac:dyDescent="0.25">
      <c r="L3787" s="169"/>
    </row>
    <row r="3788" spans="12:12" x14ac:dyDescent="0.25">
      <c r="L3788" s="169"/>
    </row>
    <row r="3789" spans="12:12" x14ac:dyDescent="0.25">
      <c r="L3789" s="169"/>
    </row>
    <row r="3790" spans="12:12" x14ac:dyDescent="0.25">
      <c r="L3790" s="169"/>
    </row>
    <row r="3791" spans="12:12" x14ac:dyDescent="0.25">
      <c r="L3791" s="169"/>
    </row>
    <row r="3792" spans="12:12" x14ac:dyDescent="0.25">
      <c r="L3792" s="169"/>
    </row>
    <row r="3793" spans="12:12" x14ac:dyDescent="0.25">
      <c r="L3793" s="169"/>
    </row>
    <row r="3794" spans="12:12" x14ac:dyDescent="0.25">
      <c r="L3794" s="169"/>
    </row>
    <row r="3795" spans="12:12" x14ac:dyDescent="0.25">
      <c r="L3795" s="169"/>
    </row>
    <row r="3796" spans="12:12" x14ac:dyDescent="0.25">
      <c r="L3796" s="169"/>
    </row>
    <row r="3797" spans="12:12" x14ac:dyDescent="0.25">
      <c r="L3797" s="169"/>
    </row>
    <row r="3798" spans="12:12" x14ac:dyDescent="0.25">
      <c r="L3798" s="169"/>
    </row>
    <row r="3799" spans="12:12" x14ac:dyDescent="0.25">
      <c r="L3799" s="169"/>
    </row>
    <row r="3800" spans="12:12" x14ac:dyDescent="0.25">
      <c r="L3800" s="169"/>
    </row>
    <row r="3801" spans="12:12" x14ac:dyDescent="0.25">
      <c r="L3801" s="169"/>
    </row>
    <row r="3802" spans="12:12" x14ac:dyDescent="0.25">
      <c r="L3802" s="169"/>
    </row>
    <row r="3803" spans="12:12" x14ac:dyDescent="0.25">
      <c r="L3803" s="169"/>
    </row>
    <row r="3804" spans="12:12" x14ac:dyDescent="0.25">
      <c r="L3804" s="169"/>
    </row>
    <row r="3805" spans="12:12" x14ac:dyDescent="0.25">
      <c r="L3805" s="169"/>
    </row>
    <row r="3806" spans="12:12" x14ac:dyDescent="0.25">
      <c r="L3806" s="169"/>
    </row>
    <row r="3807" spans="12:12" x14ac:dyDescent="0.25">
      <c r="L3807" s="169"/>
    </row>
    <row r="3808" spans="12:12" x14ac:dyDescent="0.25">
      <c r="L3808" s="169"/>
    </row>
    <row r="3809" spans="12:12" x14ac:dyDescent="0.25">
      <c r="L3809" s="169"/>
    </row>
    <row r="3810" spans="12:12" x14ac:dyDescent="0.25">
      <c r="L3810" s="169"/>
    </row>
    <row r="3811" spans="12:12" x14ac:dyDescent="0.25">
      <c r="L3811" s="169"/>
    </row>
    <row r="3812" spans="12:12" x14ac:dyDescent="0.25">
      <c r="L3812" s="169"/>
    </row>
    <row r="3813" spans="12:12" x14ac:dyDescent="0.25">
      <c r="L3813" s="169"/>
    </row>
    <row r="3814" spans="12:12" x14ac:dyDescent="0.25">
      <c r="L3814" s="169"/>
    </row>
    <row r="3815" spans="12:12" x14ac:dyDescent="0.25">
      <c r="L3815" s="169"/>
    </row>
    <row r="3816" spans="12:12" x14ac:dyDescent="0.25">
      <c r="L3816" s="169"/>
    </row>
    <row r="3817" spans="12:12" x14ac:dyDescent="0.25">
      <c r="L3817" s="169"/>
    </row>
    <row r="3818" spans="12:12" x14ac:dyDescent="0.25">
      <c r="L3818" s="169"/>
    </row>
    <row r="3819" spans="12:12" x14ac:dyDescent="0.25">
      <c r="L3819" s="169"/>
    </row>
    <row r="3820" spans="12:12" x14ac:dyDescent="0.25">
      <c r="L3820" s="169"/>
    </row>
    <row r="3821" spans="12:12" x14ac:dyDescent="0.25">
      <c r="L3821" s="169"/>
    </row>
    <row r="3822" spans="12:12" x14ac:dyDescent="0.25">
      <c r="L3822" s="169"/>
    </row>
    <row r="3823" spans="12:12" x14ac:dyDescent="0.25">
      <c r="L3823" s="169"/>
    </row>
    <row r="3824" spans="12:12" x14ac:dyDescent="0.25">
      <c r="L3824" s="169"/>
    </row>
    <row r="3825" spans="12:12" x14ac:dyDescent="0.25">
      <c r="L3825" s="169"/>
    </row>
    <row r="3826" spans="12:12" x14ac:dyDescent="0.25">
      <c r="L3826" s="169"/>
    </row>
    <row r="3827" spans="12:12" x14ac:dyDescent="0.25">
      <c r="L3827" s="169"/>
    </row>
    <row r="3828" spans="12:12" x14ac:dyDescent="0.25">
      <c r="L3828" s="169"/>
    </row>
    <row r="3829" spans="12:12" x14ac:dyDescent="0.25">
      <c r="L3829" s="169"/>
    </row>
    <row r="3830" spans="12:12" x14ac:dyDescent="0.25">
      <c r="L3830" s="169"/>
    </row>
    <row r="3831" spans="12:12" x14ac:dyDescent="0.25">
      <c r="L3831" s="169"/>
    </row>
    <row r="3832" spans="12:12" x14ac:dyDescent="0.25">
      <c r="L3832" s="169"/>
    </row>
    <row r="3833" spans="12:12" x14ac:dyDescent="0.25">
      <c r="L3833" s="169"/>
    </row>
    <row r="3834" spans="12:12" x14ac:dyDescent="0.25">
      <c r="L3834" s="169"/>
    </row>
    <row r="3835" spans="12:12" x14ac:dyDescent="0.25">
      <c r="L3835" s="169"/>
    </row>
    <row r="3836" spans="12:12" x14ac:dyDescent="0.25">
      <c r="L3836" s="169"/>
    </row>
    <row r="3837" spans="12:12" x14ac:dyDescent="0.25">
      <c r="L3837" s="169"/>
    </row>
    <row r="3838" spans="12:12" x14ac:dyDescent="0.25">
      <c r="L3838" s="169"/>
    </row>
    <row r="3839" spans="12:12" x14ac:dyDescent="0.25">
      <c r="L3839" s="169"/>
    </row>
    <row r="3840" spans="12:12" x14ac:dyDescent="0.25">
      <c r="L3840" s="169"/>
    </row>
    <row r="3841" spans="12:12" x14ac:dyDescent="0.25">
      <c r="L3841" s="169"/>
    </row>
    <row r="3842" spans="12:12" x14ac:dyDescent="0.25">
      <c r="L3842" s="169"/>
    </row>
    <row r="3843" spans="12:12" x14ac:dyDescent="0.25">
      <c r="L3843" s="169"/>
    </row>
    <row r="3844" spans="12:12" x14ac:dyDescent="0.25">
      <c r="L3844" s="169"/>
    </row>
    <row r="3845" spans="12:12" x14ac:dyDescent="0.25">
      <c r="L3845" s="169"/>
    </row>
    <row r="3846" spans="12:12" x14ac:dyDescent="0.25">
      <c r="L3846" s="169"/>
    </row>
    <row r="3847" spans="12:12" x14ac:dyDescent="0.25">
      <c r="L3847" s="169"/>
    </row>
    <row r="3848" spans="12:12" x14ac:dyDescent="0.25">
      <c r="L3848" s="169"/>
    </row>
    <row r="3849" spans="12:12" x14ac:dyDescent="0.25">
      <c r="L3849" s="169"/>
    </row>
    <row r="3850" spans="12:12" x14ac:dyDescent="0.25">
      <c r="L3850" s="169"/>
    </row>
    <row r="3851" spans="12:12" x14ac:dyDescent="0.25">
      <c r="L3851" s="169"/>
    </row>
    <row r="3852" spans="12:12" x14ac:dyDescent="0.25">
      <c r="L3852" s="169"/>
    </row>
    <row r="3853" spans="12:12" x14ac:dyDescent="0.25">
      <c r="L3853" s="169"/>
    </row>
    <row r="3854" spans="12:12" x14ac:dyDescent="0.25">
      <c r="L3854" s="169"/>
    </row>
    <row r="3855" spans="12:12" x14ac:dyDescent="0.25">
      <c r="L3855" s="169"/>
    </row>
    <row r="3856" spans="12:12" x14ac:dyDescent="0.25">
      <c r="L3856" s="169"/>
    </row>
    <row r="3857" spans="12:12" x14ac:dyDescent="0.25">
      <c r="L3857" s="169"/>
    </row>
    <row r="3858" spans="12:12" x14ac:dyDescent="0.25">
      <c r="L3858" s="169"/>
    </row>
    <row r="3859" spans="12:12" x14ac:dyDescent="0.25">
      <c r="L3859" s="169"/>
    </row>
    <row r="3860" spans="12:12" x14ac:dyDescent="0.25">
      <c r="L3860" s="169"/>
    </row>
    <row r="3861" spans="12:12" x14ac:dyDescent="0.25">
      <c r="L3861" s="169"/>
    </row>
    <row r="3862" spans="12:12" x14ac:dyDescent="0.25">
      <c r="L3862" s="169"/>
    </row>
    <row r="3863" spans="12:12" x14ac:dyDescent="0.25">
      <c r="L3863" s="169"/>
    </row>
    <row r="3864" spans="12:12" x14ac:dyDescent="0.25">
      <c r="L3864" s="169"/>
    </row>
    <row r="3865" spans="12:12" x14ac:dyDescent="0.25">
      <c r="L3865" s="169"/>
    </row>
    <row r="3866" spans="12:12" x14ac:dyDescent="0.25">
      <c r="L3866" s="169"/>
    </row>
    <row r="3867" spans="12:12" x14ac:dyDescent="0.25">
      <c r="L3867" s="169"/>
    </row>
    <row r="3868" spans="12:12" x14ac:dyDescent="0.25">
      <c r="L3868" s="169"/>
    </row>
    <row r="3869" spans="12:12" x14ac:dyDescent="0.25">
      <c r="L3869" s="169"/>
    </row>
    <row r="3870" spans="12:12" x14ac:dyDescent="0.25">
      <c r="L3870" s="169"/>
    </row>
    <row r="3871" spans="12:12" x14ac:dyDescent="0.25">
      <c r="L3871" s="169"/>
    </row>
    <row r="3872" spans="12:12" x14ac:dyDescent="0.25">
      <c r="L3872" s="169"/>
    </row>
    <row r="3873" spans="12:12" x14ac:dyDescent="0.25">
      <c r="L3873" s="169"/>
    </row>
    <row r="3874" spans="12:12" x14ac:dyDescent="0.25">
      <c r="L3874" s="169"/>
    </row>
    <row r="3875" spans="12:12" x14ac:dyDescent="0.25">
      <c r="L3875" s="169"/>
    </row>
    <row r="3876" spans="12:12" x14ac:dyDescent="0.25">
      <c r="L3876" s="169"/>
    </row>
    <row r="3877" spans="12:12" x14ac:dyDescent="0.25">
      <c r="L3877" s="169"/>
    </row>
    <row r="3878" spans="12:12" x14ac:dyDescent="0.25">
      <c r="L3878" s="169"/>
    </row>
    <row r="3879" spans="12:12" x14ac:dyDescent="0.25">
      <c r="L3879" s="169"/>
    </row>
    <row r="3880" spans="12:12" x14ac:dyDescent="0.25">
      <c r="L3880" s="169"/>
    </row>
    <row r="3881" spans="12:12" x14ac:dyDescent="0.25">
      <c r="L3881" s="169"/>
    </row>
    <row r="3882" spans="12:12" x14ac:dyDescent="0.25">
      <c r="L3882" s="169"/>
    </row>
    <row r="3883" spans="12:12" x14ac:dyDescent="0.25">
      <c r="L3883" s="169"/>
    </row>
    <row r="3884" spans="12:12" x14ac:dyDescent="0.25">
      <c r="L3884" s="169"/>
    </row>
    <row r="3885" spans="12:12" x14ac:dyDescent="0.25">
      <c r="L3885" s="169"/>
    </row>
    <row r="3886" spans="12:12" x14ac:dyDescent="0.25">
      <c r="L3886" s="169"/>
    </row>
    <row r="3887" spans="12:12" x14ac:dyDescent="0.25">
      <c r="L3887" s="169"/>
    </row>
    <row r="3888" spans="12:12" x14ac:dyDescent="0.25">
      <c r="L3888" s="169"/>
    </row>
    <row r="3889" spans="12:12" x14ac:dyDescent="0.25">
      <c r="L3889" s="169"/>
    </row>
    <row r="3890" spans="12:12" x14ac:dyDescent="0.25">
      <c r="L3890" s="169"/>
    </row>
    <row r="3891" spans="12:12" x14ac:dyDescent="0.25">
      <c r="L3891" s="169"/>
    </row>
    <row r="3892" spans="12:12" x14ac:dyDescent="0.25">
      <c r="L3892" s="169"/>
    </row>
    <row r="3893" spans="12:12" x14ac:dyDescent="0.25">
      <c r="L3893" s="169"/>
    </row>
    <row r="3894" spans="12:12" x14ac:dyDescent="0.25">
      <c r="L3894" s="169"/>
    </row>
    <row r="3895" spans="12:12" x14ac:dyDescent="0.25">
      <c r="L3895" s="169"/>
    </row>
    <row r="3896" spans="12:12" x14ac:dyDescent="0.25">
      <c r="L3896" s="169"/>
    </row>
    <row r="3897" spans="12:12" x14ac:dyDescent="0.25">
      <c r="L3897" s="169"/>
    </row>
    <row r="3898" spans="12:12" x14ac:dyDescent="0.25">
      <c r="L3898" s="169"/>
    </row>
    <row r="3899" spans="12:12" x14ac:dyDescent="0.25">
      <c r="L3899" s="169"/>
    </row>
    <row r="3900" spans="12:12" x14ac:dyDescent="0.25">
      <c r="L3900" s="169"/>
    </row>
    <row r="3901" spans="12:12" x14ac:dyDescent="0.25">
      <c r="L3901" s="169"/>
    </row>
    <row r="3902" spans="12:12" x14ac:dyDescent="0.25">
      <c r="L3902" s="169"/>
    </row>
    <row r="3903" spans="12:12" x14ac:dyDescent="0.25">
      <c r="L3903" s="169"/>
    </row>
    <row r="3904" spans="12:12" x14ac:dyDescent="0.25">
      <c r="L3904" s="169"/>
    </row>
    <row r="3905" spans="12:12" x14ac:dyDescent="0.25">
      <c r="L3905" s="169"/>
    </row>
    <row r="3906" spans="12:12" x14ac:dyDescent="0.25">
      <c r="L3906" s="169"/>
    </row>
    <row r="3907" spans="12:12" x14ac:dyDescent="0.25">
      <c r="L3907" s="169"/>
    </row>
    <row r="3908" spans="12:12" x14ac:dyDescent="0.25">
      <c r="L3908" s="169"/>
    </row>
    <row r="3909" spans="12:12" x14ac:dyDescent="0.25">
      <c r="L3909" s="169"/>
    </row>
    <row r="3910" spans="12:12" x14ac:dyDescent="0.25">
      <c r="L3910" s="169"/>
    </row>
    <row r="3911" spans="12:12" x14ac:dyDescent="0.25">
      <c r="L3911" s="169"/>
    </row>
    <row r="3912" spans="12:12" x14ac:dyDescent="0.25">
      <c r="L3912" s="169"/>
    </row>
    <row r="3913" spans="12:12" x14ac:dyDescent="0.25">
      <c r="L3913" s="169"/>
    </row>
    <row r="3914" spans="12:12" x14ac:dyDescent="0.25">
      <c r="L3914" s="169"/>
    </row>
    <row r="3915" spans="12:12" x14ac:dyDescent="0.25">
      <c r="L3915" s="169"/>
    </row>
    <row r="3916" spans="12:12" x14ac:dyDescent="0.25">
      <c r="L3916" s="169"/>
    </row>
    <row r="3917" spans="12:12" x14ac:dyDescent="0.25">
      <c r="L3917" s="169"/>
    </row>
    <row r="3918" spans="12:12" x14ac:dyDescent="0.25">
      <c r="L3918" s="169"/>
    </row>
    <row r="3919" spans="12:12" x14ac:dyDescent="0.25">
      <c r="L3919" s="169"/>
    </row>
    <row r="3920" spans="12:12" x14ac:dyDescent="0.25">
      <c r="L3920" s="169"/>
    </row>
    <row r="3921" spans="12:12" x14ac:dyDescent="0.25">
      <c r="L3921" s="169"/>
    </row>
    <row r="3922" spans="12:12" x14ac:dyDescent="0.25">
      <c r="L3922" s="169"/>
    </row>
    <row r="3923" spans="12:12" x14ac:dyDescent="0.25">
      <c r="L3923" s="169"/>
    </row>
    <row r="3924" spans="12:12" x14ac:dyDescent="0.25">
      <c r="L3924" s="169"/>
    </row>
    <row r="3925" spans="12:12" x14ac:dyDescent="0.25">
      <c r="L3925" s="169"/>
    </row>
    <row r="3926" spans="12:12" x14ac:dyDescent="0.25">
      <c r="L3926" s="169"/>
    </row>
    <row r="3927" spans="12:12" x14ac:dyDescent="0.25">
      <c r="L3927" s="169"/>
    </row>
    <row r="3928" spans="12:12" x14ac:dyDescent="0.25">
      <c r="L3928" s="169"/>
    </row>
    <row r="3929" spans="12:12" x14ac:dyDescent="0.25">
      <c r="L3929" s="169"/>
    </row>
    <row r="3930" spans="12:12" x14ac:dyDescent="0.25">
      <c r="L3930" s="169"/>
    </row>
    <row r="3931" spans="12:12" x14ac:dyDescent="0.25">
      <c r="L3931" s="169"/>
    </row>
    <row r="3932" spans="12:12" x14ac:dyDescent="0.25">
      <c r="L3932" s="169"/>
    </row>
    <row r="3933" spans="12:12" x14ac:dyDescent="0.25">
      <c r="L3933" s="169"/>
    </row>
    <row r="3934" spans="12:12" x14ac:dyDescent="0.25">
      <c r="L3934" s="169"/>
    </row>
    <row r="3935" spans="12:12" x14ac:dyDescent="0.25">
      <c r="L3935" s="169"/>
    </row>
    <row r="3936" spans="12:12" x14ac:dyDescent="0.25">
      <c r="L3936" s="169"/>
    </row>
    <row r="3937" spans="12:12" x14ac:dyDescent="0.25">
      <c r="L3937" s="169"/>
    </row>
    <row r="3938" spans="12:12" x14ac:dyDescent="0.25">
      <c r="L3938" s="169"/>
    </row>
    <row r="3939" spans="12:12" x14ac:dyDescent="0.25">
      <c r="L3939" s="169"/>
    </row>
    <row r="3940" spans="12:12" x14ac:dyDescent="0.25">
      <c r="L3940" s="169"/>
    </row>
    <row r="3941" spans="12:12" x14ac:dyDescent="0.25">
      <c r="L3941" s="169"/>
    </row>
    <row r="3942" spans="12:12" x14ac:dyDescent="0.25">
      <c r="L3942" s="169"/>
    </row>
    <row r="3943" spans="12:12" x14ac:dyDescent="0.25">
      <c r="L3943" s="169"/>
    </row>
    <row r="3944" spans="12:12" x14ac:dyDescent="0.25">
      <c r="L3944" s="169"/>
    </row>
    <row r="3945" spans="12:12" x14ac:dyDescent="0.25">
      <c r="L3945" s="169"/>
    </row>
    <row r="3946" spans="12:12" x14ac:dyDescent="0.25">
      <c r="L3946" s="169"/>
    </row>
    <row r="3947" spans="12:12" x14ac:dyDescent="0.25">
      <c r="L3947" s="169"/>
    </row>
    <row r="3948" spans="12:12" x14ac:dyDescent="0.25">
      <c r="L3948" s="169"/>
    </row>
    <row r="3949" spans="12:12" x14ac:dyDescent="0.25">
      <c r="L3949" s="169"/>
    </row>
    <row r="3950" spans="12:12" x14ac:dyDescent="0.25">
      <c r="L3950" s="169"/>
    </row>
    <row r="3951" spans="12:12" x14ac:dyDescent="0.25">
      <c r="L3951" s="169"/>
    </row>
    <row r="3952" spans="12:12" x14ac:dyDescent="0.25">
      <c r="L3952" s="169"/>
    </row>
    <row r="3953" spans="12:12" x14ac:dyDescent="0.25">
      <c r="L3953" s="169"/>
    </row>
    <row r="3954" spans="12:12" x14ac:dyDescent="0.25">
      <c r="L3954" s="169"/>
    </row>
    <row r="3955" spans="12:12" x14ac:dyDescent="0.25">
      <c r="L3955" s="169"/>
    </row>
    <row r="3956" spans="12:12" x14ac:dyDescent="0.25">
      <c r="L3956" s="169"/>
    </row>
  </sheetData>
  <phoneticPr fontId="24" type="noConversion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S1693"/>
  <sheetViews>
    <sheetView zoomScale="80" zoomScaleNormal="80" workbookViewId="0">
      <selection activeCell="F8" sqref="F8"/>
    </sheetView>
  </sheetViews>
  <sheetFormatPr baseColWidth="10" defaultColWidth="8.81640625" defaultRowHeight="12.5" x14ac:dyDescent="0.25"/>
  <cols>
    <col min="1" max="1" width="21.7265625" customWidth="1"/>
    <col min="2" max="2" width="9.1796875" style="3"/>
    <col min="3" max="3" width="11.81640625" customWidth="1"/>
    <col min="7" max="7" width="9.453125" bestFit="1" customWidth="1"/>
  </cols>
  <sheetData>
    <row r="1" spans="1:16" ht="13" x14ac:dyDescent="0.3">
      <c r="A1" s="58" t="s">
        <v>647</v>
      </c>
      <c r="B1" s="59"/>
      <c r="C1" s="59"/>
      <c r="D1" s="59"/>
      <c r="E1" s="59"/>
      <c r="F1" s="32"/>
      <c r="G1" s="32"/>
      <c r="H1" s="34"/>
    </row>
    <row r="2" spans="1:16" x14ac:dyDescent="0.25">
      <c r="A2" s="3"/>
      <c r="C2" s="3"/>
      <c r="D2" s="3"/>
      <c r="E2" s="3"/>
      <c r="F2" s="3"/>
    </row>
    <row r="3" spans="1:16" x14ac:dyDescent="0.25">
      <c r="A3" s="3"/>
      <c r="C3" s="3"/>
      <c r="D3" s="3"/>
      <c r="E3" s="3"/>
      <c r="F3" s="3"/>
    </row>
    <row r="4" spans="1:16" ht="13" thickBot="1" x14ac:dyDescent="0.3">
      <c r="A4" s="3"/>
      <c r="C4" s="3"/>
      <c r="D4" s="3"/>
      <c r="E4" s="3"/>
      <c r="F4" s="3"/>
    </row>
    <row r="5" spans="1:16" ht="13" x14ac:dyDescent="0.3">
      <c r="A5" s="74" t="s">
        <v>677</v>
      </c>
      <c r="B5" s="75"/>
      <c r="C5" s="76"/>
      <c r="D5" s="76"/>
      <c r="E5" s="76"/>
      <c r="F5" s="75"/>
      <c r="G5" s="75"/>
      <c r="H5" s="76"/>
      <c r="I5" s="76"/>
      <c r="J5" s="76"/>
      <c r="K5" s="76"/>
      <c r="L5" s="76"/>
      <c r="M5" s="76"/>
      <c r="N5" s="211">
        <v>38</v>
      </c>
      <c r="P5" s="209"/>
    </row>
    <row r="6" spans="1:16" ht="13" x14ac:dyDescent="0.3">
      <c r="A6" s="77" t="s">
        <v>672</v>
      </c>
      <c r="B6" s="41"/>
      <c r="C6" s="41" t="s">
        <v>673</v>
      </c>
      <c r="D6" s="46"/>
      <c r="E6" s="46"/>
      <c r="F6" s="78"/>
      <c r="G6" s="78"/>
      <c r="H6" s="46"/>
      <c r="I6" s="46"/>
      <c r="J6" s="46"/>
      <c r="K6" s="46"/>
      <c r="L6" s="46"/>
      <c r="M6" s="46"/>
      <c r="N6" s="79"/>
      <c r="P6" s="209"/>
    </row>
    <row r="7" spans="1:16" x14ac:dyDescent="0.25">
      <c r="A7" s="80" t="s">
        <v>900</v>
      </c>
      <c r="B7" s="46"/>
      <c r="C7" s="81">
        <v>1800</v>
      </c>
      <c r="D7" s="46"/>
      <c r="E7" s="46"/>
      <c r="F7" s="78"/>
      <c r="G7" s="78"/>
      <c r="H7" s="46"/>
      <c r="I7" s="46"/>
      <c r="J7" s="46"/>
      <c r="K7" s="46"/>
      <c r="L7" s="46"/>
      <c r="M7" s="46"/>
      <c r="N7" s="79"/>
      <c r="P7" s="209">
        <v>5</v>
      </c>
    </row>
    <row r="8" spans="1:16" ht="13" x14ac:dyDescent="0.3">
      <c r="A8" s="77" t="s">
        <v>681</v>
      </c>
      <c r="B8" s="41" t="s">
        <v>680</v>
      </c>
      <c r="C8" s="41" t="s">
        <v>678</v>
      </c>
      <c r="D8" s="41" t="s">
        <v>695</v>
      </c>
      <c r="E8" s="41" t="s">
        <v>679</v>
      </c>
      <c r="F8" s="41" t="s">
        <v>1186</v>
      </c>
      <c r="G8" s="78"/>
      <c r="H8" s="46"/>
      <c r="I8" s="46"/>
      <c r="J8" s="46"/>
      <c r="K8" s="46"/>
      <c r="L8" s="46"/>
      <c r="M8" s="46"/>
      <c r="N8" s="79"/>
      <c r="P8" s="209"/>
    </row>
    <row r="9" spans="1:16" x14ac:dyDescent="0.25">
      <c r="A9" s="80">
        <v>2</v>
      </c>
      <c r="B9" s="78">
        <v>2</v>
      </c>
      <c r="C9" s="82">
        <v>0.12</v>
      </c>
      <c r="D9" s="78">
        <v>50</v>
      </c>
      <c r="E9" s="78">
        <v>81</v>
      </c>
      <c r="F9" s="78">
        <v>1</v>
      </c>
      <c r="G9" s="78"/>
      <c r="H9" s="46"/>
      <c r="I9" s="46"/>
      <c r="J9" s="46"/>
      <c r="K9" s="46"/>
      <c r="L9" s="46"/>
      <c r="M9" s="78" t="s">
        <v>65</v>
      </c>
      <c r="N9" s="83" t="s">
        <v>65</v>
      </c>
      <c r="P9" s="209"/>
    </row>
    <row r="10" spans="1:16" ht="13" x14ac:dyDescent="0.3">
      <c r="A10" s="84"/>
      <c r="B10" s="13"/>
      <c r="C10" s="78" t="s">
        <v>20</v>
      </c>
      <c r="D10" s="78" t="s">
        <v>20</v>
      </c>
      <c r="E10" s="78" t="s">
        <v>20</v>
      </c>
      <c r="F10" s="78"/>
      <c r="G10" s="78" t="s">
        <v>39</v>
      </c>
      <c r="H10" s="78" t="s">
        <v>39</v>
      </c>
      <c r="I10" s="78" t="s">
        <v>39</v>
      </c>
      <c r="J10" s="78" t="s">
        <v>63</v>
      </c>
      <c r="K10" s="78" t="s">
        <v>62</v>
      </c>
      <c r="L10" s="78" t="s">
        <v>39</v>
      </c>
      <c r="M10" s="78" t="s">
        <v>64</v>
      </c>
      <c r="N10" s="83" t="s">
        <v>64</v>
      </c>
      <c r="P10" s="209"/>
    </row>
    <row r="11" spans="1:16" ht="13" x14ac:dyDescent="0.3">
      <c r="A11" s="85" t="s">
        <v>32</v>
      </c>
      <c r="B11" s="5" t="s">
        <v>33</v>
      </c>
      <c r="C11" s="5" t="s">
        <v>34</v>
      </c>
      <c r="D11" s="5" t="s">
        <v>35</v>
      </c>
      <c r="E11" s="5" t="s">
        <v>814</v>
      </c>
      <c r="F11" s="5" t="s">
        <v>816</v>
      </c>
      <c r="G11" s="5" t="s">
        <v>815</v>
      </c>
      <c r="H11" s="5" t="s">
        <v>36</v>
      </c>
      <c r="I11" s="5" t="s">
        <v>66</v>
      </c>
      <c r="J11" s="5" t="s">
        <v>56</v>
      </c>
      <c r="K11" s="5" t="s">
        <v>57</v>
      </c>
      <c r="L11" s="5" t="s">
        <v>58</v>
      </c>
      <c r="M11" s="5" t="s">
        <v>59</v>
      </c>
      <c r="N11" s="86" t="s">
        <v>60</v>
      </c>
      <c r="P11" s="209"/>
    </row>
    <row r="12" spans="1:16" x14ac:dyDescent="0.25">
      <c r="A12" s="87">
        <v>1</v>
      </c>
      <c r="B12" s="82">
        <v>300</v>
      </c>
      <c r="C12" s="82">
        <v>0.378</v>
      </c>
      <c r="D12" s="82">
        <v>0.255</v>
      </c>
      <c r="E12" s="82">
        <v>0.123</v>
      </c>
      <c r="F12" s="82">
        <v>4.1000000000000002E-2</v>
      </c>
      <c r="G12" s="82">
        <v>0.12629087021728713</v>
      </c>
      <c r="H12" s="82">
        <v>0.3</v>
      </c>
      <c r="I12" s="82">
        <v>0.2</v>
      </c>
      <c r="J12" s="82">
        <v>1.4</v>
      </c>
      <c r="K12" s="82">
        <v>3.5259999999999993E-2</v>
      </c>
      <c r="L12" s="82">
        <v>0.1</v>
      </c>
      <c r="M12" s="82">
        <v>1.9617791798979305</v>
      </c>
      <c r="N12" s="212">
        <v>0</v>
      </c>
      <c r="P12" s="209"/>
    </row>
    <row r="13" spans="1:16" x14ac:dyDescent="0.25">
      <c r="A13" s="87">
        <v>2</v>
      </c>
      <c r="B13" s="82">
        <v>700</v>
      </c>
      <c r="C13" s="82">
        <v>0.39500000000000002</v>
      </c>
      <c r="D13" s="82">
        <v>0.26200000000000001</v>
      </c>
      <c r="E13" s="82">
        <v>0.13</v>
      </c>
      <c r="F13" s="82">
        <v>4.3333333333333335E-2</v>
      </c>
      <c r="G13" s="82">
        <v>0.1338472270533668</v>
      </c>
      <c r="H13" s="82">
        <v>0.3</v>
      </c>
      <c r="I13" s="82">
        <v>0.27</v>
      </c>
      <c r="J13" s="82">
        <v>1.36</v>
      </c>
      <c r="K13" s="82">
        <v>1.9779999999999999E-2</v>
      </c>
      <c r="L13" s="82">
        <v>0.1</v>
      </c>
      <c r="M13" s="82">
        <v>11.034540660849625</v>
      </c>
      <c r="N13" s="212">
        <v>0</v>
      </c>
      <c r="P13" s="209" t="s">
        <v>966</v>
      </c>
    </row>
    <row r="14" spans="1:16" x14ac:dyDescent="0.25">
      <c r="A14" s="87">
        <v>3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212"/>
      <c r="P14" s="209"/>
    </row>
    <row r="15" spans="1:16" x14ac:dyDescent="0.25">
      <c r="A15" s="87">
        <v>4</v>
      </c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212"/>
      <c r="P15" s="209"/>
    </row>
    <row r="16" spans="1:16" x14ac:dyDescent="0.25">
      <c r="A16" s="87">
        <v>5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212"/>
      <c r="P16" s="209"/>
    </row>
    <row r="17" spans="1:16" x14ac:dyDescent="0.25">
      <c r="A17" s="87">
        <v>6</v>
      </c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212"/>
      <c r="P17" s="209"/>
    </row>
    <row r="18" spans="1:16" x14ac:dyDescent="0.25">
      <c r="A18" s="87">
        <v>7</v>
      </c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212"/>
      <c r="P18" s="209"/>
    </row>
    <row r="19" spans="1:16" x14ac:dyDescent="0.25">
      <c r="A19" s="87">
        <v>8</v>
      </c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212"/>
      <c r="P19" s="209"/>
    </row>
    <row r="20" spans="1:16" x14ac:dyDescent="0.25">
      <c r="A20" s="88">
        <v>9</v>
      </c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212"/>
      <c r="P20" s="209"/>
    </row>
    <row r="21" spans="1:16" ht="13" thickBot="1" x14ac:dyDescent="0.3">
      <c r="A21" s="89">
        <v>10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213"/>
      <c r="P21" s="209"/>
    </row>
    <row r="22" spans="1:16" x14ac:dyDescent="0.25">
      <c r="A22" s="3"/>
      <c r="C22" s="3"/>
      <c r="D22" s="3"/>
      <c r="E22" s="3"/>
      <c r="F22" s="3"/>
      <c r="P22" s="209"/>
    </row>
    <row r="23" spans="1:16" ht="13" thickBot="1" x14ac:dyDescent="0.3">
      <c r="A23" s="3"/>
      <c r="C23" s="3"/>
      <c r="D23" s="3"/>
      <c r="E23" s="3"/>
      <c r="F23" s="3"/>
      <c r="P23" s="209"/>
    </row>
    <row r="24" spans="1:16" ht="13" x14ac:dyDescent="0.3">
      <c r="A24" s="74" t="s">
        <v>677</v>
      </c>
      <c r="B24" s="75"/>
      <c r="C24" s="76"/>
      <c r="D24" s="76"/>
      <c r="E24" s="76"/>
      <c r="F24" s="75"/>
      <c r="G24" s="75"/>
      <c r="H24" s="76"/>
      <c r="I24" s="76"/>
      <c r="J24" s="76"/>
      <c r="K24" s="76"/>
      <c r="L24" s="76"/>
      <c r="M24" s="76"/>
      <c r="N24" s="211">
        <v>3</v>
      </c>
      <c r="P24" s="209"/>
    </row>
    <row r="25" spans="1:16" ht="13" x14ac:dyDescent="0.3">
      <c r="A25" s="77" t="s">
        <v>672</v>
      </c>
      <c r="B25" s="41"/>
      <c r="C25" s="41" t="s">
        <v>673</v>
      </c>
      <c r="D25" s="46"/>
      <c r="E25" s="46"/>
      <c r="F25" s="78"/>
      <c r="G25" s="78"/>
      <c r="H25" s="46"/>
      <c r="I25" s="46"/>
      <c r="J25" s="46"/>
      <c r="K25" s="46"/>
      <c r="L25" s="46"/>
      <c r="M25" s="46"/>
      <c r="N25" s="79"/>
      <c r="P25" s="209"/>
    </row>
    <row r="26" spans="1:16" x14ac:dyDescent="0.25">
      <c r="A26" s="80" t="s">
        <v>830</v>
      </c>
      <c r="B26" s="46"/>
      <c r="C26" s="81">
        <v>36</v>
      </c>
      <c r="D26" s="46"/>
      <c r="E26" s="46"/>
      <c r="F26" s="78"/>
      <c r="G26" s="78"/>
      <c r="H26" s="46"/>
      <c r="I26" s="46"/>
      <c r="J26" s="46"/>
      <c r="K26" s="46"/>
      <c r="L26" s="46"/>
      <c r="M26" s="46"/>
      <c r="N26" s="79"/>
      <c r="P26" s="209">
        <v>24</v>
      </c>
    </row>
    <row r="27" spans="1:16" ht="13" x14ac:dyDescent="0.3">
      <c r="A27" s="77" t="s">
        <v>681</v>
      </c>
      <c r="B27" s="41" t="s">
        <v>680</v>
      </c>
      <c r="C27" s="41" t="s">
        <v>678</v>
      </c>
      <c r="D27" s="41" t="s">
        <v>695</v>
      </c>
      <c r="E27" s="41" t="s">
        <v>679</v>
      </c>
      <c r="F27" s="41" t="s">
        <v>1186</v>
      </c>
      <c r="G27" s="78"/>
      <c r="H27" s="46"/>
      <c r="I27" s="46"/>
      <c r="J27" s="46"/>
      <c r="K27" s="46"/>
      <c r="L27" s="46"/>
      <c r="M27" s="46"/>
      <c r="N27" s="79"/>
      <c r="P27" s="209"/>
    </row>
    <row r="28" spans="1:16" x14ac:dyDescent="0.25">
      <c r="A28" s="80">
        <v>2</v>
      </c>
      <c r="B28" s="78">
        <v>2</v>
      </c>
      <c r="C28" s="82" t="e">
        <v>#N/A</v>
      </c>
      <c r="D28" s="78">
        <v>91</v>
      </c>
      <c r="E28" s="78" t="e">
        <v>#N/A</v>
      </c>
      <c r="F28" s="78">
        <v>1</v>
      </c>
      <c r="G28" s="78"/>
      <c r="H28" s="46"/>
      <c r="I28" s="46"/>
      <c r="J28" s="46"/>
      <c r="K28" s="46"/>
      <c r="L28" s="46"/>
      <c r="M28" s="78" t="s">
        <v>65</v>
      </c>
      <c r="N28" s="83" t="s">
        <v>65</v>
      </c>
      <c r="P28" s="209"/>
    </row>
    <row r="29" spans="1:16" ht="13" x14ac:dyDescent="0.3">
      <c r="A29" s="84"/>
      <c r="B29" s="13"/>
      <c r="C29" s="78" t="s">
        <v>20</v>
      </c>
      <c r="D29" s="78" t="s">
        <v>20</v>
      </c>
      <c r="E29" s="78" t="s">
        <v>20</v>
      </c>
      <c r="F29" s="78"/>
      <c r="G29" s="78" t="s">
        <v>39</v>
      </c>
      <c r="H29" s="78" t="s">
        <v>39</v>
      </c>
      <c r="I29" s="78" t="s">
        <v>39</v>
      </c>
      <c r="J29" s="78" t="s">
        <v>63</v>
      </c>
      <c r="K29" s="78" t="s">
        <v>62</v>
      </c>
      <c r="L29" s="78" t="s">
        <v>39</v>
      </c>
      <c r="M29" s="78" t="s">
        <v>64</v>
      </c>
      <c r="N29" s="83" t="s">
        <v>64</v>
      </c>
      <c r="P29" s="209"/>
    </row>
    <row r="30" spans="1:16" ht="13" x14ac:dyDescent="0.3">
      <c r="A30" s="85" t="s">
        <v>32</v>
      </c>
      <c r="B30" s="5" t="s">
        <v>33</v>
      </c>
      <c r="C30" s="5" t="s">
        <v>34</v>
      </c>
      <c r="D30" s="5" t="s">
        <v>35</v>
      </c>
      <c r="E30" s="5" t="s">
        <v>814</v>
      </c>
      <c r="F30" s="5" t="s">
        <v>816</v>
      </c>
      <c r="G30" s="5" t="s">
        <v>815</v>
      </c>
      <c r="H30" s="5" t="s">
        <v>36</v>
      </c>
      <c r="I30" s="5" t="s">
        <v>66</v>
      </c>
      <c r="J30" s="5" t="s">
        <v>56</v>
      </c>
      <c r="K30" s="5" t="s">
        <v>57</v>
      </c>
      <c r="L30" s="5" t="s">
        <v>58</v>
      </c>
      <c r="M30" s="5" t="s">
        <v>59</v>
      </c>
      <c r="N30" s="86" t="s">
        <v>60</v>
      </c>
      <c r="P30" s="209"/>
    </row>
    <row r="31" spans="1:16" x14ac:dyDescent="0.25">
      <c r="A31" s="87">
        <v>1</v>
      </c>
      <c r="B31" s="82" t="e">
        <v>#N/A</v>
      </c>
      <c r="C31" s="82" t="e">
        <v>#N/A</v>
      </c>
      <c r="D31" s="82" t="e">
        <v>#N/A</v>
      </c>
      <c r="E31" s="82" t="e">
        <v>#N/A</v>
      </c>
      <c r="F31" s="82" t="e">
        <v>#N/A</v>
      </c>
      <c r="G31" s="82" t="e">
        <v>#N/A</v>
      </c>
      <c r="H31" s="82" t="e">
        <v>#N/A</v>
      </c>
      <c r="I31" s="82" t="e">
        <v>#N/A</v>
      </c>
      <c r="J31" s="82" t="e">
        <v>#N/A</v>
      </c>
      <c r="K31" s="82" t="e">
        <v>#N/A</v>
      </c>
      <c r="L31" s="82">
        <v>0.1</v>
      </c>
      <c r="M31" s="82" t="e">
        <v>#N/A</v>
      </c>
      <c r="N31" s="212">
        <v>0</v>
      </c>
      <c r="P31" s="209"/>
    </row>
    <row r="32" spans="1:16" x14ac:dyDescent="0.25">
      <c r="A32" s="87">
        <v>2</v>
      </c>
      <c r="B32" s="82" t="e">
        <v>#N/A</v>
      </c>
      <c r="C32" s="82" t="e">
        <v>#N/A</v>
      </c>
      <c r="D32" s="82" t="e">
        <v>#N/A</v>
      </c>
      <c r="E32" s="82" t="e">
        <v>#N/A</v>
      </c>
      <c r="F32" s="82" t="e">
        <v>#N/A</v>
      </c>
      <c r="G32" s="82" t="e">
        <v>#N/A</v>
      </c>
      <c r="H32" s="82" t="e">
        <v>#N/A</v>
      </c>
      <c r="I32" s="82" t="e">
        <v>#N/A</v>
      </c>
      <c r="J32" s="82" t="e">
        <v>#N/A</v>
      </c>
      <c r="K32" s="82" t="e">
        <v>#N/A</v>
      </c>
      <c r="L32" s="82">
        <v>0.1</v>
      </c>
      <c r="M32" s="82" t="e">
        <v>#N/A</v>
      </c>
      <c r="N32" s="212">
        <v>0</v>
      </c>
      <c r="P32" s="209" t="s">
        <v>966</v>
      </c>
    </row>
    <row r="33" spans="1:19" x14ac:dyDescent="0.25">
      <c r="A33" s="87">
        <v>3</v>
      </c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212"/>
      <c r="P33" s="209"/>
    </row>
    <row r="34" spans="1:19" x14ac:dyDescent="0.25">
      <c r="A34" s="87">
        <v>4</v>
      </c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212"/>
      <c r="P34" s="209"/>
    </row>
    <row r="35" spans="1:19" x14ac:dyDescent="0.25">
      <c r="A35" s="87">
        <v>5</v>
      </c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212"/>
      <c r="P35" s="209"/>
    </row>
    <row r="36" spans="1:19" x14ac:dyDescent="0.25">
      <c r="A36" s="87">
        <v>6</v>
      </c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212"/>
      <c r="P36" s="209"/>
    </row>
    <row r="37" spans="1:19" x14ac:dyDescent="0.25">
      <c r="A37" s="87">
        <v>7</v>
      </c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212"/>
      <c r="P37" s="209"/>
    </row>
    <row r="38" spans="1:19" x14ac:dyDescent="0.25">
      <c r="A38" s="87">
        <v>8</v>
      </c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212"/>
      <c r="P38" s="209"/>
    </row>
    <row r="39" spans="1:19" x14ac:dyDescent="0.25">
      <c r="A39" s="87">
        <v>9</v>
      </c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212"/>
      <c r="P39" s="209"/>
    </row>
    <row r="40" spans="1:19" ht="13" thickBot="1" x14ac:dyDescent="0.3">
      <c r="A40" s="218">
        <v>10</v>
      </c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213"/>
      <c r="P40" s="209"/>
    </row>
    <row r="41" spans="1:19" x14ac:dyDescent="0.25">
      <c r="A41" s="3"/>
      <c r="C41" s="3"/>
      <c r="D41" s="3"/>
      <c r="E41" s="3"/>
      <c r="F41" s="3"/>
      <c r="P41" s="209"/>
    </row>
    <row r="42" spans="1:19" s="3" customFormat="1" ht="13" thickBot="1" x14ac:dyDescent="0.3">
      <c r="G42"/>
      <c r="H42"/>
      <c r="I42"/>
      <c r="J42"/>
      <c r="K42"/>
      <c r="L42"/>
      <c r="M42"/>
      <c r="N42"/>
      <c r="P42" s="209"/>
      <c r="Q42"/>
      <c r="R42"/>
      <c r="S42"/>
    </row>
    <row r="43" spans="1:19" ht="13" x14ac:dyDescent="0.3">
      <c r="A43" s="74" t="s">
        <v>677</v>
      </c>
      <c r="B43" s="75"/>
      <c r="C43" s="76"/>
      <c r="D43" s="76"/>
      <c r="E43" s="76"/>
      <c r="F43" s="75"/>
      <c r="G43" s="75"/>
      <c r="H43" s="76"/>
      <c r="I43" s="76"/>
      <c r="J43" s="76"/>
      <c r="K43" s="76"/>
      <c r="L43" s="76"/>
      <c r="M43" s="76"/>
      <c r="N43" s="211">
        <v>4</v>
      </c>
      <c r="P43" s="209"/>
    </row>
    <row r="44" spans="1:19" ht="13" x14ac:dyDescent="0.3">
      <c r="A44" s="77" t="s">
        <v>672</v>
      </c>
      <c r="B44" s="41"/>
      <c r="C44" s="41" t="s">
        <v>673</v>
      </c>
      <c r="D44" s="46"/>
      <c r="E44" s="46"/>
      <c r="F44" s="78"/>
      <c r="G44" s="78"/>
      <c r="H44" s="46"/>
      <c r="I44" s="46"/>
      <c r="J44" s="46"/>
      <c r="K44" s="46"/>
      <c r="L44" s="46"/>
      <c r="M44" s="46"/>
      <c r="N44" s="79"/>
      <c r="P44" s="209"/>
    </row>
    <row r="45" spans="1:19" x14ac:dyDescent="0.25">
      <c r="A45" s="80" t="s">
        <v>832</v>
      </c>
      <c r="B45" s="46"/>
      <c r="C45" s="81">
        <v>36</v>
      </c>
      <c r="D45" s="46"/>
      <c r="E45" s="46"/>
      <c r="F45" s="78"/>
      <c r="G45" s="78"/>
      <c r="H45" s="46"/>
      <c r="I45" s="46"/>
      <c r="J45" s="46"/>
      <c r="K45" s="46"/>
      <c r="L45" s="46"/>
      <c r="M45" s="46"/>
      <c r="N45" s="79"/>
      <c r="P45" s="209">
        <v>43</v>
      </c>
    </row>
    <row r="46" spans="1:19" ht="13" x14ac:dyDescent="0.3">
      <c r="A46" s="77" t="s">
        <v>681</v>
      </c>
      <c r="B46" s="41" t="s">
        <v>680</v>
      </c>
      <c r="C46" s="41" t="s">
        <v>678</v>
      </c>
      <c r="D46" s="41" t="s">
        <v>695</v>
      </c>
      <c r="E46" s="41" t="s">
        <v>679</v>
      </c>
      <c r="F46" s="41" t="s">
        <v>1186</v>
      </c>
      <c r="G46" s="78"/>
      <c r="H46" s="46"/>
      <c r="I46" s="46"/>
      <c r="J46" s="46"/>
      <c r="K46" s="46"/>
      <c r="L46" s="46"/>
      <c r="M46" s="46"/>
      <c r="N46" s="79"/>
      <c r="P46" s="209"/>
    </row>
    <row r="47" spans="1:19" x14ac:dyDescent="0.25">
      <c r="A47" s="80">
        <v>2</v>
      </c>
      <c r="B47" s="78">
        <v>2</v>
      </c>
      <c r="C47" s="82" t="e">
        <v>#N/A</v>
      </c>
      <c r="D47" s="78">
        <v>90</v>
      </c>
      <c r="E47" s="78" t="e">
        <v>#N/A</v>
      </c>
      <c r="F47" s="78">
        <v>1</v>
      </c>
      <c r="G47" s="78"/>
      <c r="H47" s="46"/>
      <c r="I47" s="46"/>
      <c r="J47" s="46"/>
      <c r="K47" s="46"/>
      <c r="L47" s="46"/>
      <c r="M47" s="78" t="s">
        <v>65</v>
      </c>
      <c r="N47" s="83" t="s">
        <v>65</v>
      </c>
      <c r="P47" s="209"/>
    </row>
    <row r="48" spans="1:19" ht="13" x14ac:dyDescent="0.3">
      <c r="A48" s="84"/>
      <c r="B48" s="13"/>
      <c r="C48" s="78" t="s">
        <v>20</v>
      </c>
      <c r="D48" s="78" t="s">
        <v>20</v>
      </c>
      <c r="E48" s="78" t="s">
        <v>20</v>
      </c>
      <c r="F48" s="78"/>
      <c r="G48" s="78" t="s">
        <v>39</v>
      </c>
      <c r="H48" s="78" t="s">
        <v>39</v>
      </c>
      <c r="I48" s="78" t="s">
        <v>39</v>
      </c>
      <c r="J48" s="78" t="s">
        <v>63</v>
      </c>
      <c r="K48" s="78" t="s">
        <v>62</v>
      </c>
      <c r="L48" s="78" t="s">
        <v>39</v>
      </c>
      <c r="M48" s="78" t="s">
        <v>64</v>
      </c>
      <c r="N48" s="83" t="s">
        <v>64</v>
      </c>
      <c r="P48" s="209"/>
    </row>
    <row r="49" spans="1:16" ht="13" x14ac:dyDescent="0.3">
      <c r="A49" s="85" t="s">
        <v>32</v>
      </c>
      <c r="B49" s="5" t="s">
        <v>33</v>
      </c>
      <c r="C49" s="5" t="s">
        <v>34</v>
      </c>
      <c r="D49" s="5" t="s">
        <v>35</v>
      </c>
      <c r="E49" s="5" t="s">
        <v>814</v>
      </c>
      <c r="F49" s="5" t="s">
        <v>816</v>
      </c>
      <c r="G49" s="5" t="s">
        <v>815</v>
      </c>
      <c r="H49" s="5" t="s">
        <v>36</v>
      </c>
      <c r="I49" s="5" t="s">
        <v>66</v>
      </c>
      <c r="J49" s="5" t="s">
        <v>56</v>
      </c>
      <c r="K49" s="5" t="s">
        <v>57</v>
      </c>
      <c r="L49" s="5" t="s">
        <v>58</v>
      </c>
      <c r="M49" s="5" t="s">
        <v>59</v>
      </c>
      <c r="N49" s="86" t="s">
        <v>60</v>
      </c>
      <c r="P49" s="209"/>
    </row>
    <row r="50" spans="1:16" x14ac:dyDescent="0.25">
      <c r="A50" s="87">
        <v>1</v>
      </c>
      <c r="B50" s="82" t="e">
        <v>#N/A</v>
      </c>
      <c r="C50" s="82" t="e">
        <v>#N/A</v>
      </c>
      <c r="D50" s="82" t="e">
        <v>#N/A</v>
      </c>
      <c r="E50" s="82" t="e">
        <v>#N/A</v>
      </c>
      <c r="F50" s="82" t="e">
        <v>#N/A</v>
      </c>
      <c r="G50" s="82" t="e">
        <v>#N/A</v>
      </c>
      <c r="H50" s="82" t="e">
        <v>#N/A</v>
      </c>
      <c r="I50" s="82" t="e">
        <v>#N/A</v>
      </c>
      <c r="J50" s="82" t="e">
        <v>#N/A</v>
      </c>
      <c r="K50" s="82" t="e">
        <v>#N/A</v>
      </c>
      <c r="L50" s="82">
        <v>0.1</v>
      </c>
      <c r="M50" s="82" t="e">
        <v>#N/A</v>
      </c>
      <c r="N50" s="212">
        <v>0</v>
      </c>
      <c r="P50" s="209"/>
    </row>
    <row r="51" spans="1:16" x14ac:dyDescent="0.25">
      <c r="A51" s="87">
        <v>2</v>
      </c>
      <c r="B51" s="82" t="e">
        <v>#N/A</v>
      </c>
      <c r="C51" s="82" t="e">
        <v>#N/A</v>
      </c>
      <c r="D51" s="82" t="e">
        <v>#N/A</v>
      </c>
      <c r="E51" s="82" t="e">
        <v>#N/A</v>
      </c>
      <c r="F51" s="82" t="e">
        <v>#N/A</v>
      </c>
      <c r="G51" s="82" t="e">
        <v>#N/A</v>
      </c>
      <c r="H51" s="82" t="e">
        <v>#N/A</v>
      </c>
      <c r="I51" s="82" t="e">
        <v>#N/A</v>
      </c>
      <c r="J51" s="82" t="e">
        <v>#N/A</v>
      </c>
      <c r="K51" s="82" t="e">
        <v>#N/A</v>
      </c>
      <c r="L51" s="82">
        <v>0.1</v>
      </c>
      <c r="M51" s="82" t="e">
        <v>#N/A</v>
      </c>
      <c r="N51" s="212">
        <v>0</v>
      </c>
      <c r="P51" s="209" t="s">
        <v>966</v>
      </c>
    </row>
    <row r="52" spans="1:16" x14ac:dyDescent="0.25">
      <c r="A52" s="87">
        <v>3</v>
      </c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212"/>
      <c r="P52" s="209"/>
    </row>
    <row r="53" spans="1:16" x14ac:dyDescent="0.25">
      <c r="A53" s="87">
        <v>4</v>
      </c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212"/>
      <c r="P53" s="209"/>
    </row>
    <row r="54" spans="1:16" x14ac:dyDescent="0.25">
      <c r="A54" s="87">
        <v>5</v>
      </c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212"/>
      <c r="P54" s="209"/>
    </row>
    <row r="55" spans="1:16" x14ac:dyDescent="0.25">
      <c r="A55" s="87">
        <v>6</v>
      </c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212"/>
      <c r="P55" s="209"/>
    </row>
    <row r="56" spans="1:16" x14ac:dyDescent="0.25">
      <c r="A56" s="87">
        <v>7</v>
      </c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212"/>
      <c r="P56" s="209"/>
    </row>
    <row r="57" spans="1:16" x14ac:dyDescent="0.25">
      <c r="A57" s="87">
        <v>8</v>
      </c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212"/>
      <c r="P57" s="209"/>
    </row>
    <row r="58" spans="1:16" x14ac:dyDescent="0.25">
      <c r="A58" s="87">
        <v>9</v>
      </c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212"/>
      <c r="P58" s="209"/>
    </row>
    <row r="59" spans="1:16" ht="13" thickBot="1" x14ac:dyDescent="0.3">
      <c r="A59" s="218">
        <v>10</v>
      </c>
      <c r="B59" s="104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213"/>
      <c r="P59" s="209"/>
    </row>
    <row r="60" spans="1:16" x14ac:dyDescent="0.25">
      <c r="A60" s="3"/>
      <c r="C60" s="3"/>
      <c r="D60" s="3"/>
      <c r="E60" s="3"/>
      <c r="F60" s="3"/>
      <c r="P60" s="209"/>
    </row>
    <row r="61" spans="1:16" ht="13" thickBot="1" x14ac:dyDescent="0.3">
      <c r="A61" s="3"/>
      <c r="C61" s="3"/>
      <c r="D61" s="3"/>
      <c r="E61" s="3"/>
      <c r="F61" s="3"/>
      <c r="P61" s="209"/>
    </row>
    <row r="62" spans="1:16" ht="13" x14ac:dyDescent="0.3">
      <c r="A62" s="74" t="s">
        <v>677</v>
      </c>
      <c r="B62" s="75"/>
      <c r="C62" s="76"/>
      <c r="D62" s="76"/>
      <c r="E62" s="76"/>
      <c r="F62" s="75"/>
      <c r="G62" s="75"/>
      <c r="H62" s="76"/>
      <c r="I62" s="76"/>
      <c r="J62" s="76"/>
      <c r="K62" s="76"/>
      <c r="L62" s="76"/>
      <c r="M62" s="76"/>
      <c r="N62" s="211">
        <v>5</v>
      </c>
      <c r="P62" s="209"/>
    </row>
    <row r="63" spans="1:16" ht="13" x14ac:dyDescent="0.3">
      <c r="A63" s="77" t="s">
        <v>672</v>
      </c>
      <c r="B63" s="41"/>
      <c r="C63" s="41" t="s">
        <v>673</v>
      </c>
      <c r="D63" s="46"/>
      <c r="E63" s="46"/>
      <c r="F63" s="78"/>
      <c r="G63" s="78"/>
      <c r="H63" s="46"/>
      <c r="I63" s="46"/>
      <c r="J63" s="46"/>
      <c r="K63" s="46"/>
      <c r="L63" s="46"/>
      <c r="M63" s="46"/>
      <c r="N63" s="79"/>
      <c r="P63" s="209"/>
    </row>
    <row r="64" spans="1:16" x14ac:dyDescent="0.25">
      <c r="A64" s="80" t="s">
        <v>834</v>
      </c>
      <c r="B64" s="46"/>
      <c r="C64" s="81">
        <v>1857</v>
      </c>
      <c r="D64" s="46"/>
      <c r="E64" s="46"/>
      <c r="F64" s="78"/>
      <c r="G64" s="78"/>
      <c r="H64" s="46"/>
      <c r="I64" s="46"/>
      <c r="J64" s="46"/>
      <c r="K64" s="46"/>
      <c r="L64" s="46"/>
      <c r="M64" s="46"/>
      <c r="N64" s="79"/>
      <c r="P64" s="209">
        <v>62</v>
      </c>
    </row>
    <row r="65" spans="1:16" ht="13" x14ac:dyDescent="0.3">
      <c r="A65" s="77" t="s">
        <v>681</v>
      </c>
      <c r="B65" s="41" t="s">
        <v>680</v>
      </c>
      <c r="C65" s="41" t="s">
        <v>678</v>
      </c>
      <c r="D65" s="41" t="s">
        <v>695</v>
      </c>
      <c r="E65" s="41" t="s">
        <v>679</v>
      </c>
      <c r="F65" s="41" t="s">
        <v>1186</v>
      </c>
      <c r="G65" s="78"/>
      <c r="H65" s="46"/>
      <c r="I65" s="46"/>
      <c r="J65" s="46"/>
      <c r="K65" s="46"/>
      <c r="L65" s="46"/>
      <c r="M65" s="46"/>
      <c r="N65" s="79"/>
      <c r="P65" s="209"/>
    </row>
    <row r="66" spans="1:16" x14ac:dyDescent="0.25">
      <c r="A66" s="80">
        <v>2</v>
      </c>
      <c r="B66" s="78">
        <v>2</v>
      </c>
      <c r="C66" s="82">
        <v>0.15</v>
      </c>
      <c r="D66" s="78">
        <v>89</v>
      </c>
      <c r="E66" s="78">
        <v>61</v>
      </c>
      <c r="F66" s="78">
        <v>1</v>
      </c>
      <c r="G66" s="78"/>
      <c r="H66" s="46"/>
      <c r="I66" s="46"/>
      <c r="J66" s="46"/>
      <c r="K66" s="46"/>
      <c r="L66" s="46"/>
      <c r="M66" s="78" t="s">
        <v>65</v>
      </c>
      <c r="N66" s="83" t="s">
        <v>65</v>
      </c>
      <c r="P66" s="209"/>
    </row>
    <row r="67" spans="1:16" ht="13" x14ac:dyDescent="0.3">
      <c r="A67" s="84"/>
      <c r="B67" s="13"/>
      <c r="C67" s="78" t="s">
        <v>20</v>
      </c>
      <c r="D67" s="78" t="s">
        <v>20</v>
      </c>
      <c r="E67" s="78" t="s">
        <v>20</v>
      </c>
      <c r="F67" s="78"/>
      <c r="G67" s="78" t="s">
        <v>39</v>
      </c>
      <c r="H67" s="78" t="s">
        <v>39</v>
      </c>
      <c r="I67" s="78" t="s">
        <v>39</v>
      </c>
      <c r="J67" s="78" t="s">
        <v>63</v>
      </c>
      <c r="K67" s="78" t="s">
        <v>62</v>
      </c>
      <c r="L67" s="78" t="s">
        <v>39</v>
      </c>
      <c r="M67" s="78" t="s">
        <v>64</v>
      </c>
      <c r="N67" s="83" t="s">
        <v>64</v>
      </c>
      <c r="P67" s="209"/>
    </row>
    <row r="68" spans="1:16" ht="13" x14ac:dyDescent="0.3">
      <c r="A68" s="85" t="s">
        <v>32</v>
      </c>
      <c r="B68" s="5" t="s">
        <v>33</v>
      </c>
      <c r="C68" s="5" t="s">
        <v>34</v>
      </c>
      <c r="D68" s="5" t="s">
        <v>35</v>
      </c>
      <c r="E68" s="5" t="s">
        <v>814</v>
      </c>
      <c r="F68" s="5" t="s">
        <v>816</v>
      </c>
      <c r="G68" s="5" t="s">
        <v>815</v>
      </c>
      <c r="H68" s="5" t="s">
        <v>36</v>
      </c>
      <c r="I68" s="5" t="s">
        <v>66</v>
      </c>
      <c r="J68" s="5" t="s">
        <v>56</v>
      </c>
      <c r="K68" s="5" t="s">
        <v>57</v>
      </c>
      <c r="L68" s="5" t="s">
        <v>58</v>
      </c>
      <c r="M68" s="5" t="s">
        <v>59</v>
      </c>
      <c r="N68" s="86" t="s">
        <v>60</v>
      </c>
      <c r="P68" s="209"/>
    </row>
    <row r="69" spans="1:16" x14ac:dyDescent="0.25">
      <c r="A69" s="87">
        <v>1</v>
      </c>
      <c r="B69" s="82">
        <v>300</v>
      </c>
      <c r="C69" s="82">
        <v>0.316</v>
      </c>
      <c r="D69" s="82">
        <v>0.20799999999999999</v>
      </c>
      <c r="E69" s="82">
        <v>9.7000000000000003E-2</v>
      </c>
      <c r="F69" s="82">
        <v>3.2333333333333332E-2</v>
      </c>
      <c r="G69" s="82">
        <v>0.1192</v>
      </c>
      <c r="H69" s="82">
        <v>0.5</v>
      </c>
      <c r="I69" s="82">
        <v>0.04</v>
      </c>
      <c r="J69" s="82">
        <v>1.67</v>
      </c>
      <c r="K69" s="82">
        <v>2.7519999999999999E-2</v>
      </c>
      <c r="L69" s="82">
        <v>0.1</v>
      </c>
      <c r="M69" s="82">
        <v>29.464879764280962</v>
      </c>
      <c r="N69" s="212">
        <v>0</v>
      </c>
      <c r="P69" s="209"/>
    </row>
    <row r="70" spans="1:16" x14ac:dyDescent="0.25">
      <c r="A70" s="87">
        <v>2</v>
      </c>
      <c r="B70" s="82">
        <v>700</v>
      </c>
      <c r="C70" s="82">
        <v>0.32100000000000001</v>
      </c>
      <c r="D70" s="82">
        <v>0.21299999999999999</v>
      </c>
      <c r="E70" s="82">
        <v>9.6000000000000002E-2</v>
      </c>
      <c r="F70" s="82">
        <v>3.2000000000000001E-2</v>
      </c>
      <c r="G70" s="82">
        <v>0.11940000000000001</v>
      </c>
      <c r="H70" s="82">
        <v>0.5</v>
      </c>
      <c r="I70" s="82">
        <v>0.05</v>
      </c>
      <c r="J70" s="82">
        <v>1.65</v>
      </c>
      <c r="K70" s="82">
        <v>1.9779999999999999E-2</v>
      </c>
      <c r="L70" s="82">
        <v>0.1</v>
      </c>
      <c r="M70" s="82">
        <v>6.3904349618635328</v>
      </c>
      <c r="N70" s="212">
        <v>0</v>
      </c>
      <c r="P70" s="209" t="s">
        <v>966</v>
      </c>
    </row>
    <row r="71" spans="1:16" x14ac:dyDescent="0.25">
      <c r="A71" s="87">
        <v>3</v>
      </c>
      <c r="B71" s="82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212"/>
      <c r="P71" s="209"/>
    </row>
    <row r="72" spans="1:16" x14ac:dyDescent="0.25">
      <c r="A72" s="87">
        <v>4</v>
      </c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212"/>
      <c r="P72" s="209"/>
    </row>
    <row r="73" spans="1:16" x14ac:dyDescent="0.25">
      <c r="A73" s="87">
        <v>5</v>
      </c>
      <c r="B73" s="82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212"/>
      <c r="P73" s="209"/>
    </row>
    <row r="74" spans="1:16" x14ac:dyDescent="0.25">
      <c r="A74" s="87">
        <v>6</v>
      </c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212"/>
      <c r="P74" s="209"/>
    </row>
    <row r="75" spans="1:16" x14ac:dyDescent="0.25">
      <c r="A75" s="87">
        <v>7</v>
      </c>
      <c r="B75" s="82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212"/>
      <c r="P75" s="209"/>
    </row>
    <row r="76" spans="1:16" x14ac:dyDescent="0.25">
      <c r="A76" s="87">
        <v>8</v>
      </c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212"/>
      <c r="P76" s="209"/>
    </row>
    <row r="77" spans="1:16" x14ac:dyDescent="0.25">
      <c r="A77" s="87">
        <v>9</v>
      </c>
      <c r="B77" s="82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212"/>
      <c r="P77" s="209"/>
    </row>
    <row r="78" spans="1:16" ht="13" thickBot="1" x14ac:dyDescent="0.3">
      <c r="A78" s="218">
        <v>10</v>
      </c>
      <c r="B78" s="104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213"/>
      <c r="P78" s="209"/>
    </row>
    <row r="79" spans="1:16" x14ac:dyDescent="0.25">
      <c r="A79" s="3"/>
      <c r="C79" s="3"/>
      <c r="D79" s="3"/>
      <c r="E79" s="3"/>
      <c r="F79" s="3"/>
      <c r="P79" s="209"/>
    </row>
    <row r="80" spans="1:16" ht="13" thickBot="1" x14ac:dyDescent="0.3">
      <c r="A80" s="3"/>
      <c r="C80" s="3"/>
      <c r="D80" s="3"/>
      <c r="E80" s="3"/>
      <c r="F80" s="3"/>
      <c r="P80" s="209"/>
    </row>
    <row r="81" spans="1:16" ht="13" x14ac:dyDescent="0.3">
      <c r="A81" s="74" t="s">
        <v>677</v>
      </c>
      <c r="B81" s="75"/>
      <c r="C81" s="76"/>
      <c r="D81" s="76"/>
      <c r="E81" s="76"/>
      <c r="F81" s="75"/>
      <c r="G81" s="75"/>
      <c r="H81" s="76"/>
      <c r="I81" s="76"/>
      <c r="J81" s="76"/>
      <c r="K81" s="76"/>
      <c r="L81" s="76"/>
      <c r="M81" s="76"/>
      <c r="N81" s="211">
        <v>6</v>
      </c>
      <c r="P81" s="209"/>
    </row>
    <row r="82" spans="1:16" ht="13" x14ac:dyDescent="0.3">
      <c r="A82" s="77" t="s">
        <v>672</v>
      </c>
      <c r="B82" s="41"/>
      <c r="C82" s="41" t="s">
        <v>673</v>
      </c>
      <c r="D82" s="46"/>
      <c r="E82" s="46"/>
      <c r="F82" s="78"/>
      <c r="G82" s="78"/>
      <c r="H82" s="46"/>
      <c r="I82" s="46"/>
      <c r="J82" s="46"/>
      <c r="K82" s="46"/>
      <c r="L82" s="46"/>
      <c r="M82" s="46"/>
      <c r="N82" s="79"/>
      <c r="P82" s="209"/>
    </row>
    <row r="83" spans="1:16" x14ac:dyDescent="0.25">
      <c r="A83" s="80" t="s">
        <v>836</v>
      </c>
      <c r="B83" s="46"/>
      <c r="C83" s="81">
        <v>1857</v>
      </c>
      <c r="D83" s="46"/>
      <c r="E83" s="46"/>
      <c r="F83" s="78"/>
      <c r="G83" s="78"/>
      <c r="H83" s="46"/>
      <c r="I83" s="46"/>
      <c r="J83" s="46"/>
      <c r="K83" s="46"/>
      <c r="L83" s="46"/>
      <c r="M83" s="46"/>
      <c r="N83" s="79"/>
      <c r="P83" s="209">
        <v>81</v>
      </c>
    </row>
    <row r="84" spans="1:16" ht="13" x14ac:dyDescent="0.3">
      <c r="A84" s="77" t="s">
        <v>681</v>
      </c>
      <c r="B84" s="41" t="s">
        <v>680</v>
      </c>
      <c r="C84" s="41" t="s">
        <v>678</v>
      </c>
      <c r="D84" s="41" t="s">
        <v>695</v>
      </c>
      <c r="E84" s="41" t="s">
        <v>679</v>
      </c>
      <c r="F84" s="41" t="s">
        <v>1186</v>
      </c>
      <c r="G84" s="78"/>
      <c r="H84" s="46"/>
      <c r="I84" s="46"/>
      <c r="J84" s="46"/>
      <c r="K84" s="46"/>
      <c r="L84" s="46"/>
      <c r="M84" s="46"/>
      <c r="N84" s="79"/>
      <c r="P84" s="209"/>
    </row>
    <row r="85" spans="1:16" x14ac:dyDescent="0.25">
      <c r="A85" s="80">
        <v>2</v>
      </c>
      <c r="B85" s="78">
        <v>2</v>
      </c>
      <c r="C85" s="82">
        <v>0.15</v>
      </c>
      <c r="D85" s="78">
        <v>88</v>
      </c>
      <c r="E85" s="78">
        <v>61</v>
      </c>
      <c r="F85" s="78">
        <v>1</v>
      </c>
      <c r="G85" s="78"/>
      <c r="H85" s="46"/>
      <c r="I85" s="46"/>
      <c r="J85" s="46"/>
      <c r="K85" s="46"/>
      <c r="L85" s="46"/>
      <c r="M85" s="78" t="s">
        <v>65</v>
      </c>
      <c r="N85" s="83" t="s">
        <v>65</v>
      </c>
      <c r="P85" s="209"/>
    </row>
    <row r="86" spans="1:16" ht="13" x14ac:dyDescent="0.3">
      <c r="A86" s="84"/>
      <c r="B86" s="13"/>
      <c r="C86" s="78" t="s">
        <v>20</v>
      </c>
      <c r="D86" s="78" t="s">
        <v>20</v>
      </c>
      <c r="E86" s="78" t="s">
        <v>20</v>
      </c>
      <c r="F86" s="78"/>
      <c r="G86" s="78" t="s">
        <v>39</v>
      </c>
      <c r="H86" s="78" t="s">
        <v>39</v>
      </c>
      <c r="I86" s="78" t="s">
        <v>39</v>
      </c>
      <c r="J86" s="78" t="s">
        <v>63</v>
      </c>
      <c r="K86" s="78" t="s">
        <v>62</v>
      </c>
      <c r="L86" s="78" t="s">
        <v>39</v>
      </c>
      <c r="M86" s="78" t="s">
        <v>64</v>
      </c>
      <c r="N86" s="83" t="s">
        <v>64</v>
      </c>
      <c r="P86" s="209"/>
    </row>
    <row r="87" spans="1:16" ht="13" x14ac:dyDescent="0.3">
      <c r="A87" s="85" t="s">
        <v>32</v>
      </c>
      <c r="B87" s="5" t="s">
        <v>33</v>
      </c>
      <c r="C87" s="5" t="s">
        <v>34</v>
      </c>
      <c r="D87" s="5" t="s">
        <v>35</v>
      </c>
      <c r="E87" s="5" t="s">
        <v>814</v>
      </c>
      <c r="F87" s="5" t="s">
        <v>816</v>
      </c>
      <c r="G87" s="5" t="s">
        <v>815</v>
      </c>
      <c r="H87" s="5" t="s">
        <v>36</v>
      </c>
      <c r="I87" s="5" t="s">
        <v>66</v>
      </c>
      <c r="J87" s="5" t="s">
        <v>56</v>
      </c>
      <c r="K87" s="5" t="s">
        <v>57</v>
      </c>
      <c r="L87" s="5" t="s">
        <v>58</v>
      </c>
      <c r="M87" s="5" t="s">
        <v>59</v>
      </c>
      <c r="N87" s="86" t="s">
        <v>60</v>
      </c>
      <c r="P87" s="209"/>
    </row>
    <row r="88" spans="1:16" x14ac:dyDescent="0.25">
      <c r="A88" s="87">
        <v>1</v>
      </c>
      <c r="B88" s="82">
        <v>300</v>
      </c>
      <c r="C88" s="82">
        <v>0.316</v>
      </c>
      <c r="D88" s="82">
        <v>0.20799999999999999</v>
      </c>
      <c r="E88" s="82">
        <v>9.7000000000000003E-2</v>
      </c>
      <c r="F88" s="82">
        <v>3.2333333333333332E-2</v>
      </c>
      <c r="G88" s="82">
        <v>0.1192</v>
      </c>
      <c r="H88" s="82">
        <v>0.5</v>
      </c>
      <c r="I88" s="82">
        <v>0.04</v>
      </c>
      <c r="J88" s="82">
        <v>1.67</v>
      </c>
      <c r="K88" s="82">
        <v>2.7519999999999999E-2</v>
      </c>
      <c r="L88" s="82">
        <v>0.1</v>
      </c>
      <c r="M88" s="82">
        <v>29.464879764280962</v>
      </c>
      <c r="N88" s="212">
        <v>0</v>
      </c>
      <c r="P88" s="209"/>
    </row>
    <row r="89" spans="1:16" x14ac:dyDescent="0.25">
      <c r="A89" s="87">
        <v>2</v>
      </c>
      <c r="B89" s="82">
        <v>700</v>
      </c>
      <c r="C89" s="82">
        <v>0.32100000000000001</v>
      </c>
      <c r="D89" s="82">
        <v>0.21299999999999999</v>
      </c>
      <c r="E89" s="82">
        <v>9.6000000000000002E-2</v>
      </c>
      <c r="F89" s="82">
        <v>3.2000000000000001E-2</v>
      </c>
      <c r="G89" s="82">
        <v>0.11940000000000001</v>
      </c>
      <c r="H89" s="82">
        <v>0.5</v>
      </c>
      <c r="I89" s="82">
        <v>0.05</v>
      </c>
      <c r="J89" s="82">
        <v>1.65</v>
      </c>
      <c r="K89" s="82">
        <v>1.9779999999999999E-2</v>
      </c>
      <c r="L89" s="82">
        <v>0.1</v>
      </c>
      <c r="M89" s="82">
        <v>6.3904349618635328</v>
      </c>
      <c r="N89" s="212">
        <v>0</v>
      </c>
      <c r="P89" s="209" t="s">
        <v>966</v>
      </c>
    </row>
    <row r="90" spans="1:16" x14ac:dyDescent="0.25">
      <c r="A90" s="87">
        <v>3</v>
      </c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212"/>
      <c r="P90" s="209"/>
    </row>
    <row r="91" spans="1:16" x14ac:dyDescent="0.25">
      <c r="A91" s="87">
        <v>4</v>
      </c>
      <c r="B91" s="82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212"/>
      <c r="P91" s="209"/>
    </row>
    <row r="92" spans="1:16" x14ac:dyDescent="0.25">
      <c r="A92" s="87">
        <v>5</v>
      </c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212"/>
      <c r="P92" s="209"/>
    </row>
    <row r="93" spans="1:16" x14ac:dyDescent="0.25">
      <c r="A93" s="87">
        <v>6</v>
      </c>
      <c r="B93" s="82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212"/>
      <c r="P93" s="209"/>
    </row>
    <row r="94" spans="1:16" x14ac:dyDescent="0.25">
      <c r="A94" s="87">
        <v>7</v>
      </c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212"/>
      <c r="P94" s="209"/>
    </row>
    <row r="95" spans="1:16" x14ac:dyDescent="0.25">
      <c r="A95" s="87">
        <v>8</v>
      </c>
      <c r="B95" s="82"/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212"/>
      <c r="P95" s="209"/>
    </row>
    <row r="96" spans="1:16" x14ac:dyDescent="0.25">
      <c r="A96" s="87">
        <v>9</v>
      </c>
      <c r="B96" s="82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212"/>
      <c r="P96" s="209"/>
    </row>
    <row r="97" spans="1:16" ht="13" thickBot="1" x14ac:dyDescent="0.3">
      <c r="A97" s="218">
        <v>10</v>
      </c>
      <c r="B97" s="104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213"/>
      <c r="P97" s="209"/>
    </row>
    <row r="98" spans="1:16" x14ac:dyDescent="0.25">
      <c r="A98" s="3"/>
      <c r="C98" s="3"/>
      <c r="D98" s="3"/>
      <c r="E98" s="3"/>
      <c r="F98" s="3"/>
      <c r="P98" s="209"/>
    </row>
    <row r="99" spans="1:16" ht="13" thickBot="1" x14ac:dyDescent="0.3">
      <c r="A99" s="3"/>
      <c r="C99" s="3"/>
      <c r="D99" s="3"/>
      <c r="E99" s="3"/>
      <c r="F99" s="3"/>
      <c r="P99" s="209"/>
    </row>
    <row r="100" spans="1:16" ht="13" x14ac:dyDescent="0.3">
      <c r="A100" s="74" t="s">
        <v>677</v>
      </c>
      <c r="B100" s="75"/>
      <c r="C100" s="76"/>
      <c r="D100" s="76"/>
      <c r="E100" s="76"/>
      <c r="F100" s="75"/>
      <c r="G100" s="75"/>
      <c r="H100" s="76"/>
      <c r="I100" s="76"/>
      <c r="J100" s="76"/>
      <c r="K100" s="76"/>
      <c r="L100" s="76"/>
      <c r="M100" s="76"/>
      <c r="N100" s="211">
        <v>7</v>
      </c>
      <c r="P100" s="209"/>
    </row>
    <row r="101" spans="1:16" ht="13" x14ac:dyDescent="0.3">
      <c r="A101" s="77" t="s">
        <v>672</v>
      </c>
      <c r="B101" s="41"/>
      <c r="C101" s="41" t="s">
        <v>673</v>
      </c>
      <c r="D101" s="46"/>
      <c r="E101" s="46"/>
      <c r="F101" s="78"/>
      <c r="G101" s="78"/>
      <c r="H101" s="46"/>
      <c r="I101" s="46"/>
      <c r="J101" s="46"/>
      <c r="K101" s="46"/>
      <c r="L101" s="46"/>
      <c r="M101" s="46"/>
      <c r="N101" s="79"/>
      <c r="P101" s="209"/>
    </row>
    <row r="102" spans="1:16" x14ac:dyDescent="0.25">
      <c r="A102" s="80" t="s">
        <v>838</v>
      </c>
      <c r="B102" s="46"/>
      <c r="C102" s="81">
        <v>1844</v>
      </c>
      <c r="D102" s="46"/>
      <c r="E102" s="46"/>
      <c r="F102" s="78"/>
      <c r="G102" s="78"/>
      <c r="H102" s="46"/>
      <c r="I102" s="46"/>
      <c r="J102" s="46"/>
      <c r="K102" s="46"/>
      <c r="L102" s="46"/>
      <c r="M102" s="46"/>
      <c r="N102" s="79"/>
      <c r="P102" s="209">
        <v>100</v>
      </c>
    </row>
    <row r="103" spans="1:16" ht="13" x14ac:dyDescent="0.3">
      <c r="A103" s="77" t="s">
        <v>681</v>
      </c>
      <c r="B103" s="41" t="s">
        <v>680</v>
      </c>
      <c r="C103" s="41" t="s">
        <v>678</v>
      </c>
      <c r="D103" s="41" t="s">
        <v>695</v>
      </c>
      <c r="E103" s="41" t="s">
        <v>679</v>
      </c>
      <c r="F103" s="41" t="s">
        <v>1186</v>
      </c>
      <c r="G103" s="78"/>
      <c r="H103" s="46"/>
      <c r="I103" s="46"/>
      <c r="J103" s="46"/>
      <c r="K103" s="46"/>
      <c r="L103" s="46"/>
      <c r="M103" s="46"/>
      <c r="N103" s="79"/>
      <c r="P103" s="209"/>
    </row>
    <row r="104" spans="1:16" x14ac:dyDescent="0.25">
      <c r="A104" s="80">
        <v>2</v>
      </c>
      <c r="B104" s="78">
        <v>2</v>
      </c>
      <c r="C104" s="82">
        <v>0.12</v>
      </c>
      <c r="D104" s="78">
        <v>87</v>
      </c>
      <c r="E104" s="78">
        <v>81</v>
      </c>
      <c r="F104" s="78">
        <v>1</v>
      </c>
      <c r="G104" s="78"/>
      <c r="H104" s="46"/>
      <c r="I104" s="46"/>
      <c r="J104" s="46"/>
      <c r="K104" s="46"/>
      <c r="L104" s="46"/>
      <c r="M104" s="78" t="s">
        <v>65</v>
      </c>
      <c r="N104" s="83" t="s">
        <v>65</v>
      </c>
      <c r="P104" s="209"/>
    </row>
    <row r="105" spans="1:16" ht="13" x14ac:dyDescent="0.3">
      <c r="A105" s="84"/>
      <c r="B105" s="13"/>
      <c r="C105" s="78" t="s">
        <v>20</v>
      </c>
      <c r="D105" s="78" t="s">
        <v>20</v>
      </c>
      <c r="E105" s="78" t="s">
        <v>20</v>
      </c>
      <c r="F105" s="78"/>
      <c r="G105" s="78" t="s">
        <v>39</v>
      </c>
      <c r="H105" s="78" t="s">
        <v>39</v>
      </c>
      <c r="I105" s="78" t="s">
        <v>39</v>
      </c>
      <c r="J105" s="78" t="s">
        <v>63</v>
      </c>
      <c r="K105" s="78" t="s">
        <v>62</v>
      </c>
      <c r="L105" s="78" t="s">
        <v>39</v>
      </c>
      <c r="M105" s="78" t="s">
        <v>64</v>
      </c>
      <c r="N105" s="83" t="s">
        <v>64</v>
      </c>
      <c r="P105" s="209"/>
    </row>
    <row r="106" spans="1:16" ht="13" x14ac:dyDescent="0.3">
      <c r="A106" s="85" t="s">
        <v>32</v>
      </c>
      <c r="B106" s="5" t="s">
        <v>33</v>
      </c>
      <c r="C106" s="5" t="s">
        <v>34</v>
      </c>
      <c r="D106" s="5" t="s">
        <v>35</v>
      </c>
      <c r="E106" s="5" t="s">
        <v>814</v>
      </c>
      <c r="F106" s="5" t="s">
        <v>816</v>
      </c>
      <c r="G106" s="5" t="s">
        <v>815</v>
      </c>
      <c r="H106" s="5" t="s">
        <v>36</v>
      </c>
      <c r="I106" s="5" t="s">
        <v>66</v>
      </c>
      <c r="J106" s="5" t="s">
        <v>56</v>
      </c>
      <c r="K106" s="5" t="s">
        <v>57</v>
      </c>
      <c r="L106" s="5" t="s">
        <v>58</v>
      </c>
      <c r="M106" s="5" t="s">
        <v>59</v>
      </c>
      <c r="N106" s="86" t="s">
        <v>60</v>
      </c>
      <c r="P106" s="209"/>
    </row>
    <row r="107" spans="1:16" x14ac:dyDescent="0.25">
      <c r="A107" s="87">
        <v>1</v>
      </c>
      <c r="B107" s="82">
        <v>300</v>
      </c>
      <c r="C107" s="82">
        <v>0.39600000000000002</v>
      </c>
      <c r="D107" s="82">
        <v>0.254</v>
      </c>
      <c r="E107" s="82">
        <v>0.122</v>
      </c>
      <c r="F107" s="82">
        <v>4.0666666666666663E-2</v>
      </c>
      <c r="G107" s="82">
        <v>0.1484</v>
      </c>
      <c r="H107" s="82">
        <v>0.3</v>
      </c>
      <c r="I107" s="82">
        <v>0.2</v>
      </c>
      <c r="J107" s="82">
        <v>1.38</v>
      </c>
      <c r="K107" s="82">
        <v>3.1819999999999994E-2</v>
      </c>
      <c r="L107" s="82">
        <v>0.1</v>
      </c>
      <c r="M107" s="82">
        <v>35.656774787209571</v>
      </c>
      <c r="N107" s="212">
        <v>0</v>
      </c>
      <c r="P107" s="209"/>
    </row>
    <row r="108" spans="1:16" x14ac:dyDescent="0.25">
      <c r="A108" s="87">
        <v>2</v>
      </c>
      <c r="B108" s="82">
        <v>700</v>
      </c>
      <c r="C108" s="82">
        <v>0.46</v>
      </c>
      <c r="D108" s="82">
        <v>0.23899999999999999</v>
      </c>
      <c r="E108" s="82">
        <v>0.108</v>
      </c>
      <c r="F108" s="82">
        <v>3.5999999999999997E-2</v>
      </c>
      <c r="G108" s="82">
        <v>0.13419999999999999</v>
      </c>
      <c r="H108" s="82">
        <v>0.3</v>
      </c>
      <c r="I108" s="82">
        <v>0.41000000000000003</v>
      </c>
      <c r="J108" s="82">
        <v>1.34</v>
      </c>
      <c r="K108" s="82">
        <v>2.4939999999999997E-2</v>
      </c>
      <c r="L108" s="82">
        <v>0.1</v>
      </c>
      <c r="M108" s="82">
        <v>7.8688191694588276</v>
      </c>
      <c r="N108" s="212">
        <v>0</v>
      </c>
      <c r="P108" s="209" t="s">
        <v>966</v>
      </c>
    </row>
    <row r="109" spans="1:16" x14ac:dyDescent="0.25">
      <c r="A109" s="87">
        <v>3</v>
      </c>
      <c r="B109" s="82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212"/>
      <c r="P109" s="209"/>
    </row>
    <row r="110" spans="1:16" x14ac:dyDescent="0.25">
      <c r="A110" s="87">
        <v>4</v>
      </c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212"/>
      <c r="P110" s="209"/>
    </row>
    <row r="111" spans="1:16" x14ac:dyDescent="0.25">
      <c r="A111" s="87">
        <v>5</v>
      </c>
      <c r="B111" s="82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212"/>
      <c r="P111" s="209"/>
    </row>
    <row r="112" spans="1:16" x14ac:dyDescent="0.25">
      <c r="A112" s="87">
        <v>6</v>
      </c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212"/>
      <c r="P112" s="209"/>
    </row>
    <row r="113" spans="1:16" x14ac:dyDescent="0.25">
      <c r="A113" s="87">
        <v>7</v>
      </c>
      <c r="B113" s="82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212"/>
      <c r="P113" s="209"/>
    </row>
    <row r="114" spans="1:16" x14ac:dyDescent="0.25">
      <c r="A114" s="87">
        <v>8</v>
      </c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212"/>
      <c r="P114" s="209"/>
    </row>
    <row r="115" spans="1:16" x14ac:dyDescent="0.25">
      <c r="A115" s="87">
        <v>9</v>
      </c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212"/>
      <c r="P115" s="209"/>
    </row>
    <row r="116" spans="1:16" ht="13" thickBot="1" x14ac:dyDescent="0.3">
      <c r="A116" s="218">
        <v>10</v>
      </c>
      <c r="B116" s="104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213"/>
      <c r="P116" s="209"/>
    </row>
    <row r="117" spans="1:16" x14ac:dyDescent="0.25">
      <c r="A117" s="3"/>
      <c r="C117" s="3"/>
      <c r="D117" s="3"/>
      <c r="E117" s="3"/>
      <c r="F117" s="3"/>
      <c r="P117" s="209"/>
    </row>
    <row r="118" spans="1:16" ht="13" thickBot="1" x14ac:dyDescent="0.3">
      <c r="A118" s="3"/>
      <c r="C118" s="3"/>
      <c r="D118" s="3"/>
      <c r="E118" s="3"/>
      <c r="F118" s="3"/>
      <c r="P118" s="209"/>
    </row>
    <row r="119" spans="1:16" ht="13" x14ac:dyDescent="0.3">
      <c r="A119" s="74" t="s">
        <v>677</v>
      </c>
      <c r="B119" s="75"/>
      <c r="C119" s="76"/>
      <c r="D119" s="76"/>
      <c r="E119" s="76"/>
      <c r="F119" s="75"/>
      <c r="G119" s="75"/>
      <c r="H119" s="76"/>
      <c r="I119" s="76"/>
      <c r="J119" s="76"/>
      <c r="K119" s="76"/>
      <c r="L119" s="76"/>
      <c r="M119" s="76"/>
      <c r="N119" s="211">
        <v>8</v>
      </c>
      <c r="P119" s="209"/>
    </row>
    <row r="120" spans="1:16" ht="13" x14ac:dyDescent="0.3">
      <c r="A120" s="77" t="s">
        <v>672</v>
      </c>
      <c r="B120" s="41"/>
      <c r="C120" s="41" t="s">
        <v>673</v>
      </c>
      <c r="D120" s="46"/>
      <c r="E120" s="46"/>
      <c r="F120" s="78"/>
      <c r="G120" s="78"/>
      <c r="H120" s="46"/>
      <c r="I120" s="46"/>
      <c r="J120" s="46"/>
      <c r="K120" s="46"/>
      <c r="L120" s="46"/>
      <c r="M120" s="46"/>
      <c r="N120" s="79"/>
      <c r="P120" s="209"/>
    </row>
    <row r="121" spans="1:16" x14ac:dyDescent="0.25">
      <c r="A121" s="80" t="s">
        <v>840</v>
      </c>
      <c r="B121" s="46"/>
      <c r="C121" s="81">
        <v>1844</v>
      </c>
      <c r="D121" s="46"/>
      <c r="E121" s="46"/>
      <c r="F121" s="78"/>
      <c r="G121" s="78"/>
      <c r="H121" s="46"/>
      <c r="I121" s="46"/>
      <c r="J121" s="46"/>
      <c r="K121" s="46"/>
      <c r="L121" s="46"/>
      <c r="M121" s="46"/>
      <c r="N121" s="79"/>
      <c r="P121" s="209">
        <v>119</v>
      </c>
    </row>
    <row r="122" spans="1:16" ht="13" x14ac:dyDescent="0.3">
      <c r="A122" s="77" t="s">
        <v>681</v>
      </c>
      <c r="B122" s="41" t="s">
        <v>680</v>
      </c>
      <c r="C122" s="41" t="s">
        <v>678</v>
      </c>
      <c r="D122" s="41" t="s">
        <v>695</v>
      </c>
      <c r="E122" s="41" t="s">
        <v>679</v>
      </c>
      <c r="F122" s="41" t="s">
        <v>1186</v>
      </c>
      <c r="G122" s="78"/>
      <c r="H122" s="46"/>
      <c r="I122" s="46"/>
      <c r="J122" s="46"/>
      <c r="K122" s="46"/>
      <c r="L122" s="46"/>
      <c r="M122" s="46"/>
      <c r="N122" s="79"/>
      <c r="P122" s="209"/>
    </row>
    <row r="123" spans="1:16" x14ac:dyDescent="0.25">
      <c r="A123" s="80">
        <v>2</v>
      </c>
      <c r="B123" s="78">
        <v>2</v>
      </c>
      <c r="C123" s="82">
        <v>0.12</v>
      </c>
      <c r="D123" s="78">
        <v>86</v>
      </c>
      <c r="E123" s="78">
        <v>81</v>
      </c>
      <c r="F123" s="78">
        <v>1</v>
      </c>
      <c r="G123" s="78"/>
      <c r="H123" s="46"/>
      <c r="I123" s="46"/>
      <c r="J123" s="46"/>
      <c r="K123" s="46"/>
      <c r="L123" s="46"/>
      <c r="M123" s="78" t="s">
        <v>65</v>
      </c>
      <c r="N123" s="83" t="s">
        <v>65</v>
      </c>
      <c r="P123" s="209"/>
    </row>
    <row r="124" spans="1:16" ht="13" x14ac:dyDescent="0.3">
      <c r="A124" s="84"/>
      <c r="B124" s="13"/>
      <c r="C124" s="78" t="s">
        <v>20</v>
      </c>
      <c r="D124" s="78" t="s">
        <v>20</v>
      </c>
      <c r="E124" s="78" t="s">
        <v>20</v>
      </c>
      <c r="F124" s="78"/>
      <c r="G124" s="78" t="s">
        <v>39</v>
      </c>
      <c r="H124" s="78" t="s">
        <v>39</v>
      </c>
      <c r="I124" s="78" t="s">
        <v>39</v>
      </c>
      <c r="J124" s="78" t="s">
        <v>63</v>
      </c>
      <c r="K124" s="78" t="s">
        <v>62</v>
      </c>
      <c r="L124" s="78" t="s">
        <v>39</v>
      </c>
      <c r="M124" s="78" t="s">
        <v>64</v>
      </c>
      <c r="N124" s="83" t="s">
        <v>64</v>
      </c>
      <c r="P124" s="209"/>
    </row>
    <row r="125" spans="1:16" ht="13" x14ac:dyDescent="0.3">
      <c r="A125" s="85" t="s">
        <v>32</v>
      </c>
      <c r="B125" s="5" t="s">
        <v>33</v>
      </c>
      <c r="C125" s="5" t="s">
        <v>34</v>
      </c>
      <c r="D125" s="5" t="s">
        <v>35</v>
      </c>
      <c r="E125" s="5" t="s">
        <v>814</v>
      </c>
      <c r="F125" s="5" t="s">
        <v>816</v>
      </c>
      <c r="G125" s="5" t="s">
        <v>815</v>
      </c>
      <c r="H125" s="5" t="s">
        <v>36</v>
      </c>
      <c r="I125" s="5" t="s">
        <v>66</v>
      </c>
      <c r="J125" s="5" t="s">
        <v>56</v>
      </c>
      <c r="K125" s="5" t="s">
        <v>57</v>
      </c>
      <c r="L125" s="5" t="s">
        <v>58</v>
      </c>
      <c r="M125" s="5" t="s">
        <v>59</v>
      </c>
      <c r="N125" s="86" t="s">
        <v>60</v>
      </c>
      <c r="P125" s="209"/>
    </row>
    <row r="126" spans="1:16" x14ac:dyDescent="0.25">
      <c r="A126" s="87">
        <v>1</v>
      </c>
      <c r="B126" s="82">
        <v>300</v>
      </c>
      <c r="C126" s="82">
        <v>0.39600000000000002</v>
      </c>
      <c r="D126" s="82">
        <v>0.254</v>
      </c>
      <c r="E126" s="82">
        <v>0.122</v>
      </c>
      <c r="F126" s="82">
        <v>4.0666666666666663E-2</v>
      </c>
      <c r="G126" s="82">
        <v>0.1484</v>
      </c>
      <c r="H126" s="82">
        <v>0.3</v>
      </c>
      <c r="I126" s="82">
        <v>0.2</v>
      </c>
      <c r="J126" s="82">
        <v>1.38</v>
      </c>
      <c r="K126" s="82">
        <v>3.1819999999999994E-2</v>
      </c>
      <c r="L126" s="82">
        <v>0.1</v>
      </c>
      <c r="M126" s="82">
        <v>35.656774787209571</v>
      </c>
      <c r="N126" s="212">
        <v>0</v>
      </c>
      <c r="P126" s="209"/>
    </row>
    <row r="127" spans="1:16" x14ac:dyDescent="0.25">
      <c r="A127" s="87">
        <v>2</v>
      </c>
      <c r="B127" s="82">
        <v>700</v>
      </c>
      <c r="C127" s="82">
        <v>0.46</v>
      </c>
      <c r="D127" s="82">
        <v>0.23899999999999999</v>
      </c>
      <c r="E127" s="82">
        <v>0.108</v>
      </c>
      <c r="F127" s="82">
        <v>3.5999999999999997E-2</v>
      </c>
      <c r="G127" s="82">
        <v>0.13419999999999999</v>
      </c>
      <c r="H127" s="82">
        <v>0.3</v>
      </c>
      <c r="I127" s="82">
        <v>0.41000000000000003</v>
      </c>
      <c r="J127" s="82">
        <v>1.34</v>
      </c>
      <c r="K127" s="82">
        <v>2.4939999999999997E-2</v>
      </c>
      <c r="L127" s="82">
        <v>0.1</v>
      </c>
      <c r="M127" s="82">
        <v>7.8688191694588276</v>
      </c>
      <c r="N127" s="212">
        <v>0</v>
      </c>
      <c r="P127" s="209" t="s">
        <v>966</v>
      </c>
    </row>
    <row r="128" spans="1:16" x14ac:dyDescent="0.25">
      <c r="A128" s="87">
        <v>3</v>
      </c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212"/>
      <c r="P128" s="209"/>
    </row>
    <row r="129" spans="1:16" x14ac:dyDescent="0.25">
      <c r="A129" s="87">
        <v>4</v>
      </c>
      <c r="B129" s="82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212"/>
      <c r="P129" s="209"/>
    </row>
    <row r="130" spans="1:16" x14ac:dyDescent="0.25">
      <c r="A130" s="87">
        <v>5</v>
      </c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212"/>
      <c r="P130" s="209"/>
    </row>
    <row r="131" spans="1:16" x14ac:dyDescent="0.25">
      <c r="A131" s="87">
        <v>6</v>
      </c>
      <c r="B131" s="82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212"/>
      <c r="P131" s="209"/>
    </row>
    <row r="132" spans="1:16" x14ac:dyDescent="0.25">
      <c r="A132" s="87">
        <v>7</v>
      </c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212"/>
      <c r="P132" s="209"/>
    </row>
    <row r="133" spans="1:16" x14ac:dyDescent="0.25">
      <c r="A133" s="87">
        <v>8</v>
      </c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212"/>
      <c r="P133" s="209"/>
    </row>
    <row r="134" spans="1:16" x14ac:dyDescent="0.25">
      <c r="A134" s="87">
        <v>9</v>
      </c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212"/>
      <c r="P134" s="209"/>
    </row>
    <row r="135" spans="1:16" ht="13" thickBot="1" x14ac:dyDescent="0.3">
      <c r="A135" s="218">
        <v>10</v>
      </c>
      <c r="B135" s="104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213"/>
      <c r="P135" s="209"/>
    </row>
    <row r="136" spans="1:16" x14ac:dyDescent="0.25">
      <c r="A136" s="3"/>
      <c r="C136" s="3"/>
      <c r="D136" s="3"/>
      <c r="E136" s="3"/>
      <c r="F136" s="3"/>
      <c r="P136" s="209"/>
    </row>
    <row r="137" spans="1:16" ht="13" thickBot="1" x14ac:dyDescent="0.3">
      <c r="A137" s="3"/>
      <c r="C137" s="3"/>
      <c r="D137" s="3"/>
      <c r="E137" s="3"/>
      <c r="F137" s="3"/>
      <c r="P137" s="209"/>
    </row>
    <row r="138" spans="1:16" ht="13" x14ac:dyDescent="0.3">
      <c r="A138" s="74" t="s">
        <v>677</v>
      </c>
      <c r="B138" s="75"/>
      <c r="C138" s="76"/>
      <c r="D138" s="76"/>
      <c r="E138" s="76"/>
      <c r="F138" s="75"/>
      <c r="G138" s="75"/>
      <c r="H138" s="76"/>
      <c r="I138" s="76"/>
      <c r="J138" s="76"/>
      <c r="K138" s="76"/>
      <c r="L138" s="76"/>
      <c r="M138" s="76"/>
      <c r="N138" s="211">
        <v>9</v>
      </c>
      <c r="P138" s="209"/>
    </row>
    <row r="139" spans="1:16" ht="13" x14ac:dyDescent="0.3">
      <c r="A139" s="77" t="s">
        <v>672</v>
      </c>
      <c r="B139" s="41"/>
      <c r="C139" s="41" t="s">
        <v>673</v>
      </c>
      <c r="D139" s="46"/>
      <c r="E139" s="46"/>
      <c r="F139" s="78"/>
      <c r="G139" s="78"/>
      <c r="H139" s="46"/>
      <c r="I139" s="46"/>
      <c r="J139" s="46"/>
      <c r="K139" s="46"/>
      <c r="L139" s="46"/>
      <c r="M139" s="46"/>
      <c r="N139" s="79"/>
      <c r="P139" s="209"/>
    </row>
    <row r="140" spans="1:16" x14ac:dyDescent="0.25">
      <c r="A140" s="80" t="s">
        <v>842</v>
      </c>
      <c r="B140" s="46"/>
      <c r="C140" s="81">
        <v>1844</v>
      </c>
      <c r="D140" s="46"/>
      <c r="E140" s="46"/>
      <c r="F140" s="78"/>
      <c r="G140" s="78"/>
      <c r="H140" s="46"/>
      <c r="I140" s="46"/>
      <c r="J140" s="46"/>
      <c r="K140" s="46"/>
      <c r="L140" s="46"/>
      <c r="M140" s="46"/>
      <c r="N140" s="79"/>
      <c r="P140" s="209">
        <v>138</v>
      </c>
    </row>
    <row r="141" spans="1:16" ht="13" x14ac:dyDescent="0.3">
      <c r="A141" s="77" t="s">
        <v>681</v>
      </c>
      <c r="B141" s="41" t="s">
        <v>680</v>
      </c>
      <c r="C141" s="41" t="s">
        <v>678</v>
      </c>
      <c r="D141" s="41" t="s">
        <v>695</v>
      </c>
      <c r="E141" s="41" t="s">
        <v>679</v>
      </c>
      <c r="F141" s="41" t="s">
        <v>1186</v>
      </c>
      <c r="G141" s="78"/>
      <c r="H141" s="46"/>
      <c r="I141" s="46"/>
      <c r="J141" s="46"/>
      <c r="K141" s="46"/>
      <c r="L141" s="46"/>
      <c r="M141" s="46"/>
      <c r="N141" s="79"/>
      <c r="P141" s="209"/>
    </row>
    <row r="142" spans="1:16" x14ac:dyDescent="0.25">
      <c r="A142" s="80">
        <v>2</v>
      </c>
      <c r="B142" s="78">
        <v>2</v>
      </c>
      <c r="C142" s="82">
        <v>0.12</v>
      </c>
      <c r="D142" s="78">
        <v>85</v>
      </c>
      <c r="E142" s="78">
        <v>81</v>
      </c>
      <c r="F142" s="78">
        <v>1</v>
      </c>
      <c r="G142" s="78"/>
      <c r="H142" s="46"/>
      <c r="I142" s="46"/>
      <c r="J142" s="46"/>
      <c r="K142" s="46"/>
      <c r="L142" s="46"/>
      <c r="M142" s="78" t="s">
        <v>65</v>
      </c>
      <c r="N142" s="83" t="s">
        <v>65</v>
      </c>
      <c r="P142" s="209"/>
    </row>
    <row r="143" spans="1:16" ht="13" x14ac:dyDescent="0.3">
      <c r="A143" s="84"/>
      <c r="B143" s="13"/>
      <c r="C143" s="78" t="s">
        <v>20</v>
      </c>
      <c r="D143" s="78" t="s">
        <v>20</v>
      </c>
      <c r="E143" s="78" t="s">
        <v>20</v>
      </c>
      <c r="F143" s="78"/>
      <c r="G143" s="78" t="s">
        <v>39</v>
      </c>
      <c r="H143" s="78" t="s">
        <v>39</v>
      </c>
      <c r="I143" s="78" t="s">
        <v>39</v>
      </c>
      <c r="J143" s="78" t="s">
        <v>63</v>
      </c>
      <c r="K143" s="78" t="s">
        <v>62</v>
      </c>
      <c r="L143" s="78" t="s">
        <v>39</v>
      </c>
      <c r="M143" s="78" t="s">
        <v>64</v>
      </c>
      <c r="N143" s="83" t="s">
        <v>64</v>
      </c>
      <c r="P143" s="209"/>
    </row>
    <row r="144" spans="1:16" ht="13" x14ac:dyDescent="0.3">
      <c r="A144" s="85" t="s">
        <v>32</v>
      </c>
      <c r="B144" s="5" t="s">
        <v>33</v>
      </c>
      <c r="C144" s="5" t="s">
        <v>34</v>
      </c>
      <c r="D144" s="5" t="s">
        <v>35</v>
      </c>
      <c r="E144" s="5" t="s">
        <v>814</v>
      </c>
      <c r="F144" s="5" t="s">
        <v>816</v>
      </c>
      <c r="G144" s="5" t="s">
        <v>815</v>
      </c>
      <c r="H144" s="5" t="s">
        <v>36</v>
      </c>
      <c r="I144" s="5" t="s">
        <v>66</v>
      </c>
      <c r="J144" s="5" t="s">
        <v>56</v>
      </c>
      <c r="K144" s="5" t="s">
        <v>57</v>
      </c>
      <c r="L144" s="5" t="s">
        <v>58</v>
      </c>
      <c r="M144" s="5" t="s">
        <v>59</v>
      </c>
      <c r="N144" s="86" t="s">
        <v>60</v>
      </c>
      <c r="P144" s="209"/>
    </row>
    <row r="145" spans="1:16" x14ac:dyDescent="0.25">
      <c r="A145" s="87">
        <v>1</v>
      </c>
      <c r="B145" s="82">
        <v>300</v>
      </c>
      <c r="C145" s="82">
        <v>0.39600000000000002</v>
      </c>
      <c r="D145" s="82">
        <v>0.254</v>
      </c>
      <c r="E145" s="82">
        <v>0.122</v>
      </c>
      <c r="F145" s="82">
        <v>4.0666666666666663E-2</v>
      </c>
      <c r="G145" s="82">
        <v>0.1484</v>
      </c>
      <c r="H145" s="82">
        <v>0.3</v>
      </c>
      <c r="I145" s="82">
        <v>0.2</v>
      </c>
      <c r="J145" s="82">
        <v>1.38</v>
      </c>
      <c r="K145" s="82">
        <v>3.1819999999999994E-2</v>
      </c>
      <c r="L145" s="82">
        <v>0.1</v>
      </c>
      <c r="M145" s="82">
        <v>35.656774787209571</v>
      </c>
      <c r="N145" s="212">
        <v>0</v>
      </c>
      <c r="P145" s="209"/>
    </row>
    <row r="146" spans="1:16" x14ac:dyDescent="0.25">
      <c r="A146" s="87">
        <v>2</v>
      </c>
      <c r="B146" s="82">
        <v>700</v>
      </c>
      <c r="C146" s="82">
        <v>0.46</v>
      </c>
      <c r="D146" s="82">
        <v>0.23899999999999999</v>
      </c>
      <c r="E146" s="82">
        <v>0.108</v>
      </c>
      <c r="F146" s="82">
        <v>3.5999999999999997E-2</v>
      </c>
      <c r="G146" s="82">
        <v>0.13419999999999999</v>
      </c>
      <c r="H146" s="82">
        <v>0.3</v>
      </c>
      <c r="I146" s="82">
        <v>0.41000000000000003</v>
      </c>
      <c r="J146" s="82">
        <v>1.34</v>
      </c>
      <c r="K146" s="82">
        <v>2.4939999999999997E-2</v>
      </c>
      <c r="L146" s="82">
        <v>0.1</v>
      </c>
      <c r="M146" s="82">
        <v>7.8688191694588276</v>
      </c>
      <c r="N146" s="212">
        <v>0</v>
      </c>
      <c r="P146" s="209" t="s">
        <v>966</v>
      </c>
    </row>
    <row r="147" spans="1:16" x14ac:dyDescent="0.25">
      <c r="A147" s="87">
        <v>3</v>
      </c>
      <c r="B147" s="82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212"/>
      <c r="P147" s="209"/>
    </row>
    <row r="148" spans="1:16" x14ac:dyDescent="0.25">
      <c r="A148" s="87">
        <v>4</v>
      </c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212"/>
      <c r="P148" s="209"/>
    </row>
    <row r="149" spans="1:16" x14ac:dyDescent="0.25">
      <c r="A149" s="87">
        <v>5</v>
      </c>
      <c r="B149" s="82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212"/>
      <c r="P149" s="209"/>
    </row>
    <row r="150" spans="1:16" x14ac:dyDescent="0.25">
      <c r="A150" s="87">
        <v>6</v>
      </c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212"/>
      <c r="P150" s="209"/>
    </row>
    <row r="151" spans="1:16" x14ac:dyDescent="0.25">
      <c r="A151" s="87">
        <v>7</v>
      </c>
      <c r="B151" s="82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212"/>
      <c r="P151" s="209"/>
    </row>
    <row r="152" spans="1:16" x14ac:dyDescent="0.25">
      <c r="A152" s="87">
        <v>8</v>
      </c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212"/>
      <c r="P152" s="209"/>
    </row>
    <row r="153" spans="1:16" x14ac:dyDescent="0.25">
      <c r="A153" s="87">
        <v>9</v>
      </c>
      <c r="B153" s="82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212"/>
      <c r="P153" s="209"/>
    </row>
    <row r="154" spans="1:16" ht="13" thickBot="1" x14ac:dyDescent="0.3">
      <c r="A154" s="218">
        <v>10</v>
      </c>
      <c r="B154" s="104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213"/>
      <c r="P154" s="209"/>
    </row>
    <row r="155" spans="1:16" x14ac:dyDescent="0.25">
      <c r="A155" s="3"/>
      <c r="C155" s="3"/>
      <c r="D155" s="3"/>
      <c r="E155" s="3"/>
      <c r="F155" s="3"/>
      <c r="P155" s="209"/>
    </row>
    <row r="156" spans="1:16" ht="13" thickBot="1" x14ac:dyDescent="0.3">
      <c r="A156" s="3"/>
      <c r="C156" s="3"/>
      <c r="D156" s="3"/>
      <c r="E156" s="3"/>
      <c r="F156" s="3"/>
      <c r="P156" s="209"/>
    </row>
    <row r="157" spans="1:16" ht="13" x14ac:dyDescent="0.3">
      <c r="A157" s="74" t="s">
        <v>677</v>
      </c>
      <c r="B157" s="75"/>
      <c r="C157" s="76"/>
      <c r="D157" s="76"/>
      <c r="E157" s="76"/>
      <c r="F157" s="75"/>
      <c r="G157" s="75"/>
      <c r="H157" s="76"/>
      <c r="I157" s="76"/>
      <c r="J157" s="76"/>
      <c r="K157" s="76"/>
      <c r="L157" s="76"/>
      <c r="M157" s="76"/>
      <c r="N157" s="211">
        <v>10</v>
      </c>
      <c r="P157" s="209"/>
    </row>
    <row r="158" spans="1:16" ht="13" x14ac:dyDescent="0.3">
      <c r="A158" s="77" t="s">
        <v>672</v>
      </c>
      <c r="B158" s="41"/>
      <c r="C158" s="41" t="s">
        <v>673</v>
      </c>
      <c r="D158" s="46"/>
      <c r="E158" s="46"/>
      <c r="F158" s="78"/>
      <c r="G158" s="78"/>
      <c r="H158" s="46"/>
      <c r="I158" s="46"/>
      <c r="J158" s="46"/>
      <c r="K158" s="46"/>
      <c r="L158" s="46"/>
      <c r="M158" s="46"/>
      <c r="N158" s="79"/>
      <c r="P158" s="209"/>
    </row>
    <row r="159" spans="1:16" x14ac:dyDescent="0.25">
      <c r="A159" s="80" t="s">
        <v>844</v>
      </c>
      <c r="B159" s="46"/>
      <c r="C159" s="81">
        <v>1830</v>
      </c>
      <c r="D159" s="46"/>
      <c r="E159" s="46"/>
      <c r="F159" s="78"/>
      <c r="G159" s="78"/>
      <c r="H159" s="46"/>
      <c r="I159" s="46"/>
      <c r="J159" s="46"/>
      <c r="K159" s="46"/>
      <c r="L159" s="46"/>
      <c r="M159" s="46"/>
      <c r="N159" s="79"/>
      <c r="P159" s="209">
        <v>157</v>
      </c>
    </row>
    <row r="160" spans="1:16" ht="13" x14ac:dyDescent="0.3">
      <c r="A160" s="77" t="s">
        <v>681</v>
      </c>
      <c r="B160" s="41" t="s">
        <v>680</v>
      </c>
      <c r="C160" s="41" t="s">
        <v>678</v>
      </c>
      <c r="D160" s="41" t="s">
        <v>695</v>
      </c>
      <c r="E160" s="41" t="s">
        <v>679</v>
      </c>
      <c r="F160" s="41" t="s">
        <v>1186</v>
      </c>
      <c r="G160" s="78"/>
      <c r="H160" s="46"/>
      <c r="I160" s="46"/>
      <c r="J160" s="46"/>
      <c r="K160" s="46"/>
      <c r="L160" s="46"/>
      <c r="M160" s="46"/>
      <c r="N160" s="79"/>
      <c r="P160" s="209"/>
    </row>
    <row r="161" spans="1:16" x14ac:dyDescent="0.25">
      <c r="A161" s="80">
        <v>2</v>
      </c>
      <c r="B161" s="78">
        <v>2</v>
      </c>
      <c r="C161" s="82">
        <v>0.12</v>
      </c>
      <c r="D161" s="78">
        <v>84</v>
      </c>
      <c r="E161" s="78">
        <v>81</v>
      </c>
      <c r="F161" s="78">
        <v>1</v>
      </c>
      <c r="G161" s="78"/>
      <c r="H161" s="46"/>
      <c r="I161" s="46"/>
      <c r="J161" s="46"/>
      <c r="K161" s="46"/>
      <c r="L161" s="46"/>
      <c r="M161" s="78" t="s">
        <v>65</v>
      </c>
      <c r="N161" s="83" t="s">
        <v>65</v>
      </c>
      <c r="P161" s="209"/>
    </row>
    <row r="162" spans="1:16" ht="13" x14ac:dyDescent="0.3">
      <c r="A162" s="84"/>
      <c r="B162" s="13"/>
      <c r="C162" s="78" t="s">
        <v>20</v>
      </c>
      <c r="D162" s="78" t="s">
        <v>20</v>
      </c>
      <c r="E162" s="78" t="s">
        <v>20</v>
      </c>
      <c r="F162" s="78"/>
      <c r="G162" s="78" t="s">
        <v>39</v>
      </c>
      <c r="H162" s="78" t="s">
        <v>39</v>
      </c>
      <c r="I162" s="78" t="s">
        <v>39</v>
      </c>
      <c r="J162" s="78" t="s">
        <v>63</v>
      </c>
      <c r="K162" s="78" t="s">
        <v>62</v>
      </c>
      <c r="L162" s="78" t="s">
        <v>39</v>
      </c>
      <c r="M162" s="78" t="s">
        <v>64</v>
      </c>
      <c r="N162" s="83" t="s">
        <v>64</v>
      </c>
      <c r="P162" s="209"/>
    </row>
    <row r="163" spans="1:16" ht="13" x14ac:dyDescent="0.3">
      <c r="A163" s="85" t="s">
        <v>32</v>
      </c>
      <c r="B163" s="5" t="s">
        <v>33</v>
      </c>
      <c r="C163" s="5" t="s">
        <v>34</v>
      </c>
      <c r="D163" s="5" t="s">
        <v>35</v>
      </c>
      <c r="E163" s="5" t="s">
        <v>814</v>
      </c>
      <c r="F163" s="5" t="s">
        <v>816</v>
      </c>
      <c r="G163" s="5" t="s">
        <v>815</v>
      </c>
      <c r="H163" s="5" t="s">
        <v>36</v>
      </c>
      <c r="I163" s="5" t="s">
        <v>66</v>
      </c>
      <c r="J163" s="5" t="s">
        <v>56</v>
      </c>
      <c r="K163" s="5" t="s">
        <v>57</v>
      </c>
      <c r="L163" s="5" t="s">
        <v>58</v>
      </c>
      <c r="M163" s="5" t="s">
        <v>59</v>
      </c>
      <c r="N163" s="86" t="s">
        <v>60</v>
      </c>
      <c r="P163" s="209"/>
    </row>
    <row r="164" spans="1:16" x14ac:dyDescent="0.25">
      <c r="A164" s="87">
        <v>1</v>
      </c>
      <c r="B164" s="82">
        <v>300</v>
      </c>
      <c r="C164" s="82">
        <v>0.374</v>
      </c>
      <c r="D164" s="82">
        <v>0.254</v>
      </c>
      <c r="E164" s="82">
        <v>0.122</v>
      </c>
      <c r="F164" s="82">
        <v>4.0666666666666663E-2</v>
      </c>
      <c r="G164" s="82">
        <v>0.1484</v>
      </c>
      <c r="H164" s="82">
        <v>0.3</v>
      </c>
      <c r="I164" s="82">
        <v>0.2</v>
      </c>
      <c r="J164" s="82">
        <v>1.41</v>
      </c>
      <c r="K164" s="82">
        <v>3.5259999999999993E-2</v>
      </c>
      <c r="L164" s="82">
        <v>0.1</v>
      </c>
      <c r="M164" s="82">
        <v>34.898120004502985</v>
      </c>
      <c r="N164" s="212">
        <v>0</v>
      </c>
      <c r="P164" s="209"/>
    </row>
    <row r="165" spans="1:16" x14ac:dyDescent="0.25">
      <c r="A165" s="87">
        <v>2</v>
      </c>
      <c r="B165" s="82">
        <v>700</v>
      </c>
      <c r="C165" s="82">
        <v>0.38300000000000001</v>
      </c>
      <c r="D165" s="82">
        <v>0.25700000000000001</v>
      </c>
      <c r="E165" s="82">
        <v>0.125</v>
      </c>
      <c r="F165" s="82">
        <v>4.1666666666666664E-2</v>
      </c>
      <c r="G165" s="82">
        <v>0.15140000000000001</v>
      </c>
      <c r="H165" s="82">
        <v>0.3</v>
      </c>
      <c r="I165" s="82">
        <v>0.27</v>
      </c>
      <c r="J165" s="82">
        <v>1.39</v>
      </c>
      <c r="K165" s="82">
        <v>1.8919999999999999E-2</v>
      </c>
      <c r="L165" s="82">
        <v>0.1</v>
      </c>
      <c r="M165" s="82">
        <v>7.585768120197721</v>
      </c>
      <c r="N165" s="212">
        <v>0</v>
      </c>
      <c r="P165" s="209" t="s">
        <v>966</v>
      </c>
    </row>
    <row r="166" spans="1:16" x14ac:dyDescent="0.25">
      <c r="A166" s="87">
        <v>3</v>
      </c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212"/>
      <c r="P166" s="209"/>
    </row>
    <row r="167" spans="1:16" x14ac:dyDescent="0.25">
      <c r="A167" s="87">
        <v>4</v>
      </c>
      <c r="B167" s="82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212"/>
      <c r="P167" s="209"/>
    </row>
    <row r="168" spans="1:16" x14ac:dyDescent="0.25">
      <c r="A168" s="87">
        <v>5</v>
      </c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212"/>
      <c r="P168" s="209"/>
    </row>
    <row r="169" spans="1:16" x14ac:dyDescent="0.25">
      <c r="A169" s="87">
        <v>6</v>
      </c>
      <c r="B169" s="82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212"/>
      <c r="P169" s="209"/>
    </row>
    <row r="170" spans="1:16" x14ac:dyDescent="0.25">
      <c r="A170" s="87">
        <v>7</v>
      </c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212"/>
      <c r="P170" s="209"/>
    </row>
    <row r="171" spans="1:16" x14ac:dyDescent="0.25">
      <c r="A171" s="87">
        <v>8</v>
      </c>
      <c r="B171" s="82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212"/>
      <c r="P171" s="209"/>
    </row>
    <row r="172" spans="1:16" x14ac:dyDescent="0.25">
      <c r="A172" s="87">
        <v>9</v>
      </c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212"/>
      <c r="P172" s="209"/>
    </row>
    <row r="173" spans="1:16" ht="13" thickBot="1" x14ac:dyDescent="0.3">
      <c r="A173" s="218">
        <v>10</v>
      </c>
      <c r="B173" s="104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213"/>
      <c r="P173" s="209"/>
    </row>
    <row r="174" spans="1:16" x14ac:dyDescent="0.25">
      <c r="A174" s="3"/>
      <c r="C174" s="3"/>
      <c r="D174" s="3"/>
      <c r="E174" s="3"/>
      <c r="F174" s="3"/>
      <c r="P174" s="209"/>
    </row>
    <row r="175" spans="1:16" ht="13" thickBot="1" x14ac:dyDescent="0.3">
      <c r="A175" s="3"/>
      <c r="C175" s="3"/>
      <c r="D175" s="3"/>
      <c r="E175" s="3"/>
      <c r="F175" s="3"/>
      <c r="P175" s="209"/>
    </row>
    <row r="176" spans="1:16" ht="13" x14ac:dyDescent="0.3">
      <c r="A176" s="74" t="s">
        <v>677</v>
      </c>
      <c r="B176" s="75"/>
      <c r="C176" s="76"/>
      <c r="D176" s="76"/>
      <c r="E176" s="76"/>
      <c r="F176" s="75"/>
      <c r="G176" s="75"/>
      <c r="H176" s="76"/>
      <c r="I176" s="76"/>
      <c r="J176" s="76"/>
      <c r="K176" s="76"/>
      <c r="L176" s="76"/>
      <c r="M176" s="76"/>
      <c r="N176" s="211">
        <v>11</v>
      </c>
      <c r="P176" s="209"/>
    </row>
    <row r="177" spans="1:16" ht="13" x14ac:dyDescent="0.3">
      <c r="A177" s="77" t="s">
        <v>672</v>
      </c>
      <c r="B177" s="41"/>
      <c r="C177" s="41" t="s">
        <v>673</v>
      </c>
      <c r="D177" s="46"/>
      <c r="E177" s="46"/>
      <c r="F177" s="78"/>
      <c r="G177" s="78"/>
      <c r="H177" s="46"/>
      <c r="I177" s="46"/>
      <c r="J177" s="46"/>
      <c r="K177" s="46"/>
      <c r="L177" s="46"/>
      <c r="M177" s="46"/>
      <c r="N177" s="79"/>
      <c r="P177" s="209"/>
    </row>
    <row r="178" spans="1:16" x14ac:dyDescent="0.25">
      <c r="A178" s="80" t="s">
        <v>846</v>
      </c>
      <c r="B178" s="46"/>
      <c r="C178" s="81">
        <v>1830</v>
      </c>
      <c r="D178" s="46"/>
      <c r="E178" s="46"/>
      <c r="F178" s="78"/>
      <c r="G178" s="78"/>
      <c r="H178" s="46"/>
      <c r="I178" s="46"/>
      <c r="J178" s="46"/>
      <c r="K178" s="46"/>
      <c r="L178" s="46"/>
      <c r="M178" s="46"/>
      <c r="N178" s="79"/>
      <c r="P178" s="209">
        <v>176</v>
      </c>
    </row>
    <row r="179" spans="1:16" ht="13" x14ac:dyDescent="0.3">
      <c r="A179" s="77" t="s">
        <v>681</v>
      </c>
      <c r="B179" s="41" t="s">
        <v>680</v>
      </c>
      <c r="C179" s="41" t="s">
        <v>678</v>
      </c>
      <c r="D179" s="41" t="s">
        <v>695</v>
      </c>
      <c r="E179" s="41" t="s">
        <v>679</v>
      </c>
      <c r="F179" s="41" t="s">
        <v>1186</v>
      </c>
      <c r="G179" s="78"/>
      <c r="H179" s="46"/>
      <c r="I179" s="46"/>
      <c r="J179" s="46"/>
      <c r="K179" s="46"/>
      <c r="L179" s="46"/>
      <c r="M179" s="46"/>
      <c r="N179" s="79"/>
      <c r="P179" s="209"/>
    </row>
    <row r="180" spans="1:16" x14ac:dyDescent="0.25">
      <c r="A180" s="80">
        <v>2</v>
      </c>
      <c r="B180" s="78">
        <v>2</v>
      </c>
      <c r="C180" s="82">
        <v>0.12</v>
      </c>
      <c r="D180" s="78">
        <v>83</v>
      </c>
      <c r="E180" s="78">
        <v>81</v>
      </c>
      <c r="F180" s="78">
        <v>1</v>
      </c>
      <c r="G180" s="78"/>
      <c r="H180" s="46"/>
      <c r="I180" s="46"/>
      <c r="J180" s="46"/>
      <c r="K180" s="46"/>
      <c r="L180" s="46"/>
      <c r="M180" s="78" t="s">
        <v>65</v>
      </c>
      <c r="N180" s="83" t="s">
        <v>65</v>
      </c>
      <c r="P180" s="209"/>
    </row>
    <row r="181" spans="1:16" ht="13" x14ac:dyDescent="0.3">
      <c r="A181" s="84"/>
      <c r="B181" s="13"/>
      <c r="C181" s="78" t="s">
        <v>20</v>
      </c>
      <c r="D181" s="78" t="s">
        <v>20</v>
      </c>
      <c r="E181" s="78" t="s">
        <v>20</v>
      </c>
      <c r="F181" s="78"/>
      <c r="G181" s="78" t="s">
        <v>39</v>
      </c>
      <c r="H181" s="78" t="s">
        <v>39</v>
      </c>
      <c r="I181" s="78" t="s">
        <v>39</v>
      </c>
      <c r="J181" s="78" t="s">
        <v>63</v>
      </c>
      <c r="K181" s="78" t="s">
        <v>62</v>
      </c>
      <c r="L181" s="78" t="s">
        <v>39</v>
      </c>
      <c r="M181" s="78" t="s">
        <v>64</v>
      </c>
      <c r="N181" s="83" t="s">
        <v>64</v>
      </c>
      <c r="P181" s="209"/>
    </row>
    <row r="182" spans="1:16" ht="13" x14ac:dyDescent="0.3">
      <c r="A182" s="85" t="s">
        <v>32</v>
      </c>
      <c r="B182" s="5" t="s">
        <v>33</v>
      </c>
      <c r="C182" s="5" t="s">
        <v>34</v>
      </c>
      <c r="D182" s="5" t="s">
        <v>35</v>
      </c>
      <c r="E182" s="5" t="s">
        <v>814</v>
      </c>
      <c r="F182" s="5" t="s">
        <v>816</v>
      </c>
      <c r="G182" s="5" t="s">
        <v>815</v>
      </c>
      <c r="H182" s="5" t="s">
        <v>36</v>
      </c>
      <c r="I182" s="5" t="s">
        <v>66</v>
      </c>
      <c r="J182" s="5" t="s">
        <v>56</v>
      </c>
      <c r="K182" s="5" t="s">
        <v>57</v>
      </c>
      <c r="L182" s="5" t="s">
        <v>58</v>
      </c>
      <c r="M182" s="5" t="s">
        <v>59</v>
      </c>
      <c r="N182" s="86" t="s">
        <v>60</v>
      </c>
      <c r="P182" s="209"/>
    </row>
    <row r="183" spans="1:16" x14ac:dyDescent="0.25">
      <c r="A183" s="87">
        <v>1</v>
      </c>
      <c r="B183" s="82">
        <v>300</v>
      </c>
      <c r="C183" s="82">
        <v>0.374</v>
      </c>
      <c r="D183" s="82">
        <v>0.254</v>
      </c>
      <c r="E183" s="82">
        <v>0.122</v>
      </c>
      <c r="F183" s="82">
        <v>4.0666666666666663E-2</v>
      </c>
      <c r="G183" s="82">
        <v>0.1484</v>
      </c>
      <c r="H183" s="82">
        <v>0.3</v>
      </c>
      <c r="I183" s="82">
        <v>0.2</v>
      </c>
      <c r="J183" s="82">
        <v>1.41</v>
      </c>
      <c r="K183" s="82">
        <v>3.5259999999999993E-2</v>
      </c>
      <c r="L183" s="82">
        <v>0.1</v>
      </c>
      <c r="M183" s="82">
        <v>34.898120004502985</v>
      </c>
      <c r="N183" s="212">
        <v>0</v>
      </c>
      <c r="P183" s="209"/>
    </row>
    <row r="184" spans="1:16" x14ac:dyDescent="0.25">
      <c r="A184" s="87">
        <v>2</v>
      </c>
      <c r="B184" s="82">
        <v>700</v>
      </c>
      <c r="C184" s="82">
        <v>0.38300000000000001</v>
      </c>
      <c r="D184" s="82">
        <v>0.25700000000000001</v>
      </c>
      <c r="E184" s="82">
        <v>0.125</v>
      </c>
      <c r="F184" s="82">
        <v>4.1666666666666664E-2</v>
      </c>
      <c r="G184" s="82">
        <v>0.15140000000000001</v>
      </c>
      <c r="H184" s="82">
        <v>0.3</v>
      </c>
      <c r="I184" s="82">
        <v>0.27</v>
      </c>
      <c r="J184" s="82">
        <v>1.39</v>
      </c>
      <c r="K184" s="82">
        <v>1.8919999999999999E-2</v>
      </c>
      <c r="L184" s="82">
        <v>0.1</v>
      </c>
      <c r="M184" s="82">
        <v>7.585768120197721</v>
      </c>
      <c r="N184" s="212">
        <v>0</v>
      </c>
      <c r="P184" s="209" t="s">
        <v>966</v>
      </c>
    </row>
    <row r="185" spans="1:16" x14ac:dyDescent="0.25">
      <c r="A185" s="87">
        <v>3</v>
      </c>
      <c r="B185" s="82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212"/>
      <c r="P185" s="209"/>
    </row>
    <row r="186" spans="1:16" x14ac:dyDescent="0.25">
      <c r="A186" s="87">
        <v>4</v>
      </c>
      <c r="B186" s="82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212"/>
      <c r="P186" s="209"/>
    </row>
    <row r="187" spans="1:16" x14ac:dyDescent="0.25">
      <c r="A187" s="87">
        <v>5</v>
      </c>
      <c r="B187" s="82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212"/>
      <c r="P187" s="209"/>
    </row>
    <row r="188" spans="1:16" x14ac:dyDescent="0.25">
      <c r="A188" s="87">
        <v>6</v>
      </c>
      <c r="B188" s="82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212"/>
      <c r="P188" s="209"/>
    </row>
    <row r="189" spans="1:16" x14ac:dyDescent="0.25">
      <c r="A189" s="87">
        <v>7</v>
      </c>
      <c r="B189" s="82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212"/>
      <c r="P189" s="209"/>
    </row>
    <row r="190" spans="1:16" x14ac:dyDescent="0.25">
      <c r="A190" s="87">
        <v>8</v>
      </c>
      <c r="B190" s="82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/>
      <c r="N190" s="212"/>
      <c r="P190" s="209"/>
    </row>
    <row r="191" spans="1:16" x14ac:dyDescent="0.25">
      <c r="A191" s="87">
        <v>9</v>
      </c>
      <c r="B191" s="82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2"/>
      <c r="N191" s="212"/>
      <c r="P191" s="209"/>
    </row>
    <row r="192" spans="1:16" ht="13" thickBot="1" x14ac:dyDescent="0.3">
      <c r="A192" s="218">
        <v>10</v>
      </c>
      <c r="B192" s="104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213"/>
      <c r="P192" s="209"/>
    </row>
    <row r="193" spans="1:16" x14ac:dyDescent="0.25">
      <c r="A193" s="3"/>
      <c r="C193" s="3"/>
      <c r="D193" s="3"/>
      <c r="E193" s="3"/>
      <c r="F193" s="3"/>
      <c r="P193" s="209"/>
    </row>
    <row r="194" spans="1:16" ht="13" thickBot="1" x14ac:dyDescent="0.3">
      <c r="A194" s="3"/>
      <c r="C194" s="3"/>
      <c r="D194" s="3"/>
      <c r="E194" s="3"/>
      <c r="F194" s="3"/>
      <c r="P194" s="209"/>
    </row>
    <row r="195" spans="1:16" ht="13" x14ac:dyDescent="0.3">
      <c r="A195" s="74" t="s">
        <v>677</v>
      </c>
      <c r="B195" s="75"/>
      <c r="C195" s="76"/>
      <c r="D195" s="76"/>
      <c r="E195" s="76"/>
      <c r="F195" s="75"/>
      <c r="G195" s="75"/>
      <c r="H195" s="76"/>
      <c r="I195" s="76"/>
      <c r="J195" s="76"/>
      <c r="K195" s="76"/>
      <c r="L195" s="76"/>
      <c r="M195" s="76"/>
      <c r="N195" s="211">
        <v>12</v>
      </c>
      <c r="P195" s="209"/>
    </row>
    <row r="196" spans="1:16" ht="13" x14ac:dyDescent="0.3">
      <c r="A196" s="77" t="s">
        <v>672</v>
      </c>
      <c r="B196" s="41"/>
      <c r="C196" s="41" t="s">
        <v>673</v>
      </c>
      <c r="D196" s="46"/>
      <c r="E196" s="46"/>
      <c r="F196" s="78"/>
      <c r="G196" s="78"/>
      <c r="H196" s="46"/>
      <c r="I196" s="46"/>
      <c r="J196" s="46"/>
      <c r="K196" s="46"/>
      <c r="L196" s="46"/>
      <c r="M196" s="46"/>
      <c r="N196" s="79"/>
      <c r="P196" s="209"/>
    </row>
    <row r="197" spans="1:16" x14ac:dyDescent="0.25">
      <c r="A197" s="80" t="s">
        <v>848</v>
      </c>
      <c r="B197" s="46"/>
      <c r="C197" s="81">
        <v>1830</v>
      </c>
      <c r="D197" s="46"/>
      <c r="E197" s="46"/>
      <c r="F197" s="78"/>
      <c r="G197" s="78"/>
      <c r="H197" s="46"/>
      <c r="I197" s="46"/>
      <c r="J197" s="46"/>
      <c r="K197" s="46"/>
      <c r="L197" s="46"/>
      <c r="M197" s="46"/>
      <c r="N197" s="79"/>
      <c r="P197" s="209">
        <v>195</v>
      </c>
    </row>
    <row r="198" spans="1:16" ht="13" x14ac:dyDescent="0.3">
      <c r="A198" s="77" t="s">
        <v>681</v>
      </c>
      <c r="B198" s="41" t="s">
        <v>680</v>
      </c>
      <c r="C198" s="41" t="s">
        <v>678</v>
      </c>
      <c r="D198" s="41" t="s">
        <v>695</v>
      </c>
      <c r="E198" s="41" t="s">
        <v>679</v>
      </c>
      <c r="F198" s="41" t="s">
        <v>1186</v>
      </c>
      <c r="G198" s="78"/>
      <c r="H198" s="46"/>
      <c r="I198" s="46"/>
      <c r="J198" s="46"/>
      <c r="K198" s="46"/>
      <c r="L198" s="46"/>
      <c r="M198" s="46"/>
      <c r="N198" s="79"/>
      <c r="P198" s="209"/>
    </row>
    <row r="199" spans="1:16" x14ac:dyDescent="0.25">
      <c r="A199" s="80">
        <v>2</v>
      </c>
      <c r="B199" s="78">
        <v>2</v>
      </c>
      <c r="C199" s="82">
        <v>0.12</v>
      </c>
      <c r="D199" s="78">
        <v>82</v>
      </c>
      <c r="E199" s="78">
        <v>81</v>
      </c>
      <c r="F199" s="78">
        <v>1</v>
      </c>
      <c r="G199" s="78"/>
      <c r="H199" s="46"/>
      <c r="I199" s="46"/>
      <c r="J199" s="46"/>
      <c r="K199" s="46"/>
      <c r="L199" s="46"/>
      <c r="M199" s="78" t="s">
        <v>65</v>
      </c>
      <c r="N199" s="83" t="s">
        <v>65</v>
      </c>
      <c r="P199" s="209"/>
    </row>
    <row r="200" spans="1:16" ht="13" x14ac:dyDescent="0.3">
      <c r="A200" s="84"/>
      <c r="B200" s="13"/>
      <c r="C200" s="78" t="s">
        <v>20</v>
      </c>
      <c r="D200" s="78" t="s">
        <v>20</v>
      </c>
      <c r="E200" s="78" t="s">
        <v>20</v>
      </c>
      <c r="F200" s="78"/>
      <c r="G200" s="78" t="s">
        <v>39</v>
      </c>
      <c r="H200" s="78" t="s">
        <v>39</v>
      </c>
      <c r="I200" s="78" t="s">
        <v>39</v>
      </c>
      <c r="J200" s="78" t="s">
        <v>63</v>
      </c>
      <c r="K200" s="78" t="s">
        <v>62</v>
      </c>
      <c r="L200" s="78" t="s">
        <v>39</v>
      </c>
      <c r="M200" s="78" t="s">
        <v>64</v>
      </c>
      <c r="N200" s="83" t="s">
        <v>64</v>
      </c>
      <c r="P200" s="209"/>
    </row>
    <row r="201" spans="1:16" ht="13" x14ac:dyDescent="0.3">
      <c r="A201" s="85" t="s">
        <v>32</v>
      </c>
      <c r="B201" s="5" t="s">
        <v>33</v>
      </c>
      <c r="C201" s="5" t="s">
        <v>34</v>
      </c>
      <c r="D201" s="5" t="s">
        <v>35</v>
      </c>
      <c r="E201" s="5" t="s">
        <v>814</v>
      </c>
      <c r="F201" s="5" t="s">
        <v>816</v>
      </c>
      <c r="G201" s="5" t="s">
        <v>815</v>
      </c>
      <c r="H201" s="5" t="s">
        <v>36</v>
      </c>
      <c r="I201" s="5" t="s">
        <v>66</v>
      </c>
      <c r="J201" s="5" t="s">
        <v>56</v>
      </c>
      <c r="K201" s="5" t="s">
        <v>57</v>
      </c>
      <c r="L201" s="5" t="s">
        <v>58</v>
      </c>
      <c r="M201" s="5" t="s">
        <v>59</v>
      </c>
      <c r="N201" s="86" t="s">
        <v>60</v>
      </c>
      <c r="P201" s="209"/>
    </row>
    <row r="202" spans="1:16" x14ac:dyDescent="0.25">
      <c r="A202" s="87">
        <v>1</v>
      </c>
      <c r="B202" s="82">
        <v>300</v>
      </c>
      <c r="C202" s="82">
        <v>0.374</v>
      </c>
      <c r="D202" s="82">
        <v>0.254</v>
      </c>
      <c r="E202" s="82">
        <v>0.122</v>
      </c>
      <c r="F202" s="82">
        <v>4.0666666666666663E-2</v>
      </c>
      <c r="G202" s="82">
        <v>0.1484</v>
      </c>
      <c r="H202" s="82">
        <v>0.3</v>
      </c>
      <c r="I202" s="82">
        <v>0.2</v>
      </c>
      <c r="J202" s="82">
        <v>1.41</v>
      </c>
      <c r="K202" s="82">
        <v>3.5259999999999993E-2</v>
      </c>
      <c r="L202" s="82">
        <v>0.1</v>
      </c>
      <c r="M202" s="82">
        <v>34.898120004502985</v>
      </c>
      <c r="N202" s="212">
        <v>0</v>
      </c>
      <c r="P202" s="209"/>
    </row>
    <row r="203" spans="1:16" x14ac:dyDescent="0.25">
      <c r="A203" s="87">
        <v>2</v>
      </c>
      <c r="B203" s="82">
        <v>700</v>
      </c>
      <c r="C203" s="82">
        <v>0.38300000000000001</v>
      </c>
      <c r="D203" s="82">
        <v>0.25700000000000001</v>
      </c>
      <c r="E203" s="82">
        <v>0.125</v>
      </c>
      <c r="F203" s="82">
        <v>4.1666666666666664E-2</v>
      </c>
      <c r="G203" s="82">
        <v>0.15140000000000001</v>
      </c>
      <c r="H203" s="82">
        <v>0.3</v>
      </c>
      <c r="I203" s="82">
        <v>0.27</v>
      </c>
      <c r="J203" s="82">
        <v>1.39</v>
      </c>
      <c r="K203" s="82">
        <v>1.8919999999999999E-2</v>
      </c>
      <c r="L203" s="82">
        <v>0.1</v>
      </c>
      <c r="M203" s="82">
        <v>7.585768120197721</v>
      </c>
      <c r="N203" s="212">
        <v>0</v>
      </c>
      <c r="P203" s="209" t="s">
        <v>966</v>
      </c>
    </row>
    <row r="204" spans="1:16" x14ac:dyDescent="0.25">
      <c r="A204" s="87">
        <v>3</v>
      </c>
      <c r="B204" s="82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212"/>
      <c r="P204" s="209"/>
    </row>
    <row r="205" spans="1:16" x14ac:dyDescent="0.25">
      <c r="A205" s="87">
        <v>4</v>
      </c>
      <c r="B205" s="82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212"/>
      <c r="P205" s="209"/>
    </row>
    <row r="206" spans="1:16" x14ac:dyDescent="0.25">
      <c r="A206" s="87">
        <v>5</v>
      </c>
      <c r="B206" s="82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212"/>
      <c r="P206" s="209"/>
    </row>
    <row r="207" spans="1:16" x14ac:dyDescent="0.25">
      <c r="A207" s="87">
        <v>6</v>
      </c>
      <c r="B207" s="82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212"/>
      <c r="P207" s="209"/>
    </row>
    <row r="208" spans="1:16" x14ac:dyDescent="0.25">
      <c r="A208" s="87">
        <v>7</v>
      </c>
      <c r="B208" s="82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/>
      <c r="N208" s="212"/>
      <c r="P208" s="209"/>
    </row>
    <row r="209" spans="1:16" x14ac:dyDescent="0.25">
      <c r="A209" s="87">
        <v>8</v>
      </c>
      <c r="B209" s="82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212"/>
      <c r="P209" s="209"/>
    </row>
    <row r="210" spans="1:16" x14ac:dyDescent="0.25">
      <c r="A210" s="87">
        <v>9</v>
      </c>
      <c r="B210" s="82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212"/>
      <c r="P210" s="209"/>
    </row>
    <row r="211" spans="1:16" ht="13" thickBot="1" x14ac:dyDescent="0.3">
      <c r="A211" s="218">
        <v>10</v>
      </c>
      <c r="B211" s="104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213"/>
      <c r="P211" s="209"/>
    </row>
    <row r="212" spans="1:16" x14ac:dyDescent="0.25">
      <c r="A212" s="3"/>
      <c r="C212" s="3"/>
      <c r="D212" s="3"/>
      <c r="E212" s="3"/>
      <c r="F212" s="3"/>
      <c r="P212" s="209"/>
    </row>
    <row r="213" spans="1:16" ht="13" thickBot="1" x14ac:dyDescent="0.3">
      <c r="A213" s="3"/>
      <c r="C213" s="3"/>
      <c r="D213" s="3"/>
      <c r="E213" s="3"/>
      <c r="F213" s="3"/>
      <c r="P213" s="209"/>
    </row>
    <row r="214" spans="1:16" ht="13" x14ac:dyDescent="0.3">
      <c r="A214" s="74" t="s">
        <v>677</v>
      </c>
      <c r="B214" s="75"/>
      <c r="C214" s="76"/>
      <c r="D214" s="76"/>
      <c r="E214" s="76"/>
      <c r="F214" s="75"/>
      <c r="G214" s="75"/>
      <c r="H214" s="76"/>
      <c r="I214" s="76"/>
      <c r="J214" s="76"/>
      <c r="K214" s="76"/>
      <c r="L214" s="76"/>
      <c r="M214" s="76"/>
      <c r="N214" s="211">
        <v>13</v>
      </c>
      <c r="P214" s="209"/>
    </row>
    <row r="215" spans="1:16" ht="13" x14ac:dyDescent="0.3">
      <c r="A215" s="77" t="s">
        <v>672</v>
      </c>
      <c r="B215" s="41"/>
      <c r="C215" s="41" t="s">
        <v>673</v>
      </c>
      <c r="D215" s="46"/>
      <c r="E215" s="46"/>
      <c r="F215" s="78"/>
      <c r="G215" s="78"/>
      <c r="H215" s="46"/>
      <c r="I215" s="46"/>
      <c r="J215" s="46"/>
      <c r="K215" s="46"/>
      <c r="L215" s="46"/>
      <c r="M215" s="46"/>
      <c r="N215" s="79"/>
      <c r="P215" s="209"/>
    </row>
    <row r="216" spans="1:16" x14ac:dyDescent="0.25">
      <c r="A216" s="80" t="s">
        <v>850</v>
      </c>
      <c r="B216" s="46"/>
      <c r="C216" s="81">
        <v>1309</v>
      </c>
      <c r="D216" s="46"/>
      <c r="E216" s="46"/>
      <c r="F216" s="78"/>
      <c r="G216" s="78"/>
      <c r="H216" s="46"/>
      <c r="I216" s="46"/>
      <c r="J216" s="46"/>
      <c r="K216" s="46"/>
      <c r="L216" s="46"/>
      <c r="M216" s="46"/>
      <c r="N216" s="79"/>
      <c r="P216" s="209">
        <v>214</v>
      </c>
    </row>
    <row r="217" spans="1:16" ht="13" x14ac:dyDescent="0.3">
      <c r="A217" s="77" t="s">
        <v>681</v>
      </c>
      <c r="B217" s="41" t="s">
        <v>680</v>
      </c>
      <c r="C217" s="41" t="s">
        <v>678</v>
      </c>
      <c r="D217" s="41" t="s">
        <v>695</v>
      </c>
      <c r="E217" s="41" t="s">
        <v>679</v>
      </c>
      <c r="F217" s="41" t="s">
        <v>1186</v>
      </c>
      <c r="G217" s="78"/>
      <c r="H217" s="46"/>
      <c r="I217" s="46"/>
      <c r="J217" s="46"/>
      <c r="K217" s="46"/>
      <c r="L217" s="46"/>
      <c r="M217" s="46"/>
      <c r="N217" s="79"/>
      <c r="P217" s="209"/>
    </row>
    <row r="218" spans="1:16" x14ac:dyDescent="0.25">
      <c r="A218" s="80">
        <v>2</v>
      </c>
      <c r="B218" s="78">
        <v>2</v>
      </c>
      <c r="C218" s="82">
        <v>0.11999999999999998</v>
      </c>
      <c r="D218" s="78">
        <v>81</v>
      </c>
      <c r="E218" s="78">
        <v>81</v>
      </c>
      <c r="F218" s="78">
        <v>1</v>
      </c>
      <c r="G218" s="78"/>
      <c r="H218" s="46"/>
      <c r="I218" s="46"/>
      <c r="J218" s="46"/>
      <c r="K218" s="46"/>
      <c r="L218" s="46"/>
      <c r="M218" s="78" t="s">
        <v>65</v>
      </c>
      <c r="N218" s="83" t="s">
        <v>65</v>
      </c>
      <c r="P218" s="209"/>
    </row>
    <row r="219" spans="1:16" ht="13" x14ac:dyDescent="0.3">
      <c r="A219" s="84"/>
      <c r="B219" s="13"/>
      <c r="C219" s="78" t="s">
        <v>20</v>
      </c>
      <c r="D219" s="78" t="s">
        <v>20</v>
      </c>
      <c r="E219" s="78" t="s">
        <v>20</v>
      </c>
      <c r="F219" s="78"/>
      <c r="G219" s="78" t="s">
        <v>39</v>
      </c>
      <c r="H219" s="78" t="s">
        <v>39</v>
      </c>
      <c r="I219" s="78" t="s">
        <v>39</v>
      </c>
      <c r="J219" s="78" t="s">
        <v>63</v>
      </c>
      <c r="K219" s="78" t="s">
        <v>62</v>
      </c>
      <c r="L219" s="78" t="s">
        <v>39</v>
      </c>
      <c r="M219" s="78" t="s">
        <v>64</v>
      </c>
      <c r="N219" s="83" t="s">
        <v>64</v>
      </c>
      <c r="P219" s="209"/>
    </row>
    <row r="220" spans="1:16" ht="13" x14ac:dyDescent="0.3">
      <c r="A220" s="85" t="s">
        <v>32</v>
      </c>
      <c r="B220" s="5" t="s">
        <v>33</v>
      </c>
      <c r="C220" s="5" t="s">
        <v>34</v>
      </c>
      <c r="D220" s="5" t="s">
        <v>35</v>
      </c>
      <c r="E220" s="5" t="s">
        <v>814</v>
      </c>
      <c r="F220" s="5" t="s">
        <v>816</v>
      </c>
      <c r="G220" s="5" t="s">
        <v>815</v>
      </c>
      <c r="H220" s="5" t="s">
        <v>36</v>
      </c>
      <c r="I220" s="5" t="s">
        <v>66</v>
      </c>
      <c r="J220" s="5" t="s">
        <v>56</v>
      </c>
      <c r="K220" s="5" t="s">
        <v>57</v>
      </c>
      <c r="L220" s="5" t="s">
        <v>58</v>
      </c>
      <c r="M220" s="5" t="s">
        <v>59</v>
      </c>
      <c r="N220" s="86" t="s">
        <v>60</v>
      </c>
      <c r="P220" s="209"/>
    </row>
    <row r="221" spans="1:16" x14ac:dyDescent="0.25">
      <c r="A221" s="87">
        <v>1</v>
      </c>
      <c r="B221" s="82">
        <v>199.40119760479041</v>
      </c>
      <c r="C221" s="82">
        <v>0.41723353293413173</v>
      </c>
      <c r="D221" s="82">
        <v>0.23789820359281433</v>
      </c>
      <c r="E221" s="82">
        <v>0.10640119760479042</v>
      </c>
      <c r="F221" s="82">
        <v>3.5467065868263474E-2</v>
      </c>
      <c r="G221" s="82">
        <v>0.13270059880239521</v>
      </c>
      <c r="H221" s="82">
        <v>0.29999999999999993</v>
      </c>
      <c r="I221" s="82">
        <v>0.23017964071856287</v>
      </c>
      <c r="J221" s="82">
        <v>1.4</v>
      </c>
      <c r="K221" s="82">
        <v>3.5259999999999993E-2</v>
      </c>
      <c r="L221" s="82">
        <v>0.1</v>
      </c>
      <c r="M221" s="82">
        <v>52.879410022267173</v>
      </c>
      <c r="N221" s="212">
        <v>0</v>
      </c>
      <c r="P221" s="209"/>
    </row>
    <row r="222" spans="1:16" x14ac:dyDescent="0.25">
      <c r="A222" s="87">
        <v>2</v>
      </c>
      <c r="B222" s="82">
        <v>347.90419161676647</v>
      </c>
      <c r="C222" s="82">
        <v>0.39500000000000002</v>
      </c>
      <c r="D222" s="82">
        <v>0.26200000000000001</v>
      </c>
      <c r="E222" s="82">
        <v>0.13</v>
      </c>
      <c r="F222" s="82">
        <v>4.3333333333333335E-2</v>
      </c>
      <c r="G222" s="82">
        <v>0.15640000000000001</v>
      </c>
      <c r="H222" s="82">
        <v>0.3</v>
      </c>
      <c r="I222" s="82">
        <v>0.27</v>
      </c>
      <c r="J222" s="82">
        <v>1.36</v>
      </c>
      <c r="K222" s="82">
        <v>1.9779999999999999E-2</v>
      </c>
      <c r="L222" s="82">
        <v>0.1</v>
      </c>
      <c r="M222" s="82">
        <v>15.599613339311627</v>
      </c>
      <c r="N222" s="212">
        <v>0</v>
      </c>
      <c r="P222" s="209" t="s">
        <v>966</v>
      </c>
    </row>
    <row r="223" spans="1:16" x14ac:dyDescent="0.25">
      <c r="A223" s="87">
        <v>3</v>
      </c>
      <c r="B223" s="82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2"/>
      <c r="N223" s="212"/>
      <c r="P223" s="209"/>
    </row>
    <row r="224" spans="1:16" x14ac:dyDescent="0.25">
      <c r="A224" s="87">
        <v>4</v>
      </c>
      <c r="B224" s="82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/>
      <c r="N224" s="212"/>
      <c r="P224" s="209"/>
    </row>
    <row r="225" spans="1:16" x14ac:dyDescent="0.25">
      <c r="A225" s="87">
        <v>5</v>
      </c>
      <c r="B225" s="82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212"/>
      <c r="P225" s="209"/>
    </row>
    <row r="226" spans="1:16" x14ac:dyDescent="0.25">
      <c r="A226" s="87">
        <v>6</v>
      </c>
      <c r="B226" s="82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/>
      <c r="N226" s="212"/>
      <c r="P226" s="209"/>
    </row>
    <row r="227" spans="1:16" x14ac:dyDescent="0.25">
      <c r="A227" s="87">
        <v>7</v>
      </c>
      <c r="B227" s="82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2"/>
      <c r="N227" s="212"/>
      <c r="P227" s="209"/>
    </row>
    <row r="228" spans="1:16" x14ac:dyDescent="0.25">
      <c r="A228" s="87">
        <v>8</v>
      </c>
      <c r="B228" s="82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212"/>
      <c r="P228" s="209"/>
    </row>
    <row r="229" spans="1:16" x14ac:dyDescent="0.25">
      <c r="A229" s="87">
        <v>9</v>
      </c>
      <c r="B229" s="82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2"/>
      <c r="N229" s="212"/>
      <c r="P229" s="209"/>
    </row>
    <row r="230" spans="1:16" ht="13" thickBot="1" x14ac:dyDescent="0.3">
      <c r="A230" s="218">
        <v>10</v>
      </c>
      <c r="B230" s="104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213"/>
      <c r="P230" s="209"/>
    </row>
    <row r="231" spans="1:16" x14ac:dyDescent="0.25">
      <c r="A231" s="3"/>
      <c r="C231" s="3"/>
      <c r="D231" s="3"/>
      <c r="E231" s="3"/>
      <c r="F231" s="3"/>
      <c r="P231" s="209"/>
    </row>
    <row r="232" spans="1:16" ht="13" thickBot="1" x14ac:dyDescent="0.3">
      <c r="A232" s="3"/>
      <c r="C232" s="3"/>
      <c r="D232" s="3"/>
      <c r="E232" s="3"/>
      <c r="F232" s="3"/>
      <c r="P232" s="209"/>
    </row>
    <row r="233" spans="1:16" ht="13" x14ac:dyDescent="0.3">
      <c r="A233" s="74" t="s">
        <v>677</v>
      </c>
      <c r="B233" s="75"/>
      <c r="C233" s="76"/>
      <c r="D233" s="76"/>
      <c r="E233" s="76"/>
      <c r="F233" s="75"/>
      <c r="G233" s="75"/>
      <c r="H233" s="76"/>
      <c r="I233" s="76"/>
      <c r="J233" s="76"/>
      <c r="K233" s="76"/>
      <c r="L233" s="76"/>
      <c r="M233" s="76"/>
      <c r="N233" s="211">
        <v>14</v>
      </c>
      <c r="P233" s="209"/>
    </row>
    <row r="234" spans="1:16" ht="13" x14ac:dyDescent="0.3">
      <c r="A234" s="77" t="s">
        <v>672</v>
      </c>
      <c r="B234" s="41"/>
      <c r="C234" s="41" t="s">
        <v>673</v>
      </c>
      <c r="D234" s="46"/>
      <c r="E234" s="46"/>
      <c r="F234" s="78"/>
      <c r="G234" s="78"/>
      <c r="H234" s="46"/>
      <c r="I234" s="46"/>
      <c r="J234" s="46"/>
      <c r="K234" s="46"/>
      <c r="L234" s="46"/>
      <c r="M234" s="46"/>
      <c r="N234" s="79"/>
      <c r="P234" s="209"/>
    </row>
    <row r="235" spans="1:16" x14ac:dyDescent="0.25">
      <c r="A235" s="80" t="s">
        <v>852</v>
      </c>
      <c r="B235" s="46"/>
      <c r="C235" s="81">
        <v>36</v>
      </c>
      <c r="D235" s="46"/>
      <c r="E235" s="46"/>
      <c r="F235" s="78"/>
      <c r="G235" s="78"/>
      <c r="H235" s="46"/>
      <c r="I235" s="46"/>
      <c r="J235" s="46"/>
      <c r="K235" s="46"/>
      <c r="L235" s="46"/>
      <c r="M235" s="46"/>
      <c r="N235" s="79"/>
      <c r="P235" s="209">
        <v>233</v>
      </c>
    </row>
    <row r="236" spans="1:16" ht="13" x14ac:dyDescent="0.3">
      <c r="A236" s="77" t="s">
        <v>681</v>
      </c>
      <c r="B236" s="41" t="s">
        <v>680</v>
      </c>
      <c r="C236" s="41" t="s">
        <v>678</v>
      </c>
      <c r="D236" s="41" t="s">
        <v>695</v>
      </c>
      <c r="E236" s="41" t="s">
        <v>679</v>
      </c>
      <c r="F236" s="41" t="s">
        <v>1186</v>
      </c>
      <c r="G236" s="78"/>
      <c r="H236" s="46"/>
      <c r="I236" s="46"/>
      <c r="J236" s="46"/>
      <c r="K236" s="46"/>
      <c r="L236" s="46"/>
      <c r="M236" s="46"/>
      <c r="N236" s="79"/>
      <c r="P236" s="209"/>
    </row>
    <row r="237" spans="1:16" x14ac:dyDescent="0.25">
      <c r="A237" s="80">
        <v>2</v>
      </c>
      <c r="B237" s="78">
        <v>2</v>
      </c>
      <c r="C237" s="82" t="e">
        <v>#N/A</v>
      </c>
      <c r="D237" s="78">
        <v>78</v>
      </c>
      <c r="E237" s="78" t="e">
        <v>#N/A</v>
      </c>
      <c r="F237" s="78">
        <v>1</v>
      </c>
      <c r="G237" s="78"/>
      <c r="H237" s="46"/>
      <c r="I237" s="46"/>
      <c r="J237" s="46"/>
      <c r="K237" s="46"/>
      <c r="L237" s="46"/>
      <c r="M237" s="78" t="s">
        <v>65</v>
      </c>
      <c r="N237" s="83" t="s">
        <v>65</v>
      </c>
      <c r="P237" s="209"/>
    </row>
    <row r="238" spans="1:16" ht="13" x14ac:dyDescent="0.3">
      <c r="A238" s="84"/>
      <c r="B238" s="13"/>
      <c r="C238" s="78" t="s">
        <v>20</v>
      </c>
      <c r="D238" s="78" t="s">
        <v>20</v>
      </c>
      <c r="E238" s="78" t="s">
        <v>20</v>
      </c>
      <c r="F238" s="78"/>
      <c r="G238" s="78" t="s">
        <v>39</v>
      </c>
      <c r="H238" s="78" t="s">
        <v>39</v>
      </c>
      <c r="I238" s="78" t="s">
        <v>39</v>
      </c>
      <c r="J238" s="78" t="s">
        <v>63</v>
      </c>
      <c r="K238" s="78" t="s">
        <v>62</v>
      </c>
      <c r="L238" s="78" t="s">
        <v>39</v>
      </c>
      <c r="M238" s="78" t="s">
        <v>64</v>
      </c>
      <c r="N238" s="83" t="s">
        <v>64</v>
      </c>
      <c r="P238" s="209"/>
    </row>
    <row r="239" spans="1:16" ht="13" x14ac:dyDescent="0.3">
      <c r="A239" s="85" t="s">
        <v>32</v>
      </c>
      <c r="B239" s="5" t="s">
        <v>33</v>
      </c>
      <c r="C239" s="5" t="s">
        <v>34</v>
      </c>
      <c r="D239" s="5" t="s">
        <v>35</v>
      </c>
      <c r="E239" s="5" t="s">
        <v>814</v>
      </c>
      <c r="F239" s="5" t="s">
        <v>816</v>
      </c>
      <c r="G239" s="5" t="s">
        <v>815</v>
      </c>
      <c r="H239" s="5" t="s">
        <v>36</v>
      </c>
      <c r="I239" s="5" t="s">
        <v>66</v>
      </c>
      <c r="J239" s="5" t="s">
        <v>56</v>
      </c>
      <c r="K239" s="5" t="s">
        <v>57</v>
      </c>
      <c r="L239" s="5" t="s">
        <v>58</v>
      </c>
      <c r="M239" s="5" t="s">
        <v>59</v>
      </c>
      <c r="N239" s="86" t="s">
        <v>60</v>
      </c>
      <c r="P239" s="209"/>
    </row>
    <row r="240" spans="1:16" x14ac:dyDescent="0.25">
      <c r="A240" s="87">
        <v>1</v>
      </c>
      <c r="B240" s="82" t="e">
        <v>#N/A</v>
      </c>
      <c r="C240" s="82" t="e">
        <v>#N/A</v>
      </c>
      <c r="D240" s="82" t="e">
        <v>#N/A</v>
      </c>
      <c r="E240" s="82" t="e">
        <v>#N/A</v>
      </c>
      <c r="F240" s="82" t="e">
        <v>#N/A</v>
      </c>
      <c r="G240" s="82" t="e">
        <v>#N/A</v>
      </c>
      <c r="H240" s="82" t="e">
        <v>#N/A</v>
      </c>
      <c r="I240" s="82" t="e">
        <v>#N/A</v>
      </c>
      <c r="J240" s="82" t="e">
        <v>#N/A</v>
      </c>
      <c r="K240" s="82" t="e">
        <v>#N/A</v>
      </c>
      <c r="L240" s="82">
        <v>0.1</v>
      </c>
      <c r="M240" s="82" t="e">
        <v>#N/A</v>
      </c>
      <c r="N240" s="212">
        <v>0</v>
      </c>
      <c r="P240" s="209"/>
    </row>
    <row r="241" spans="1:16" x14ac:dyDescent="0.25">
      <c r="A241" s="87">
        <v>2</v>
      </c>
      <c r="B241" s="82" t="e">
        <v>#N/A</v>
      </c>
      <c r="C241" s="82" t="e">
        <v>#N/A</v>
      </c>
      <c r="D241" s="82" t="e">
        <v>#N/A</v>
      </c>
      <c r="E241" s="82" t="e">
        <v>#N/A</v>
      </c>
      <c r="F241" s="82" t="e">
        <v>#N/A</v>
      </c>
      <c r="G241" s="82" t="e">
        <v>#N/A</v>
      </c>
      <c r="H241" s="82" t="e">
        <v>#N/A</v>
      </c>
      <c r="I241" s="82" t="e">
        <v>#N/A</v>
      </c>
      <c r="J241" s="82" t="e">
        <v>#N/A</v>
      </c>
      <c r="K241" s="82" t="e">
        <v>#N/A</v>
      </c>
      <c r="L241" s="82">
        <v>0.1</v>
      </c>
      <c r="M241" s="82" t="e">
        <v>#N/A</v>
      </c>
      <c r="N241" s="212">
        <v>0</v>
      </c>
      <c r="P241" s="209" t="s">
        <v>966</v>
      </c>
    </row>
    <row r="242" spans="1:16" x14ac:dyDescent="0.25">
      <c r="A242" s="87">
        <v>3</v>
      </c>
      <c r="B242" s="82"/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2"/>
      <c r="N242" s="212"/>
      <c r="P242" s="209"/>
    </row>
    <row r="243" spans="1:16" x14ac:dyDescent="0.25">
      <c r="A243" s="87">
        <v>4</v>
      </c>
      <c r="B243" s="82"/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212"/>
      <c r="P243" s="209"/>
    </row>
    <row r="244" spans="1:16" x14ac:dyDescent="0.25">
      <c r="A244" s="87">
        <v>5</v>
      </c>
      <c r="B244" s="82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/>
      <c r="N244" s="212"/>
      <c r="P244" s="209"/>
    </row>
    <row r="245" spans="1:16" x14ac:dyDescent="0.25">
      <c r="A245" s="87">
        <v>6</v>
      </c>
      <c r="B245" s="82"/>
      <c r="C245" s="82"/>
      <c r="D245" s="82"/>
      <c r="E245" s="82"/>
      <c r="F245" s="82"/>
      <c r="G245" s="82"/>
      <c r="H245" s="82"/>
      <c r="I245" s="82"/>
      <c r="J245" s="82"/>
      <c r="K245" s="82"/>
      <c r="L245" s="82"/>
      <c r="M245" s="82"/>
      <c r="N245" s="212"/>
      <c r="P245" s="209"/>
    </row>
    <row r="246" spans="1:16" x14ac:dyDescent="0.25">
      <c r="A246" s="87">
        <v>7</v>
      </c>
      <c r="B246" s="82"/>
      <c r="C246" s="82"/>
      <c r="D246" s="82"/>
      <c r="E246" s="82"/>
      <c r="F246" s="82"/>
      <c r="G246" s="82"/>
      <c r="H246" s="82"/>
      <c r="I246" s="82"/>
      <c r="J246" s="82"/>
      <c r="K246" s="82"/>
      <c r="L246" s="82"/>
      <c r="M246" s="82"/>
      <c r="N246" s="212"/>
      <c r="P246" s="209"/>
    </row>
    <row r="247" spans="1:16" x14ac:dyDescent="0.25">
      <c r="A247" s="87">
        <v>8</v>
      </c>
      <c r="B247" s="82"/>
      <c r="C247" s="82"/>
      <c r="D247" s="82"/>
      <c r="E247" s="82"/>
      <c r="F247" s="82"/>
      <c r="G247" s="82"/>
      <c r="H247" s="82"/>
      <c r="I247" s="82"/>
      <c r="J247" s="82"/>
      <c r="K247" s="82"/>
      <c r="L247" s="82"/>
      <c r="M247" s="82"/>
      <c r="N247" s="212"/>
      <c r="P247" s="209"/>
    </row>
    <row r="248" spans="1:16" x14ac:dyDescent="0.25">
      <c r="A248" s="87">
        <v>9</v>
      </c>
      <c r="B248" s="82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2"/>
      <c r="N248" s="212"/>
      <c r="P248" s="209"/>
    </row>
    <row r="249" spans="1:16" ht="13" thickBot="1" x14ac:dyDescent="0.3">
      <c r="A249" s="218">
        <v>10</v>
      </c>
      <c r="B249" s="104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213"/>
      <c r="P249" s="209"/>
    </row>
    <row r="250" spans="1:16" x14ac:dyDescent="0.25">
      <c r="A250" s="3"/>
      <c r="C250" s="3"/>
      <c r="D250" s="3"/>
      <c r="E250" s="3"/>
      <c r="F250" s="3"/>
      <c r="P250" s="209"/>
    </row>
    <row r="251" spans="1:16" ht="13" thickBot="1" x14ac:dyDescent="0.3">
      <c r="A251" s="3"/>
      <c r="C251" s="3"/>
      <c r="D251" s="3"/>
      <c r="E251" s="3"/>
      <c r="F251" s="3"/>
      <c r="P251" s="209"/>
    </row>
    <row r="252" spans="1:16" ht="13" x14ac:dyDescent="0.3">
      <c r="A252" s="74" t="s">
        <v>677</v>
      </c>
      <c r="B252" s="75"/>
      <c r="C252" s="76"/>
      <c r="D252" s="76"/>
      <c r="E252" s="76"/>
      <c r="F252" s="75"/>
      <c r="G252" s="75"/>
      <c r="H252" s="76"/>
      <c r="I252" s="76"/>
      <c r="J252" s="76"/>
      <c r="K252" s="76"/>
      <c r="L252" s="76"/>
      <c r="M252" s="76"/>
      <c r="N252" s="211">
        <v>15</v>
      </c>
      <c r="P252" s="209"/>
    </row>
    <row r="253" spans="1:16" ht="13" x14ac:dyDescent="0.3">
      <c r="A253" s="77" t="s">
        <v>672</v>
      </c>
      <c r="B253" s="41"/>
      <c r="C253" s="41" t="s">
        <v>673</v>
      </c>
      <c r="D253" s="46"/>
      <c r="E253" s="46"/>
      <c r="F253" s="78"/>
      <c r="G253" s="78"/>
      <c r="H253" s="46"/>
      <c r="I253" s="46"/>
      <c r="J253" s="46"/>
      <c r="K253" s="46"/>
      <c r="L253" s="46"/>
      <c r="M253" s="46"/>
      <c r="N253" s="79"/>
      <c r="P253" s="209"/>
    </row>
    <row r="254" spans="1:16" x14ac:dyDescent="0.25">
      <c r="A254" s="80" t="s">
        <v>854</v>
      </c>
      <c r="B254" s="46"/>
      <c r="C254" s="81">
        <v>36</v>
      </c>
      <c r="D254" s="46"/>
      <c r="E254" s="46"/>
      <c r="F254" s="78"/>
      <c r="G254" s="78"/>
      <c r="H254" s="46"/>
      <c r="I254" s="46"/>
      <c r="J254" s="46"/>
      <c r="K254" s="46"/>
      <c r="L254" s="46"/>
      <c r="M254" s="46"/>
      <c r="N254" s="79"/>
      <c r="P254" s="209">
        <v>252</v>
      </c>
    </row>
    <row r="255" spans="1:16" ht="13" x14ac:dyDescent="0.3">
      <c r="A255" s="77" t="s">
        <v>681</v>
      </c>
      <c r="B255" s="41" t="s">
        <v>680</v>
      </c>
      <c r="C255" s="41" t="s">
        <v>678</v>
      </c>
      <c r="D255" s="41" t="s">
        <v>695</v>
      </c>
      <c r="E255" s="41" t="s">
        <v>679</v>
      </c>
      <c r="F255" s="41" t="s">
        <v>1186</v>
      </c>
      <c r="G255" s="78"/>
      <c r="H255" s="46"/>
      <c r="I255" s="46"/>
      <c r="J255" s="46"/>
      <c r="K255" s="46"/>
      <c r="L255" s="46"/>
      <c r="M255" s="46"/>
      <c r="N255" s="79"/>
      <c r="P255" s="209"/>
    </row>
    <row r="256" spans="1:16" x14ac:dyDescent="0.25">
      <c r="A256" s="80">
        <v>2</v>
      </c>
      <c r="B256" s="78">
        <v>2</v>
      </c>
      <c r="C256" s="82" t="e">
        <v>#N/A</v>
      </c>
      <c r="D256" s="78">
        <v>77</v>
      </c>
      <c r="E256" s="78" t="e">
        <v>#N/A</v>
      </c>
      <c r="F256" s="78">
        <v>1</v>
      </c>
      <c r="G256" s="78"/>
      <c r="H256" s="46"/>
      <c r="I256" s="46"/>
      <c r="J256" s="46"/>
      <c r="K256" s="46"/>
      <c r="L256" s="46"/>
      <c r="M256" s="78" t="s">
        <v>65</v>
      </c>
      <c r="N256" s="83" t="s">
        <v>65</v>
      </c>
      <c r="P256" s="209"/>
    </row>
    <row r="257" spans="1:16" ht="13" x14ac:dyDescent="0.3">
      <c r="A257" s="84"/>
      <c r="B257" s="13"/>
      <c r="C257" s="78" t="s">
        <v>20</v>
      </c>
      <c r="D257" s="78" t="s">
        <v>20</v>
      </c>
      <c r="E257" s="78" t="s">
        <v>20</v>
      </c>
      <c r="F257" s="78"/>
      <c r="G257" s="78" t="s">
        <v>39</v>
      </c>
      <c r="H257" s="78" t="s">
        <v>39</v>
      </c>
      <c r="I257" s="78" t="s">
        <v>39</v>
      </c>
      <c r="J257" s="78" t="s">
        <v>63</v>
      </c>
      <c r="K257" s="78" t="s">
        <v>62</v>
      </c>
      <c r="L257" s="78" t="s">
        <v>39</v>
      </c>
      <c r="M257" s="78" t="s">
        <v>64</v>
      </c>
      <c r="N257" s="83" t="s">
        <v>64</v>
      </c>
      <c r="P257" s="209"/>
    </row>
    <row r="258" spans="1:16" ht="13" x14ac:dyDescent="0.3">
      <c r="A258" s="85" t="s">
        <v>32</v>
      </c>
      <c r="B258" s="5" t="s">
        <v>33</v>
      </c>
      <c r="C258" s="5" t="s">
        <v>34</v>
      </c>
      <c r="D258" s="5" t="s">
        <v>35</v>
      </c>
      <c r="E258" s="5" t="s">
        <v>814</v>
      </c>
      <c r="F258" s="5" t="s">
        <v>816</v>
      </c>
      <c r="G258" s="5" t="s">
        <v>815</v>
      </c>
      <c r="H258" s="5" t="s">
        <v>36</v>
      </c>
      <c r="I258" s="5" t="s">
        <v>66</v>
      </c>
      <c r="J258" s="5" t="s">
        <v>56</v>
      </c>
      <c r="K258" s="5" t="s">
        <v>57</v>
      </c>
      <c r="L258" s="5" t="s">
        <v>58</v>
      </c>
      <c r="M258" s="5" t="s">
        <v>59</v>
      </c>
      <c r="N258" s="86" t="s">
        <v>60</v>
      </c>
      <c r="P258" s="209"/>
    </row>
    <row r="259" spans="1:16" x14ac:dyDescent="0.25">
      <c r="A259" s="87">
        <v>1</v>
      </c>
      <c r="B259" s="82" t="e">
        <v>#N/A</v>
      </c>
      <c r="C259" s="82" t="e">
        <v>#N/A</v>
      </c>
      <c r="D259" s="82" t="e">
        <v>#N/A</v>
      </c>
      <c r="E259" s="82" t="e">
        <v>#N/A</v>
      </c>
      <c r="F259" s="82" t="e">
        <v>#N/A</v>
      </c>
      <c r="G259" s="82" t="e">
        <v>#N/A</v>
      </c>
      <c r="H259" s="82" t="e">
        <v>#N/A</v>
      </c>
      <c r="I259" s="82" t="e">
        <v>#N/A</v>
      </c>
      <c r="J259" s="82" t="e">
        <v>#N/A</v>
      </c>
      <c r="K259" s="82" t="e">
        <v>#N/A</v>
      </c>
      <c r="L259" s="82">
        <v>0.1</v>
      </c>
      <c r="M259" s="82" t="e">
        <v>#N/A</v>
      </c>
      <c r="N259" s="212">
        <v>0</v>
      </c>
      <c r="P259" s="209"/>
    </row>
    <row r="260" spans="1:16" x14ac:dyDescent="0.25">
      <c r="A260" s="87">
        <v>2</v>
      </c>
      <c r="B260" s="82" t="e">
        <v>#N/A</v>
      </c>
      <c r="C260" s="82" t="e">
        <v>#N/A</v>
      </c>
      <c r="D260" s="82" t="e">
        <v>#N/A</v>
      </c>
      <c r="E260" s="82" t="e">
        <v>#N/A</v>
      </c>
      <c r="F260" s="82" t="e">
        <v>#N/A</v>
      </c>
      <c r="G260" s="82" t="e">
        <v>#N/A</v>
      </c>
      <c r="H260" s="82" t="e">
        <v>#N/A</v>
      </c>
      <c r="I260" s="82" t="e">
        <v>#N/A</v>
      </c>
      <c r="J260" s="82" t="e">
        <v>#N/A</v>
      </c>
      <c r="K260" s="82" t="e">
        <v>#N/A</v>
      </c>
      <c r="L260" s="82">
        <v>0.1</v>
      </c>
      <c r="M260" s="82" t="e">
        <v>#N/A</v>
      </c>
      <c r="N260" s="212">
        <v>0</v>
      </c>
      <c r="P260" s="209" t="s">
        <v>966</v>
      </c>
    </row>
    <row r="261" spans="1:16" x14ac:dyDescent="0.25">
      <c r="A261" s="87">
        <v>3</v>
      </c>
      <c r="B261" s="82"/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2"/>
      <c r="N261" s="212"/>
      <c r="P261" s="209"/>
    </row>
    <row r="262" spans="1:16" x14ac:dyDescent="0.25">
      <c r="A262" s="87">
        <v>4</v>
      </c>
      <c r="B262" s="82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212"/>
      <c r="P262" s="209"/>
    </row>
    <row r="263" spans="1:16" x14ac:dyDescent="0.25">
      <c r="A263" s="87">
        <v>5</v>
      </c>
      <c r="B263" s="82"/>
      <c r="C263" s="82"/>
      <c r="D263" s="82"/>
      <c r="E263" s="82"/>
      <c r="F263" s="82"/>
      <c r="G263" s="82"/>
      <c r="H263" s="82"/>
      <c r="I263" s="82"/>
      <c r="J263" s="82"/>
      <c r="K263" s="82"/>
      <c r="L263" s="82"/>
      <c r="M263" s="82"/>
      <c r="N263" s="212"/>
      <c r="P263" s="209"/>
    </row>
    <row r="264" spans="1:16" x14ac:dyDescent="0.25">
      <c r="A264" s="87">
        <v>6</v>
      </c>
      <c r="B264" s="82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212"/>
      <c r="P264" s="209"/>
    </row>
    <row r="265" spans="1:16" x14ac:dyDescent="0.25">
      <c r="A265" s="87">
        <v>7</v>
      </c>
      <c r="B265" s="82"/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2"/>
      <c r="N265" s="212"/>
      <c r="P265" s="209"/>
    </row>
    <row r="266" spans="1:16" x14ac:dyDescent="0.25">
      <c r="A266" s="87">
        <v>8</v>
      </c>
      <c r="B266" s="82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/>
      <c r="N266" s="212"/>
      <c r="P266" s="209"/>
    </row>
    <row r="267" spans="1:16" x14ac:dyDescent="0.25">
      <c r="A267" s="87">
        <v>9</v>
      </c>
      <c r="B267" s="82"/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82"/>
      <c r="N267" s="212"/>
      <c r="P267" s="209"/>
    </row>
    <row r="268" spans="1:16" ht="13" thickBot="1" x14ac:dyDescent="0.3">
      <c r="A268" s="218">
        <v>10</v>
      </c>
      <c r="B268" s="104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213"/>
      <c r="P268" s="209"/>
    </row>
    <row r="269" spans="1:16" x14ac:dyDescent="0.25">
      <c r="A269" s="3"/>
      <c r="C269" s="3"/>
      <c r="D269" s="3"/>
      <c r="E269" s="3"/>
      <c r="F269" s="3"/>
      <c r="P269" s="209"/>
    </row>
    <row r="270" spans="1:16" ht="13" thickBot="1" x14ac:dyDescent="0.3">
      <c r="A270" s="3"/>
      <c r="C270" s="3"/>
      <c r="D270" s="3"/>
      <c r="E270" s="3"/>
      <c r="F270" s="3"/>
      <c r="P270" s="209"/>
    </row>
    <row r="271" spans="1:16" ht="13" x14ac:dyDescent="0.3">
      <c r="A271" s="74" t="s">
        <v>677</v>
      </c>
      <c r="B271" s="75"/>
      <c r="C271" s="76"/>
      <c r="D271" s="76"/>
      <c r="E271" s="76"/>
      <c r="F271" s="75"/>
      <c r="G271" s="75"/>
      <c r="H271" s="76"/>
      <c r="I271" s="76"/>
      <c r="J271" s="76"/>
      <c r="K271" s="76"/>
      <c r="L271" s="76"/>
      <c r="M271" s="76"/>
      <c r="N271" s="211">
        <v>16</v>
      </c>
      <c r="P271" s="209"/>
    </row>
    <row r="272" spans="1:16" ht="13" x14ac:dyDescent="0.3">
      <c r="A272" s="77" t="s">
        <v>672</v>
      </c>
      <c r="B272" s="41"/>
      <c r="C272" s="41" t="s">
        <v>673</v>
      </c>
      <c r="D272" s="46"/>
      <c r="E272" s="46"/>
      <c r="F272" s="78"/>
      <c r="G272" s="78"/>
      <c r="H272" s="46"/>
      <c r="I272" s="46"/>
      <c r="J272" s="46"/>
      <c r="K272" s="46"/>
      <c r="L272" s="46"/>
      <c r="M272" s="46"/>
      <c r="N272" s="79"/>
      <c r="P272" s="209"/>
    </row>
    <row r="273" spans="1:16" x14ac:dyDescent="0.25">
      <c r="A273" s="80" t="s">
        <v>856</v>
      </c>
      <c r="B273" s="46"/>
      <c r="C273" s="81">
        <v>36</v>
      </c>
      <c r="D273" s="46"/>
      <c r="E273" s="46"/>
      <c r="F273" s="78"/>
      <c r="G273" s="78"/>
      <c r="H273" s="46"/>
      <c r="I273" s="46"/>
      <c r="J273" s="46"/>
      <c r="K273" s="46"/>
      <c r="L273" s="46"/>
      <c r="M273" s="46"/>
      <c r="N273" s="79"/>
      <c r="P273" s="209">
        <v>271</v>
      </c>
    </row>
    <row r="274" spans="1:16" ht="13" x14ac:dyDescent="0.3">
      <c r="A274" s="77" t="s">
        <v>681</v>
      </c>
      <c r="B274" s="41" t="s">
        <v>680</v>
      </c>
      <c r="C274" s="41" t="s">
        <v>678</v>
      </c>
      <c r="D274" s="41" t="s">
        <v>695</v>
      </c>
      <c r="E274" s="41" t="s">
        <v>679</v>
      </c>
      <c r="F274" s="41" t="s">
        <v>1186</v>
      </c>
      <c r="G274" s="78"/>
      <c r="H274" s="46"/>
      <c r="I274" s="46"/>
      <c r="J274" s="46"/>
      <c r="K274" s="46"/>
      <c r="L274" s="46"/>
      <c r="M274" s="46"/>
      <c r="N274" s="79"/>
      <c r="P274" s="209"/>
    </row>
    <row r="275" spans="1:16" x14ac:dyDescent="0.25">
      <c r="A275" s="80">
        <v>2</v>
      </c>
      <c r="B275" s="78">
        <v>2</v>
      </c>
      <c r="C275" s="82" t="e">
        <v>#N/A</v>
      </c>
      <c r="D275" s="78">
        <v>76</v>
      </c>
      <c r="E275" s="78" t="e">
        <v>#N/A</v>
      </c>
      <c r="F275" s="78">
        <v>1</v>
      </c>
      <c r="G275" s="78"/>
      <c r="H275" s="46"/>
      <c r="I275" s="46"/>
      <c r="J275" s="46"/>
      <c r="K275" s="46"/>
      <c r="L275" s="46"/>
      <c r="M275" s="78" t="s">
        <v>65</v>
      </c>
      <c r="N275" s="83" t="s">
        <v>65</v>
      </c>
      <c r="P275" s="209"/>
    </row>
    <row r="276" spans="1:16" ht="13" x14ac:dyDescent="0.3">
      <c r="A276" s="84"/>
      <c r="B276" s="13"/>
      <c r="C276" s="78" t="s">
        <v>20</v>
      </c>
      <c r="D276" s="78" t="s">
        <v>20</v>
      </c>
      <c r="E276" s="78" t="s">
        <v>20</v>
      </c>
      <c r="F276" s="78"/>
      <c r="G276" s="78" t="s">
        <v>39</v>
      </c>
      <c r="H276" s="78" t="s">
        <v>39</v>
      </c>
      <c r="I276" s="78" t="s">
        <v>39</v>
      </c>
      <c r="J276" s="78" t="s">
        <v>63</v>
      </c>
      <c r="K276" s="78" t="s">
        <v>62</v>
      </c>
      <c r="L276" s="78" t="s">
        <v>39</v>
      </c>
      <c r="M276" s="78" t="s">
        <v>64</v>
      </c>
      <c r="N276" s="83" t="s">
        <v>64</v>
      </c>
      <c r="P276" s="209"/>
    </row>
    <row r="277" spans="1:16" ht="13" x14ac:dyDescent="0.3">
      <c r="A277" s="85" t="s">
        <v>32</v>
      </c>
      <c r="B277" s="5" t="s">
        <v>33</v>
      </c>
      <c r="C277" s="5" t="s">
        <v>34</v>
      </c>
      <c r="D277" s="5" t="s">
        <v>35</v>
      </c>
      <c r="E277" s="5" t="s">
        <v>814</v>
      </c>
      <c r="F277" s="5" t="s">
        <v>816</v>
      </c>
      <c r="G277" s="5" t="s">
        <v>815</v>
      </c>
      <c r="H277" s="5" t="s">
        <v>36</v>
      </c>
      <c r="I277" s="5" t="s">
        <v>66</v>
      </c>
      <c r="J277" s="5" t="s">
        <v>56</v>
      </c>
      <c r="K277" s="5" t="s">
        <v>57</v>
      </c>
      <c r="L277" s="5" t="s">
        <v>58</v>
      </c>
      <c r="M277" s="5" t="s">
        <v>59</v>
      </c>
      <c r="N277" s="86" t="s">
        <v>60</v>
      </c>
      <c r="P277" s="209"/>
    </row>
    <row r="278" spans="1:16" x14ac:dyDescent="0.25">
      <c r="A278" s="87">
        <v>1</v>
      </c>
      <c r="B278" s="82" t="e">
        <v>#N/A</v>
      </c>
      <c r="C278" s="82" t="e">
        <v>#N/A</v>
      </c>
      <c r="D278" s="82" t="e">
        <v>#N/A</v>
      </c>
      <c r="E278" s="82" t="e">
        <v>#N/A</v>
      </c>
      <c r="F278" s="82" t="e">
        <v>#N/A</v>
      </c>
      <c r="G278" s="82" t="e">
        <v>#N/A</v>
      </c>
      <c r="H278" s="82" t="e">
        <v>#N/A</v>
      </c>
      <c r="I278" s="82" t="e">
        <v>#N/A</v>
      </c>
      <c r="J278" s="82" t="e">
        <v>#N/A</v>
      </c>
      <c r="K278" s="82" t="e">
        <v>#N/A</v>
      </c>
      <c r="L278" s="82">
        <v>0.1</v>
      </c>
      <c r="M278" s="82" t="e">
        <v>#N/A</v>
      </c>
      <c r="N278" s="212">
        <v>0</v>
      </c>
      <c r="P278" s="209"/>
    </row>
    <row r="279" spans="1:16" x14ac:dyDescent="0.25">
      <c r="A279" s="87">
        <v>2</v>
      </c>
      <c r="B279" s="82" t="e">
        <v>#N/A</v>
      </c>
      <c r="C279" s="82" t="e">
        <v>#N/A</v>
      </c>
      <c r="D279" s="82" t="e">
        <v>#N/A</v>
      </c>
      <c r="E279" s="82" t="e">
        <v>#N/A</v>
      </c>
      <c r="F279" s="82" t="e">
        <v>#N/A</v>
      </c>
      <c r="G279" s="82" t="e">
        <v>#N/A</v>
      </c>
      <c r="H279" s="82" t="e">
        <v>#N/A</v>
      </c>
      <c r="I279" s="82" t="e">
        <v>#N/A</v>
      </c>
      <c r="J279" s="82" t="e">
        <v>#N/A</v>
      </c>
      <c r="K279" s="82" t="e">
        <v>#N/A</v>
      </c>
      <c r="L279" s="82">
        <v>0.1</v>
      </c>
      <c r="M279" s="82" t="e">
        <v>#N/A</v>
      </c>
      <c r="N279" s="212">
        <v>0</v>
      </c>
      <c r="P279" s="209" t="s">
        <v>966</v>
      </c>
    </row>
    <row r="280" spans="1:16" x14ac:dyDescent="0.25">
      <c r="A280" s="87">
        <v>3</v>
      </c>
      <c r="B280" s="82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/>
      <c r="N280" s="212"/>
      <c r="P280" s="209"/>
    </row>
    <row r="281" spans="1:16" x14ac:dyDescent="0.25">
      <c r="A281" s="87">
        <v>4</v>
      </c>
      <c r="B281" s="82"/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2"/>
      <c r="N281" s="212"/>
      <c r="P281" s="209"/>
    </row>
    <row r="282" spans="1:16" x14ac:dyDescent="0.25">
      <c r="A282" s="87">
        <v>5</v>
      </c>
      <c r="B282" s="82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/>
      <c r="N282" s="212"/>
      <c r="P282" s="209"/>
    </row>
    <row r="283" spans="1:16" x14ac:dyDescent="0.25">
      <c r="A283" s="87">
        <v>6</v>
      </c>
      <c r="B283" s="82"/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212"/>
      <c r="P283" s="209"/>
    </row>
    <row r="284" spans="1:16" x14ac:dyDescent="0.25">
      <c r="A284" s="87">
        <v>7</v>
      </c>
      <c r="B284" s="82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/>
      <c r="N284" s="212"/>
      <c r="P284" s="209"/>
    </row>
    <row r="285" spans="1:16" x14ac:dyDescent="0.25">
      <c r="A285" s="87">
        <v>8</v>
      </c>
      <c r="B285" s="82"/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2"/>
      <c r="N285" s="212"/>
      <c r="P285" s="209"/>
    </row>
    <row r="286" spans="1:16" x14ac:dyDescent="0.25">
      <c r="A286" s="87">
        <v>9</v>
      </c>
      <c r="B286" s="82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/>
      <c r="N286" s="212"/>
      <c r="P286" s="209"/>
    </row>
    <row r="287" spans="1:16" ht="13" thickBot="1" x14ac:dyDescent="0.3">
      <c r="A287" s="218">
        <v>10</v>
      </c>
      <c r="B287" s="104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213"/>
      <c r="P287" s="209"/>
    </row>
    <row r="288" spans="1:16" x14ac:dyDescent="0.25">
      <c r="A288" s="3"/>
      <c r="C288" s="3"/>
      <c r="D288" s="3"/>
      <c r="E288" s="3"/>
      <c r="F288" s="3"/>
      <c r="P288" s="209"/>
    </row>
    <row r="289" spans="1:16" ht="13" thickBot="1" x14ac:dyDescent="0.3">
      <c r="A289" s="3"/>
      <c r="C289" s="3"/>
      <c r="D289" s="3"/>
      <c r="E289" s="3"/>
      <c r="F289" s="3"/>
      <c r="P289" s="209"/>
    </row>
    <row r="290" spans="1:16" ht="13" x14ac:dyDescent="0.3">
      <c r="A290" s="74" t="s">
        <v>677</v>
      </c>
      <c r="B290" s="75"/>
      <c r="C290" s="76"/>
      <c r="D290" s="76"/>
      <c r="E290" s="76"/>
      <c r="F290" s="75"/>
      <c r="G290" s="75"/>
      <c r="H290" s="76"/>
      <c r="I290" s="76"/>
      <c r="J290" s="76"/>
      <c r="K290" s="76"/>
      <c r="L290" s="76"/>
      <c r="M290" s="76"/>
      <c r="N290" s="211">
        <v>17</v>
      </c>
      <c r="P290" s="209"/>
    </row>
    <row r="291" spans="1:16" ht="13" x14ac:dyDescent="0.3">
      <c r="A291" s="77" t="s">
        <v>672</v>
      </c>
      <c r="B291" s="41"/>
      <c r="C291" s="41" t="s">
        <v>673</v>
      </c>
      <c r="D291" s="46"/>
      <c r="E291" s="46"/>
      <c r="F291" s="78"/>
      <c r="G291" s="78"/>
      <c r="H291" s="46"/>
      <c r="I291" s="46"/>
      <c r="J291" s="46"/>
      <c r="K291" s="46"/>
      <c r="L291" s="46"/>
      <c r="M291" s="46"/>
      <c r="N291" s="79"/>
      <c r="P291" s="209"/>
    </row>
    <row r="292" spans="1:16" x14ac:dyDescent="0.25">
      <c r="A292" s="80" t="s">
        <v>858</v>
      </c>
      <c r="B292" s="46"/>
      <c r="C292" s="81">
        <v>36</v>
      </c>
      <c r="D292" s="46"/>
      <c r="E292" s="46"/>
      <c r="F292" s="78"/>
      <c r="G292" s="78"/>
      <c r="H292" s="46"/>
      <c r="I292" s="46"/>
      <c r="J292" s="46"/>
      <c r="K292" s="46"/>
      <c r="L292" s="46"/>
      <c r="M292" s="46"/>
      <c r="N292" s="79"/>
      <c r="P292" s="209">
        <v>290</v>
      </c>
    </row>
    <row r="293" spans="1:16" ht="13" x14ac:dyDescent="0.3">
      <c r="A293" s="77" t="s">
        <v>681</v>
      </c>
      <c r="B293" s="41" t="s">
        <v>680</v>
      </c>
      <c r="C293" s="41" t="s">
        <v>678</v>
      </c>
      <c r="D293" s="41" t="s">
        <v>695</v>
      </c>
      <c r="E293" s="41" t="s">
        <v>679</v>
      </c>
      <c r="F293" s="41" t="s">
        <v>1186</v>
      </c>
      <c r="G293" s="78"/>
      <c r="H293" s="46"/>
      <c r="I293" s="46"/>
      <c r="J293" s="46"/>
      <c r="K293" s="46"/>
      <c r="L293" s="46"/>
      <c r="M293" s="46"/>
      <c r="N293" s="79"/>
      <c r="P293" s="209"/>
    </row>
    <row r="294" spans="1:16" x14ac:dyDescent="0.25">
      <c r="A294" s="80">
        <v>2</v>
      </c>
      <c r="B294" s="78">
        <v>2</v>
      </c>
      <c r="C294" s="82" t="e">
        <v>#N/A</v>
      </c>
      <c r="D294" s="78">
        <v>75</v>
      </c>
      <c r="E294" s="78" t="e">
        <v>#N/A</v>
      </c>
      <c r="F294" s="78">
        <v>1</v>
      </c>
      <c r="G294" s="78"/>
      <c r="H294" s="46"/>
      <c r="I294" s="46"/>
      <c r="J294" s="46"/>
      <c r="K294" s="46"/>
      <c r="L294" s="46"/>
      <c r="M294" s="78" t="s">
        <v>65</v>
      </c>
      <c r="N294" s="83" t="s">
        <v>65</v>
      </c>
      <c r="P294" s="209"/>
    </row>
    <row r="295" spans="1:16" ht="13" x14ac:dyDescent="0.3">
      <c r="A295" s="84"/>
      <c r="B295" s="13"/>
      <c r="C295" s="78" t="s">
        <v>20</v>
      </c>
      <c r="D295" s="78" t="s">
        <v>20</v>
      </c>
      <c r="E295" s="78" t="s">
        <v>20</v>
      </c>
      <c r="F295" s="78"/>
      <c r="G295" s="78" t="s">
        <v>39</v>
      </c>
      <c r="H295" s="78" t="s">
        <v>39</v>
      </c>
      <c r="I295" s="78" t="s">
        <v>39</v>
      </c>
      <c r="J295" s="78" t="s">
        <v>63</v>
      </c>
      <c r="K295" s="78" t="s">
        <v>62</v>
      </c>
      <c r="L295" s="78" t="s">
        <v>39</v>
      </c>
      <c r="M295" s="78" t="s">
        <v>64</v>
      </c>
      <c r="N295" s="83" t="s">
        <v>64</v>
      </c>
      <c r="P295" s="209"/>
    </row>
    <row r="296" spans="1:16" ht="13" x14ac:dyDescent="0.3">
      <c r="A296" s="85" t="s">
        <v>32</v>
      </c>
      <c r="B296" s="5" t="s">
        <v>33</v>
      </c>
      <c r="C296" s="5" t="s">
        <v>34</v>
      </c>
      <c r="D296" s="5" t="s">
        <v>35</v>
      </c>
      <c r="E296" s="5" t="s">
        <v>814</v>
      </c>
      <c r="F296" s="5" t="s">
        <v>816</v>
      </c>
      <c r="G296" s="5" t="s">
        <v>815</v>
      </c>
      <c r="H296" s="5" t="s">
        <v>36</v>
      </c>
      <c r="I296" s="5" t="s">
        <v>66</v>
      </c>
      <c r="J296" s="5" t="s">
        <v>56</v>
      </c>
      <c r="K296" s="5" t="s">
        <v>57</v>
      </c>
      <c r="L296" s="5" t="s">
        <v>58</v>
      </c>
      <c r="M296" s="5" t="s">
        <v>59</v>
      </c>
      <c r="N296" s="86" t="s">
        <v>60</v>
      </c>
      <c r="P296" s="209"/>
    </row>
    <row r="297" spans="1:16" x14ac:dyDescent="0.25">
      <c r="A297" s="87">
        <v>1</v>
      </c>
      <c r="B297" s="82" t="e">
        <v>#N/A</v>
      </c>
      <c r="C297" s="82" t="e">
        <v>#N/A</v>
      </c>
      <c r="D297" s="82" t="e">
        <v>#N/A</v>
      </c>
      <c r="E297" s="82" t="e">
        <v>#N/A</v>
      </c>
      <c r="F297" s="82" t="e">
        <v>#N/A</v>
      </c>
      <c r="G297" s="82" t="e">
        <v>#N/A</v>
      </c>
      <c r="H297" s="82" t="e">
        <v>#N/A</v>
      </c>
      <c r="I297" s="82" t="e">
        <v>#N/A</v>
      </c>
      <c r="J297" s="82" t="e">
        <v>#N/A</v>
      </c>
      <c r="K297" s="82" t="e">
        <v>#N/A</v>
      </c>
      <c r="L297" s="82">
        <v>0.1</v>
      </c>
      <c r="M297" s="82" t="e">
        <v>#N/A</v>
      </c>
      <c r="N297" s="212">
        <v>0</v>
      </c>
      <c r="P297" s="209"/>
    </row>
    <row r="298" spans="1:16" x14ac:dyDescent="0.25">
      <c r="A298" s="87">
        <v>2</v>
      </c>
      <c r="B298" s="82" t="e">
        <v>#N/A</v>
      </c>
      <c r="C298" s="82" t="e">
        <v>#N/A</v>
      </c>
      <c r="D298" s="82" t="e">
        <v>#N/A</v>
      </c>
      <c r="E298" s="82" t="e">
        <v>#N/A</v>
      </c>
      <c r="F298" s="82" t="e">
        <v>#N/A</v>
      </c>
      <c r="G298" s="82" t="e">
        <v>#N/A</v>
      </c>
      <c r="H298" s="82" t="e">
        <v>#N/A</v>
      </c>
      <c r="I298" s="82" t="e">
        <v>#N/A</v>
      </c>
      <c r="J298" s="82" t="e">
        <v>#N/A</v>
      </c>
      <c r="K298" s="82" t="e">
        <v>#N/A</v>
      </c>
      <c r="L298" s="82">
        <v>0.1</v>
      </c>
      <c r="M298" s="82" t="e">
        <v>#N/A</v>
      </c>
      <c r="N298" s="212">
        <v>0</v>
      </c>
      <c r="P298" s="209" t="s">
        <v>966</v>
      </c>
    </row>
    <row r="299" spans="1:16" x14ac:dyDescent="0.25">
      <c r="A299" s="87">
        <v>3</v>
      </c>
      <c r="B299" s="82"/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2"/>
      <c r="N299" s="212"/>
      <c r="P299" s="209"/>
    </row>
    <row r="300" spans="1:16" x14ac:dyDescent="0.25">
      <c r="A300" s="87">
        <v>4</v>
      </c>
      <c r="B300" s="82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/>
      <c r="N300" s="212"/>
      <c r="P300" s="209"/>
    </row>
    <row r="301" spans="1:16" x14ac:dyDescent="0.25">
      <c r="A301" s="87">
        <v>5</v>
      </c>
      <c r="B301" s="82"/>
      <c r="C301" s="82"/>
      <c r="D301" s="82"/>
      <c r="E301" s="82"/>
      <c r="F301" s="82"/>
      <c r="G301" s="82"/>
      <c r="H301" s="82"/>
      <c r="I301" s="82"/>
      <c r="J301" s="82"/>
      <c r="K301" s="82"/>
      <c r="L301" s="82"/>
      <c r="M301" s="82"/>
      <c r="N301" s="212"/>
      <c r="P301" s="209"/>
    </row>
    <row r="302" spans="1:16" x14ac:dyDescent="0.25">
      <c r="A302" s="87">
        <v>6</v>
      </c>
      <c r="B302" s="82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2"/>
      <c r="N302" s="212"/>
      <c r="P302" s="209"/>
    </row>
    <row r="303" spans="1:16" x14ac:dyDescent="0.25">
      <c r="A303" s="87">
        <v>7</v>
      </c>
      <c r="B303" s="82"/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2"/>
      <c r="N303" s="212"/>
      <c r="P303" s="209"/>
    </row>
    <row r="304" spans="1:16" x14ac:dyDescent="0.25">
      <c r="A304" s="87">
        <v>8</v>
      </c>
      <c r="B304" s="82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212"/>
      <c r="P304" s="209"/>
    </row>
    <row r="305" spans="1:16" x14ac:dyDescent="0.25">
      <c r="A305" s="87">
        <v>9</v>
      </c>
      <c r="B305" s="82"/>
      <c r="C305" s="82"/>
      <c r="D305" s="82"/>
      <c r="E305" s="82"/>
      <c r="F305" s="82"/>
      <c r="G305" s="82"/>
      <c r="H305" s="82"/>
      <c r="I305" s="82"/>
      <c r="J305" s="82"/>
      <c r="K305" s="82"/>
      <c r="L305" s="82"/>
      <c r="M305" s="82"/>
      <c r="N305" s="212"/>
      <c r="P305" s="209"/>
    </row>
    <row r="306" spans="1:16" ht="13" thickBot="1" x14ac:dyDescent="0.3">
      <c r="A306" s="218">
        <v>10</v>
      </c>
      <c r="B306" s="104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213"/>
      <c r="P306" s="209"/>
    </row>
    <row r="307" spans="1:16" x14ac:dyDescent="0.25">
      <c r="A307" s="3"/>
      <c r="C307" s="3"/>
      <c r="D307" s="3"/>
      <c r="E307" s="3"/>
      <c r="F307" s="3"/>
      <c r="P307" s="209"/>
    </row>
    <row r="308" spans="1:16" ht="13" thickBot="1" x14ac:dyDescent="0.3">
      <c r="A308" s="3"/>
      <c r="C308" s="3"/>
      <c r="D308" s="3"/>
      <c r="E308" s="3"/>
      <c r="F308" s="3"/>
      <c r="P308" s="209"/>
    </row>
    <row r="309" spans="1:16" ht="13" x14ac:dyDescent="0.3">
      <c r="A309" s="74" t="s">
        <v>677</v>
      </c>
      <c r="B309" s="75"/>
      <c r="C309" s="76"/>
      <c r="D309" s="76"/>
      <c r="E309" s="76"/>
      <c r="F309" s="75"/>
      <c r="G309" s="75"/>
      <c r="H309" s="76"/>
      <c r="I309" s="76"/>
      <c r="J309" s="76"/>
      <c r="K309" s="76"/>
      <c r="L309" s="76"/>
      <c r="M309" s="76"/>
      <c r="N309" s="211">
        <v>18</v>
      </c>
      <c r="P309" s="209"/>
    </row>
    <row r="310" spans="1:16" ht="13" x14ac:dyDescent="0.3">
      <c r="A310" s="77" t="s">
        <v>672</v>
      </c>
      <c r="B310" s="41"/>
      <c r="C310" s="41" t="s">
        <v>673</v>
      </c>
      <c r="D310" s="46"/>
      <c r="E310" s="46"/>
      <c r="F310" s="78"/>
      <c r="G310" s="78"/>
      <c r="H310" s="46"/>
      <c r="I310" s="46"/>
      <c r="J310" s="46"/>
      <c r="K310" s="46"/>
      <c r="L310" s="46"/>
      <c r="M310" s="46"/>
      <c r="N310" s="79"/>
      <c r="P310" s="209"/>
    </row>
    <row r="311" spans="1:16" x14ac:dyDescent="0.25">
      <c r="A311" s="80" t="s">
        <v>860</v>
      </c>
      <c r="B311" s="46"/>
      <c r="C311" s="81">
        <v>1316</v>
      </c>
      <c r="D311" s="46"/>
      <c r="E311" s="46"/>
      <c r="F311" s="78"/>
      <c r="G311" s="78"/>
      <c r="H311" s="46"/>
      <c r="I311" s="46"/>
      <c r="J311" s="46"/>
      <c r="K311" s="46"/>
      <c r="L311" s="46"/>
      <c r="M311" s="46"/>
      <c r="N311" s="79"/>
      <c r="P311" s="209">
        <v>309</v>
      </c>
    </row>
    <row r="312" spans="1:16" ht="13" x14ac:dyDescent="0.3">
      <c r="A312" s="77" t="s">
        <v>681</v>
      </c>
      <c r="B312" s="41" t="s">
        <v>680</v>
      </c>
      <c r="C312" s="41" t="s">
        <v>678</v>
      </c>
      <c r="D312" s="41" t="s">
        <v>695</v>
      </c>
      <c r="E312" s="41" t="s">
        <v>679</v>
      </c>
      <c r="F312" s="41" t="s">
        <v>1186</v>
      </c>
      <c r="G312" s="78"/>
      <c r="H312" s="46"/>
      <c r="I312" s="46"/>
      <c r="J312" s="46"/>
      <c r="K312" s="46"/>
      <c r="L312" s="46"/>
      <c r="M312" s="46"/>
      <c r="N312" s="79"/>
      <c r="P312" s="209"/>
    </row>
    <row r="313" spans="1:16" x14ac:dyDescent="0.25">
      <c r="A313" s="80">
        <v>2</v>
      </c>
      <c r="B313" s="78">
        <v>2</v>
      </c>
      <c r="C313" s="82">
        <v>0.12</v>
      </c>
      <c r="D313" s="78">
        <v>74</v>
      </c>
      <c r="E313" s="78">
        <v>81</v>
      </c>
      <c r="F313" s="78">
        <v>1</v>
      </c>
      <c r="G313" s="78"/>
      <c r="H313" s="46"/>
      <c r="I313" s="46"/>
      <c r="J313" s="46"/>
      <c r="K313" s="46"/>
      <c r="L313" s="46"/>
      <c r="M313" s="78" t="s">
        <v>65</v>
      </c>
      <c r="N313" s="83" t="s">
        <v>65</v>
      </c>
      <c r="P313" s="209"/>
    </row>
    <row r="314" spans="1:16" ht="13" x14ac:dyDescent="0.3">
      <c r="A314" s="84"/>
      <c r="B314" s="13"/>
      <c r="C314" s="78" t="s">
        <v>20</v>
      </c>
      <c r="D314" s="78" t="s">
        <v>20</v>
      </c>
      <c r="E314" s="78" t="s">
        <v>20</v>
      </c>
      <c r="F314" s="78"/>
      <c r="G314" s="78" t="s">
        <v>39</v>
      </c>
      <c r="H314" s="78" t="s">
        <v>39</v>
      </c>
      <c r="I314" s="78" t="s">
        <v>39</v>
      </c>
      <c r="J314" s="78" t="s">
        <v>63</v>
      </c>
      <c r="K314" s="78" t="s">
        <v>62</v>
      </c>
      <c r="L314" s="78" t="s">
        <v>39</v>
      </c>
      <c r="M314" s="78" t="s">
        <v>64</v>
      </c>
      <c r="N314" s="83" t="s">
        <v>64</v>
      </c>
      <c r="P314" s="209"/>
    </row>
    <row r="315" spans="1:16" ht="13" x14ac:dyDescent="0.3">
      <c r="A315" s="85" t="s">
        <v>32</v>
      </c>
      <c r="B315" s="5" t="s">
        <v>33</v>
      </c>
      <c r="C315" s="5" t="s">
        <v>34</v>
      </c>
      <c r="D315" s="5" t="s">
        <v>35</v>
      </c>
      <c r="E315" s="5" t="s">
        <v>814</v>
      </c>
      <c r="F315" s="5" t="s">
        <v>816</v>
      </c>
      <c r="G315" s="5" t="s">
        <v>815</v>
      </c>
      <c r="H315" s="5" t="s">
        <v>36</v>
      </c>
      <c r="I315" s="5" t="s">
        <v>66</v>
      </c>
      <c r="J315" s="5" t="s">
        <v>56</v>
      </c>
      <c r="K315" s="5" t="s">
        <v>57</v>
      </c>
      <c r="L315" s="5" t="s">
        <v>58</v>
      </c>
      <c r="M315" s="5" t="s">
        <v>59</v>
      </c>
      <c r="N315" s="86" t="s">
        <v>60</v>
      </c>
      <c r="P315" s="209"/>
    </row>
    <row r="316" spans="1:16" x14ac:dyDescent="0.25">
      <c r="A316" s="87">
        <v>1</v>
      </c>
      <c r="B316" s="82">
        <v>100</v>
      </c>
      <c r="C316" s="82">
        <v>0.45600000000000002</v>
      </c>
      <c r="D316" s="82">
        <v>0.221</v>
      </c>
      <c r="E316" s="82">
        <v>0.09</v>
      </c>
      <c r="F316" s="82">
        <v>0.03</v>
      </c>
      <c r="G316" s="82">
        <v>0.1162</v>
      </c>
      <c r="H316" s="82">
        <v>0.3</v>
      </c>
      <c r="I316" s="82">
        <v>0.26</v>
      </c>
      <c r="J316" s="82">
        <v>1.39</v>
      </c>
      <c r="K316" s="82">
        <v>0.12039999999999998</v>
      </c>
      <c r="L316" s="82">
        <v>0.1</v>
      </c>
      <c r="M316" s="82">
        <v>106.20075368276807</v>
      </c>
      <c r="N316" s="212">
        <v>0</v>
      </c>
      <c r="P316" s="209"/>
    </row>
    <row r="317" spans="1:16" x14ac:dyDescent="0.25">
      <c r="A317" s="87">
        <v>2</v>
      </c>
      <c r="B317" s="82">
        <v>0</v>
      </c>
      <c r="C317" s="82" t="s">
        <v>39</v>
      </c>
      <c r="D317" s="82" t="s">
        <v>39</v>
      </c>
      <c r="E317" s="82" t="s">
        <v>39</v>
      </c>
      <c r="F317" s="82" t="e">
        <v>#VALUE!</v>
      </c>
      <c r="G317" s="82" t="e">
        <v>#VALUE!</v>
      </c>
      <c r="H317" s="82" t="s">
        <v>39</v>
      </c>
      <c r="I317" s="82" t="e">
        <v>#VALUE!</v>
      </c>
      <c r="J317" s="82" t="s">
        <v>39</v>
      </c>
      <c r="K317" s="82" t="s">
        <v>39</v>
      </c>
      <c r="L317" s="82">
        <v>0.1</v>
      </c>
      <c r="M317" s="82" t="e">
        <v>#VALUE!</v>
      </c>
      <c r="N317" s="212">
        <v>0</v>
      </c>
      <c r="P317" s="209" t="s">
        <v>966</v>
      </c>
    </row>
    <row r="318" spans="1:16" x14ac:dyDescent="0.25">
      <c r="A318" s="87">
        <v>3</v>
      </c>
      <c r="B318" s="82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2"/>
      <c r="N318" s="212"/>
      <c r="P318" s="209"/>
    </row>
    <row r="319" spans="1:16" x14ac:dyDescent="0.25">
      <c r="A319" s="87">
        <v>4</v>
      </c>
      <c r="B319" s="82"/>
      <c r="C319" s="82"/>
      <c r="D319" s="82"/>
      <c r="E319" s="82"/>
      <c r="F319" s="82"/>
      <c r="G319" s="82"/>
      <c r="H319" s="82"/>
      <c r="I319" s="82"/>
      <c r="J319" s="82"/>
      <c r="K319" s="82"/>
      <c r="L319" s="82"/>
      <c r="M319" s="82"/>
      <c r="N319" s="212"/>
      <c r="P319" s="209"/>
    </row>
    <row r="320" spans="1:16" x14ac:dyDescent="0.25">
      <c r="A320" s="87">
        <v>5</v>
      </c>
      <c r="B320" s="82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2"/>
      <c r="N320" s="212"/>
      <c r="P320" s="209"/>
    </row>
    <row r="321" spans="1:16" x14ac:dyDescent="0.25">
      <c r="A321" s="87">
        <v>6</v>
      </c>
      <c r="B321" s="82"/>
      <c r="C321" s="82"/>
      <c r="D321" s="82"/>
      <c r="E321" s="82"/>
      <c r="F321" s="82"/>
      <c r="G321" s="82"/>
      <c r="H321" s="82"/>
      <c r="I321" s="82"/>
      <c r="J321" s="82"/>
      <c r="K321" s="82"/>
      <c r="L321" s="82"/>
      <c r="M321" s="82"/>
      <c r="N321" s="212"/>
      <c r="P321" s="209"/>
    </row>
    <row r="322" spans="1:16" x14ac:dyDescent="0.25">
      <c r="A322" s="87">
        <v>7</v>
      </c>
      <c r="B322" s="82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2"/>
      <c r="N322" s="212"/>
      <c r="P322" s="209"/>
    </row>
    <row r="323" spans="1:16" x14ac:dyDescent="0.25">
      <c r="A323" s="87">
        <v>8</v>
      </c>
      <c r="B323" s="82"/>
      <c r="C323" s="82"/>
      <c r="D323" s="82"/>
      <c r="E323" s="82"/>
      <c r="F323" s="82"/>
      <c r="G323" s="82"/>
      <c r="H323" s="82"/>
      <c r="I323" s="82"/>
      <c r="J323" s="82"/>
      <c r="K323" s="82"/>
      <c r="L323" s="82"/>
      <c r="M323" s="82"/>
      <c r="N323" s="212"/>
      <c r="P323" s="209"/>
    </row>
    <row r="324" spans="1:16" x14ac:dyDescent="0.25">
      <c r="A324" s="87">
        <v>9</v>
      </c>
      <c r="B324" s="82"/>
      <c r="C324" s="82"/>
      <c r="D324" s="82"/>
      <c r="E324" s="82"/>
      <c r="F324" s="82"/>
      <c r="G324" s="82"/>
      <c r="H324" s="82"/>
      <c r="I324" s="82"/>
      <c r="J324" s="82"/>
      <c r="K324" s="82"/>
      <c r="L324" s="82"/>
      <c r="M324" s="82"/>
      <c r="N324" s="212"/>
      <c r="P324" s="209"/>
    </row>
    <row r="325" spans="1:16" ht="13" thickBot="1" x14ac:dyDescent="0.3">
      <c r="A325" s="218">
        <v>10</v>
      </c>
      <c r="B325" s="104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213"/>
      <c r="P325" s="209"/>
    </row>
    <row r="326" spans="1:16" x14ac:dyDescent="0.25">
      <c r="A326" s="3"/>
      <c r="C326" s="3"/>
      <c r="D326" s="3"/>
      <c r="E326" s="3"/>
      <c r="F326" s="3"/>
      <c r="P326" s="209"/>
    </row>
    <row r="327" spans="1:16" ht="13" thickBot="1" x14ac:dyDescent="0.3">
      <c r="A327" s="3"/>
      <c r="C327" s="3"/>
      <c r="D327" s="3"/>
      <c r="E327" s="3"/>
      <c r="F327" s="3"/>
      <c r="P327" s="209"/>
    </row>
    <row r="328" spans="1:16" ht="13" x14ac:dyDescent="0.3">
      <c r="A328" s="74" t="s">
        <v>677</v>
      </c>
      <c r="B328" s="75"/>
      <c r="C328" s="76"/>
      <c r="D328" s="76"/>
      <c r="E328" s="76"/>
      <c r="F328" s="75"/>
      <c r="G328" s="75"/>
      <c r="H328" s="76"/>
      <c r="I328" s="76"/>
      <c r="J328" s="76"/>
      <c r="K328" s="76"/>
      <c r="L328" s="76"/>
      <c r="M328" s="76"/>
      <c r="N328" s="211">
        <v>19</v>
      </c>
      <c r="P328" s="209"/>
    </row>
    <row r="329" spans="1:16" ht="13" x14ac:dyDescent="0.3">
      <c r="A329" s="77" t="s">
        <v>672</v>
      </c>
      <c r="B329" s="41"/>
      <c r="C329" s="41" t="s">
        <v>673</v>
      </c>
      <c r="D329" s="46"/>
      <c r="E329" s="46"/>
      <c r="F329" s="78"/>
      <c r="G329" s="78"/>
      <c r="H329" s="46"/>
      <c r="I329" s="46"/>
      <c r="J329" s="46"/>
      <c r="K329" s="46"/>
      <c r="L329" s="46"/>
      <c r="M329" s="46"/>
      <c r="N329" s="79"/>
      <c r="P329" s="209"/>
    </row>
    <row r="330" spans="1:16" x14ac:dyDescent="0.25">
      <c r="A330" s="80" t="s">
        <v>862</v>
      </c>
      <c r="B330" s="46"/>
      <c r="C330" s="81">
        <v>1316</v>
      </c>
      <c r="D330" s="46"/>
      <c r="E330" s="46"/>
      <c r="F330" s="78"/>
      <c r="G330" s="78"/>
      <c r="H330" s="46"/>
      <c r="I330" s="46"/>
      <c r="J330" s="46"/>
      <c r="K330" s="46"/>
      <c r="L330" s="46"/>
      <c r="M330" s="46"/>
      <c r="N330" s="79"/>
      <c r="P330" s="209">
        <v>328</v>
      </c>
    </row>
    <row r="331" spans="1:16" ht="13" x14ac:dyDescent="0.3">
      <c r="A331" s="77" t="s">
        <v>681</v>
      </c>
      <c r="B331" s="41" t="s">
        <v>680</v>
      </c>
      <c r="C331" s="41" t="s">
        <v>678</v>
      </c>
      <c r="D331" s="41" t="s">
        <v>695</v>
      </c>
      <c r="E331" s="41" t="s">
        <v>679</v>
      </c>
      <c r="F331" s="41" t="s">
        <v>1186</v>
      </c>
      <c r="G331" s="78"/>
      <c r="H331" s="46"/>
      <c r="I331" s="46"/>
      <c r="J331" s="46"/>
      <c r="K331" s="46"/>
      <c r="L331" s="46"/>
      <c r="M331" s="46"/>
      <c r="N331" s="79"/>
      <c r="P331" s="209"/>
    </row>
    <row r="332" spans="1:16" x14ac:dyDescent="0.25">
      <c r="A332" s="80">
        <v>2</v>
      </c>
      <c r="B332" s="78">
        <v>2</v>
      </c>
      <c r="C332" s="82">
        <v>0.12</v>
      </c>
      <c r="D332" s="78">
        <v>73</v>
      </c>
      <c r="E332" s="78">
        <v>81</v>
      </c>
      <c r="F332" s="78">
        <v>1</v>
      </c>
      <c r="G332" s="78"/>
      <c r="H332" s="46"/>
      <c r="I332" s="46"/>
      <c r="J332" s="46"/>
      <c r="K332" s="46"/>
      <c r="L332" s="46"/>
      <c r="M332" s="78" t="s">
        <v>65</v>
      </c>
      <c r="N332" s="83" t="s">
        <v>65</v>
      </c>
      <c r="P332" s="209"/>
    </row>
    <row r="333" spans="1:16" ht="13" x14ac:dyDescent="0.3">
      <c r="A333" s="84"/>
      <c r="B333" s="13"/>
      <c r="C333" s="78" t="s">
        <v>20</v>
      </c>
      <c r="D333" s="78" t="s">
        <v>20</v>
      </c>
      <c r="E333" s="78" t="s">
        <v>20</v>
      </c>
      <c r="F333" s="78"/>
      <c r="G333" s="78" t="s">
        <v>39</v>
      </c>
      <c r="H333" s="78" t="s">
        <v>39</v>
      </c>
      <c r="I333" s="78" t="s">
        <v>39</v>
      </c>
      <c r="J333" s="78" t="s">
        <v>63</v>
      </c>
      <c r="K333" s="78" t="s">
        <v>62</v>
      </c>
      <c r="L333" s="78" t="s">
        <v>39</v>
      </c>
      <c r="M333" s="78" t="s">
        <v>64</v>
      </c>
      <c r="N333" s="83" t="s">
        <v>64</v>
      </c>
      <c r="P333" s="209"/>
    </row>
    <row r="334" spans="1:16" ht="13" x14ac:dyDescent="0.3">
      <c r="A334" s="85" t="s">
        <v>32</v>
      </c>
      <c r="B334" s="5" t="s">
        <v>33</v>
      </c>
      <c r="C334" s="5" t="s">
        <v>34</v>
      </c>
      <c r="D334" s="5" t="s">
        <v>35</v>
      </c>
      <c r="E334" s="5" t="s">
        <v>814</v>
      </c>
      <c r="F334" s="5" t="s">
        <v>816</v>
      </c>
      <c r="G334" s="5" t="s">
        <v>815</v>
      </c>
      <c r="H334" s="5" t="s">
        <v>36</v>
      </c>
      <c r="I334" s="5" t="s">
        <v>66</v>
      </c>
      <c r="J334" s="5" t="s">
        <v>56</v>
      </c>
      <c r="K334" s="5" t="s">
        <v>57</v>
      </c>
      <c r="L334" s="5" t="s">
        <v>58</v>
      </c>
      <c r="M334" s="5" t="s">
        <v>59</v>
      </c>
      <c r="N334" s="86" t="s">
        <v>60</v>
      </c>
      <c r="P334" s="209"/>
    </row>
    <row r="335" spans="1:16" x14ac:dyDescent="0.25">
      <c r="A335" s="87">
        <v>1</v>
      </c>
      <c r="B335" s="82">
        <v>100</v>
      </c>
      <c r="C335" s="82">
        <v>0.45600000000000002</v>
      </c>
      <c r="D335" s="82">
        <v>0.221</v>
      </c>
      <c r="E335" s="82">
        <v>0.09</v>
      </c>
      <c r="F335" s="82">
        <v>0.03</v>
      </c>
      <c r="G335" s="82">
        <v>0.1162</v>
      </c>
      <c r="H335" s="82">
        <v>0.3</v>
      </c>
      <c r="I335" s="82">
        <v>0.26</v>
      </c>
      <c r="J335" s="82">
        <v>1.39</v>
      </c>
      <c r="K335" s="82">
        <v>0.12039999999999998</v>
      </c>
      <c r="L335" s="82">
        <v>0.1</v>
      </c>
      <c r="M335" s="82">
        <v>106.20075368276807</v>
      </c>
      <c r="N335" s="212">
        <v>0</v>
      </c>
      <c r="P335" s="209"/>
    </row>
    <row r="336" spans="1:16" x14ac:dyDescent="0.25">
      <c r="A336" s="87">
        <v>2</v>
      </c>
      <c r="B336" s="82">
        <v>0</v>
      </c>
      <c r="C336" s="82" t="s">
        <v>39</v>
      </c>
      <c r="D336" s="82" t="s">
        <v>39</v>
      </c>
      <c r="E336" s="82" t="s">
        <v>39</v>
      </c>
      <c r="F336" s="82" t="e">
        <v>#VALUE!</v>
      </c>
      <c r="G336" s="82" t="e">
        <v>#VALUE!</v>
      </c>
      <c r="H336" s="82" t="s">
        <v>39</v>
      </c>
      <c r="I336" s="82" t="e">
        <v>#VALUE!</v>
      </c>
      <c r="J336" s="82" t="s">
        <v>39</v>
      </c>
      <c r="K336" s="82" t="s">
        <v>39</v>
      </c>
      <c r="L336" s="82">
        <v>0.1</v>
      </c>
      <c r="M336" s="82" t="e">
        <v>#VALUE!</v>
      </c>
      <c r="N336" s="212">
        <v>0</v>
      </c>
      <c r="P336" s="209" t="s">
        <v>966</v>
      </c>
    </row>
    <row r="337" spans="1:16" x14ac:dyDescent="0.25">
      <c r="A337" s="87">
        <v>3</v>
      </c>
      <c r="B337" s="82"/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2"/>
      <c r="N337" s="212"/>
      <c r="P337" s="209"/>
    </row>
    <row r="338" spans="1:16" x14ac:dyDescent="0.25">
      <c r="A338" s="87">
        <v>4</v>
      </c>
      <c r="B338" s="82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/>
      <c r="N338" s="212"/>
      <c r="P338" s="209"/>
    </row>
    <row r="339" spans="1:16" x14ac:dyDescent="0.25">
      <c r="A339" s="87">
        <v>5</v>
      </c>
      <c r="B339" s="82"/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2"/>
      <c r="N339" s="212"/>
      <c r="P339" s="209"/>
    </row>
    <row r="340" spans="1:16" x14ac:dyDescent="0.25">
      <c r="A340" s="87">
        <v>6</v>
      </c>
      <c r="B340" s="82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/>
      <c r="N340" s="212"/>
      <c r="P340" s="209"/>
    </row>
    <row r="341" spans="1:16" x14ac:dyDescent="0.25">
      <c r="A341" s="87">
        <v>7</v>
      </c>
      <c r="B341" s="82"/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2"/>
      <c r="N341" s="212"/>
      <c r="P341" s="209"/>
    </row>
    <row r="342" spans="1:16" x14ac:dyDescent="0.25">
      <c r="A342" s="87">
        <v>8</v>
      </c>
      <c r="B342" s="82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/>
      <c r="N342" s="212"/>
      <c r="P342" s="209"/>
    </row>
    <row r="343" spans="1:16" x14ac:dyDescent="0.25">
      <c r="A343" s="87">
        <v>9</v>
      </c>
      <c r="B343" s="82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2"/>
      <c r="N343" s="212"/>
      <c r="P343" s="209"/>
    </row>
    <row r="344" spans="1:16" ht="13" thickBot="1" x14ac:dyDescent="0.3">
      <c r="A344" s="218">
        <v>10</v>
      </c>
      <c r="B344" s="104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213"/>
      <c r="P344" s="209"/>
    </row>
    <row r="345" spans="1:16" x14ac:dyDescent="0.25">
      <c r="A345" s="3"/>
      <c r="C345" s="3"/>
      <c r="D345" s="3"/>
      <c r="E345" s="3"/>
      <c r="F345" s="3"/>
      <c r="P345" s="209"/>
    </row>
    <row r="346" spans="1:16" ht="13" thickBot="1" x14ac:dyDescent="0.3">
      <c r="A346" s="3"/>
      <c r="C346" s="3"/>
      <c r="D346" s="3"/>
      <c r="E346" s="3"/>
      <c r="F346" s="3"/>
      <c r="P346" s="209"/>
    </row>
    <row r="347" spans="1:16" ht="13" x14ac:dyDescent="0.3">
      <c r="A347" s="74" t="s">
        <v>677</v>
      </c>
      <c r="B347" s="75"/>
      <c r="C347" s="76"/>
      <c r="D347" s="76"/>
      <c r="E347" s="76"/>
      <c r="F347" s="75"/>
      <c r="G347" s="75"/>
      <c r="H347" s="76"/>
      <c r="I347" s="76"/>
      <c r="J347" s="76"/>
      <c r="K347" s="76"/>
      <c r="L347" s="76"/>
      <c r="M347" s="76"/>
      <c r="N347" s="211">
        <v>20</v>
      </c>
      <c r="P347" s="209"/>
    </row>
    <row r="348" spans="1:16" ht="13" x14ac:dyDescent="0.3">
      <c r="A348" s="77" t="s">
        <v>672</v>
      </c>
      <c r="B348" s="41"/>
      <c r="C348" s="41" t="s">
        <v>673</v>
      </c>
      <c r="D348" s="46"/>
      <c r="E348" s="46"/>
      <c r="F348" s="78"/>
      <c r="G348" s="78"/>
      <c r="H348" s="46"/>
      <c r="I348" s="46"/>
      <c r="J348" s="46"/>
      <c r="K348" s="46"/>
      <c r="L348" s="46"/>
      <c r="M348" s="46"/>
      <c r="N348" s="79"/>
      <c r="P348" s="209"/>
    </row>
    <row r="349" spans="1:16" x14ac:dyDescent="0.25">
      <c r="A349" s="80" t="s">
        <v>864</v>
      </c>
      <c r="B349" s="46"/>
      <c r="C349" s="81">
        <v>1844</v>
      </c>
      <c r="D349" s="46"/>
      <c r="E349" s="46"/>
      <c r="F349" s="78"/>
      <c r="G349" s="78"/>
      <c r="H349" s="46"/>
      <c r="I349" s="46"/>
      <c r="J349" s="46"/>
      <c r="K349" s="46"/>
      <c r="L349" s="46"/>
      <c r="M349" s="46"/>
      <c r="N349" s="79"/>
      <c r="P349" s="209">
        <v>347</v>
      </c>
    </row>
    <row r="350" spans="1:16" ht="13" x14ac:dyDescent="0.3">
      <c r="A350" s="77" t="s">
        <v>681</v>
      </c>
      <c r="B350" s="41" t="s">
        <v>680</v>
      </c>
      <c r="C350" s="41" t="s">
        <v>678</v>
      </c>
      <c r="D350" s="41" t="s">
        <v>695</v>
      </c>
      <c r="E350" s="41" t="s">
        <v>679</v>
      </c>
      <c r="F350" s="41" t="s">
        <v>1186</v>
      </c>
      <c r="G350" s="78"/>
      <c r="H350" s="46"/>
      <c r="I350" s="46"/>
      <c r="J350" s="46"/>
      <c r="K350" s="46"/>
      <c r="L350" s="46"/>
      <c r="M350" s="46"/>
      <c r="N350" s="79"/>
      <c r="P350" s="209"/>
    </row>
    <row r="351" spans="1:16" x14ac:dyDescent="0.25">
      <c r="A351" s="80">
        <v>2</v>
      </c>
      <c r="B351" s="78">
        <v>2</v>
      </c>
      <c r="C351" s="82">
        <v>0.12</v>
      </c>
      <c r="D351" s="78">
        <v>72</v>
      </c>
      <c r="E351" s="78">
        <v>81</v>
      </c>
      <c r="F351" s="78">
        <v>1</v>
      </c>
      <c r="G351" s="78"/>
      <c r="H351" s="46"/>
      <c r="I351" s="46"/>
      <c r="J351" s="46"/>
      <c r="K351" s="46"/>
      <c r="L351" s="46"/>
      <c r="M351" s="78" t="s">
        <v>65</v>
      </c>
      <c r="N351" s="83" t="s">
        <v>65</v>
      </c>
      <c r="P351" s="209"/>
    </row>
    <row r="352" spans="1:16" ht="13" x14ac:dyDescent="0.3">
      <c r="A352" s="84"/>
      <c r="B352" s="13"/>
      <c r="C352" s="78" t="s">
        <v>20</v>
      </c>
      <c r="D352" s="78" t="s">
        <v>20</v>
      </c>
      <c r="E352" s="78" t="s">
        <v>20</v>
      </c>
      <c r="F352" s="78"/>
      <c r="G352" s="78" t="s">
        <v>39</v>
      </c>
      <c r="H352" s="78" t="s">
        <v>39</v>
      </c>
      <c r="I352" s="78" t="s">
        <v>39</v>
      </c>
      <c r="J352" s="78" t="s">
        <v>63</v>
      </c>
      <c r="K352" s="78" t="s">
        <v>62</v>
      </c>
      <c r="L352" s="78" t="s">
        <v>39</v>
      </c>
      <c r="M352" s="78" t="s">
        <v>64</v>
      </c>
      <c r="N352" s="83" t="s">
        <v>64</v>
      </c>
      <c r="P352" s="209"/>
    </row>
    <row r="353" spans="1:16" ht="13" x14ac:dyDescent="0.3">
      <c r="A353" s="85" t="s">
        <v>32</v>
      </c>
      <c r="B353" s="5" t="s">
        <v>33</v>
      </c>
      <c r="C353" s="5" t="s">
        <v>34</v>
      </c>
      <c r="D353" s="5" t="s">
        <v>35</v>
      </c>
      <c r="E353" s="5" t="s">
        <v>814</v>
      </c>
      <c r="F353" s="5" t="s">
        <v>816</v>
      </c>
      <c r="G353" s="5" t="s">
        <v>815</v>
      </c>
      <c r="H353" s="5" t="s">
        <v>36</v>
      </c>
      <c r="I353" s="5" t="s">
        <v>66</v>
      </c>
      <c r="J353" s="5" t="s">
        <v>56</v>
      </c>
      <c r="K353" s="5" t="s">
        <v>57</v>
      </c>
      <c r="L353" s="5" t="s">
        <v>58</v>
      </c>
      <c r="M353" s="5" t="s">
        <v>59</v>
      </c>
      <c r="N353" s="86" t="s">
        <v>60</v>
      </c>
      <c r="P353" s="209"/>
    </row>
    <row r="354" spans="1:16" x14ac:dyDescent="0.25">
      <c r="A354" s="87">
        <v>1</v>
      </c>
      <c r="B354" s="82">
        <v>300</v>
      </c>
      <c r="C354" s="82">
        <v>0.39600000000000002</v>
      </c>
      <c r="D354" s="82">
        <v>0.254</v>
      </c>
      <c r="E354" s="82">
        <v>0.122</v>
      </c>
      <c r="F354" s="82">
        <v>4.0666666666666663E-2</v>
      </c>
      <c r="G354" s="82">
        <v>0.1484</v>
      </c>
      <c r="H354" s="82">
        <v>0.3</v>
      </c>
      <c r="I354" s="82">
        <v>0.2</v>
      </c>
      <c r="J354" s="82">
        <v>1.38</v>
      </c>
      <c r="K354" s="82">
        <v>3.1819999999999994E-2</v>
      </c>
      <c r="L354" s="82">
        <v>0.1</v>
      </c>
      <c r="M354" s="82">
        <v>35.656774787209571</v>
      </c>
      <c r="N354" s="212">
        <v>0</v>
      </c>
      <c r="P354" s="209"/>
    </row>
    <row r="355" spans="1:16" x14ac:dyDescent="0.25">
      <c r="A355" s="87">
        <v>2</v>
      </c>
      <c r="B355" s="82">
        <v>700</v>
      </c>
      <c r="C355" s="82">
        <v>0.46</v>
      </c>
      <c r="D355" s="82">
        <v>0.23899999999999999</v>
      </c>
      <c r="E355" s="82">
        <v>0.108</v>
      </c>
      <c r="F355" s="82">
        <v>3.5999999999999997E-2</v>
      </c>
      <c r="G355" s="82">
        <v>0.13419999999999999</v>
      </c>
      <c r="H355" s="82">
        <v>0.3</v>
      </c>
      <c r="I355" s="82">
        <v>0.41000000000000003</v>
      </c>
      <c r="J355" s="82">
        <v>1.34</v>
      </c>
      <c r="K355" s="82">
        <v>2.4939999999999997E-2</v>
      </c>
      <c r="L355" s="82">
        <v>0.1</v>
      </c>
      <c r="M355" s="82">
        <v>7.8688191694588276</v>
      </c>
      <c r="N355" s="212">
        <v>0</v>
      </c>
      <c r="P355" s="209" t="s">
        <v>966</v>
      </c>
    </row>
    <row r="356" spans="1:16" x14ac:dyDescent="0.25">
      <c r="A356" s="87">
        <v>3</v>
      </c>
      <c r="B356" s="82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212"/>
      <c r="P356" s="209"/>
    </row>
    <row r="357" spans="1:16" x14ac:dyDescent="0.25">
      <c r="A357" s="87">
        <v>4</v>
      </c>
      <c r="B357" s="82"/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2"/>
      <c r="N357" s="212"/>
      <c r="P357" s="209"/>
    </row>
    <row r="358" spans="1:16" x14ac:dyDescent="0.25">
      <c r="A358" s="87">
        <v>5</v>
      </c>
      <c r="B358" s="82"/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212"/>
      <c r="P358" s="209"/>
    </row>
    <row r="359" spans="1:16" x14ac:dyDescent="0.25">
      <c r="A359" s="87">
        <v>6</v>
      </c>
      <c r="B359" s="82"/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2"/>
      <c r="N359" s="212"/>
      <c r="P359" s="209"/>
    </row>
    <row r="360" spans="1:16" x14ac:dyDescent="0.25">
      <c r="A360" s="87">
        <v>7</v>
      </c>
      <c r="B360" s="82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/>
      <c r="N360" s="212"/>
      <c r="P360" s="209"/>
    </row>
    <row r="361" spans="1:16" x14ac:dyDescent="0.25">
      <c r="A361" s="87">
        <v>8</v>
      </c>
      <c r="B361" s="82"/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2"/>
      <c r="N361" s="212"/>
      <c r="P361" s="209"/>
    </row>
    <row r="362" spans="1:16" x14ac:dyDescent="0.25">
      <c r="A362" s="87">
        <v>9</v>
      </c>
      <c r="B362" s="82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212"/>
      <c r="P362" s="209"/>
    </row>
    <row r="363" spans="1:16" ht="13" thickBot="1" x14ac:dyDescent="0.3">
      <c r="A363" s="218">
        <v>10</v>
      </c>
      <c r="B363" s="104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213"/>
      <c r="P363" s="209"/>
    </row>
    <row r="364" spans="1:16" x14ac:dyDescent="0.25">
      <c r="A364" s="3"/>
      <c r="C364" s="3"/>
      <c r="D364" s="3"/>
      <c r="E364" s="3"/>
      <c r="F364" s="3"/>
      <c r="P364" s="209"/>
    </row>
    <row r="365" spans="1:16" ht="13" thickBot="1" x14ac:dyDescent="0.3">
      <c r="A365" s="3"/>
      <c r="C365" s="3"/>
      <c r="D365" s="3"/>
      <c r="E365" s="3"/>
      <c r="F365" s="3"/>
      <c r="P365" s="209"/>
    </row>
    <row r="366" spans="1:16" ht="13" x14ac:dyDescent="0.3">
      <c r="A366" s="74" t="s">
        <v>677</v>
      </c>
      <c r="B366" s="75"/>
      <c r="C366" s="76"/>
      <c r="D366" s="76"/>
      <c r="E366" s="76"/>
      <c r="F366" s="75"/>
      <c r="G366" s="75"/>
      <c r="H366" s="76"/>
      <c r="I366" s="76"/>
      <c r="J366" s="76"/>
      <c r="K366" s="76"/>
      <c r="L366" s="76"/>
      <c r="M366" s="76"/>
      <c r="N366" s="211">
        <v>21</v>
      </c>
      <c r="P366" s="209"/>
    </row>
    <row r="367" spans="1:16" ht="13" x14ac:dyDescent="0.3">
      <c r="A367" s="77" t="s">
        <v>672</v>
      </c>
      <c r="B367" s="41"/>
      <c r="C367" s="41" t="s">
        <v>673</v>
      </c>
      <c r="D367" s="46"/>
      <c r="E367" s="46"/>
      <c r="F367" s="78"/>
      <c r="G367" s="78"/>
      <c r="H367" s="46"/>
      <c r="I367" s="46"/>
      <c r="J367" s="46"/>
      <c r="K367" s="46"/>
      <c r="L367" s="46"/>
      <c r="M367" s="46"/>
      <c r="N367" s="79"/>
      <c r="P367" s="209"/>
    </row>
    <row r="368" spans="1:16" x14ac:dyDescent="0.25">
      <c r="A368" s="80" t="s">
        <v>866</v>
      </c>
      <c r="B368" s="46"/>
      <c r="C368" s="81">
        <v>1800</v>
      </c>
      <c r="D368" s="46"/>
      <c r="E368" s="46"/>
      <c r="F368" s="78"/>
      <c r="G368" s="78"/>
      <c r="H368" s="46"/>
      <c r="I368" s="46"/>
      <c r="J368" s="46"/>
      <c r="K368" s="46"/>
      <c r="L368" s="46"/>
      <c r="M368" s="46"/>
      <c r="N368" s="79"/>
      <c r="P368" s="209">
        <v>366</v>
      </c>
    </row>
    <row r="369" spans="1:16" ht="13" x14ac:dyDescent="0.3">
      <c r="A369" s="77" t="s">
        <v>681</v>
      </c>
      <c r="B369" s="41" t="s">
        <v>680</v>
      </c>
      <c r="C369" s="41" t="s">
        <v>678</v>
      </c>
      <c r="D369" s="41" t="s">
        <v>695</v>
      </c>
      <c r="E369" s="41" t="s">
        <v>679</v>
      </c>
      <c r="F369" s="41" t="s">
        <v>1186</v>
      </c>
      <c r="G369" s="78"/>
      <c r="H369" s="46"/>
      <c r="I369" s="46"/>
      <c r="J369" s="46"/>
      <c r="K369" s="46"/>
      <c r="L369" s="46"/>
      <c r="M369" s="46"/>
      <c r="N369" s="79"/>
      <c r="P369" s="209"/>
    </row>
    <row r="370" spans="1:16" x14ac:dyDescent="0.25">
      <c r="A370" s="80">
        <v>2</v>
      </c>
      <c r="B370" s="78">
        <v>2</v>
      </c>
      <c r="C370" s="82">
        <v>0.12</v>
      </c>
      <c r="D370" s="78">
        <v>71</v>
      </c>
      <c r="E370" s="78">
        <v>81</v>
      </c>
      <c r="F370" s="78">
        <v>1</v>
      </c>
      <c r="G370" s="78"/>
      <c r="H370" s="46"/>
      <c r="I370" s="46"/>
      <c r="J370" s="46"/>
      <c r="K370" s="46"/>
      <c r="L370" s="46"/>
      <c r="M370" s="78" t="s">
        <v>65</v>
      </c>
      <c r="N370" s="83" t="s">
        <v>65</v>
      </c>
      <c r="P370" s="209"/>
    </row>
    <row r="371" spans="1:16" ht="13" x14ac:dyDescent="0.3">
      <c r="A371" s="84"/>
      <c r="B371" s="13"/>
      <c r="C371" s="78" t="s">
        <v>20</v>
      </c>
      <c r="D371" s="78" t="s">
        <v>20</v>
      </c>
      <c r="E371" s="78" t="s">
        <v>20</v>
      </c>
      <c r="F371" s="78"/>
      <c r="G371" s="78" t="s">
        <v>39</v>
      </c>
      <c r="H371" s="78" t="s">
        <v>39</v>
      </c>
      <c r="I371" s="78" t="s">
        <v>39</v>
      </c>
      <c r="J371" s="78" t="s">
        <v>63</v>
      </c>
      <c r="K371" s="78" t="s">
        <v>62</v>
      </c>
      <c r="L371" s="78" t="s">
        <v>39</v>
      </c>
      <c r="M371" s="78" t="s">
        <v>64</v>
      </c>
      <c r="N371" s="83" t="s">
        <v>64</v>
      </c>
      <c r="P371" s="209"/>
    </row>
    <row r="372" spans="1:16" ht="13" x14ac:dyDescent="0.3">
      <c r="A372" s="85" t="s">
        <v>32</v>
      </c>
      <c r="B372" s="5" t="s">
        <v>33</v>
      </c>
      <c r="C372" s="5" t="s">
        <v>34</v>
      </c>
      <c r="D372" s="5" t="s">
        <v>35</v>
      </c>
      <c r="E372" s="5" t="s">
        <v>814</v>
      </c>
      <c r="F372" s="5" t="s">
        <v>816</v>
      </c>
      <c r="G372" s="5" t="s">
        <v>815</v>
      </c>
      <c r="H372" s="5" t="s">
        <v>36</v>
      </c>
      <c r="I372" s="5" t="s">
        <v>66</v>
      </c>
      <c r="J372" s="5" t="s">
        <v>56</v>
      </c>
      <c r="K372" s="5" t="s">
        <v>57</v>
      </c>
      <c r="L372" s="5" t="s">
        <v>58</v>
      </c>
      <c r="M372" s="5" t="s">
        <v>59</v>
      </c>
      <c r="N372" s="86" t="s">
        <v>60</v>
      </c>
      <c r="P372" s="209"/>
    </row>
    <row r="373" spans="1:16" x14ac:dyDescent="0.25">
      <c r="A373" s="87">
        <v>1</v>
      </c>
      <c r="B373" s="82">
        <v>300</v>
      </c>
      <c r="C373" s="82">
        <v>0.378</v>
      </c>
      <c r="D373" s="82">
        <v>0.255</v>
      </c>
      <c r="E373" s="82">
        <v>0.123</v>
      </c>
      <c r="F373" s="82">
        <v>4.1000000000000002E-2</v>
      </c>
      <c r="G373" s="82">
        <v>0.14940000000000001</v>
      </c>
      <c r="H373" s="82">
        <v>0.3</v>
      </c>
      <c r="I373" s="82">
        <v>0.2</v>
      </c>
      <c r="J373" s="82">
        <v>1.4</v>
      </c>
      <c r="K373" s="82">
        <v>3.5259999999999993E-2</v>
      </c>
      <c r="L373" s="82">
        <v>0.1</v>
      </c>
      <c r="M373" s="82">
        <v>35.147392290249435</v>
      </c>
      <c r="N373" s="212">
        <v>0</v>
      </c>
      <c r="P373" s="209"/>
    </row>
    <row r="374" spans="1:16" x14ac:dyDescent="0.25">
      <c r="A374" s="87">
        <v>2</v>
      </c>
      <c r="B374" s="82">
        <v>700</v>
      </c>
      <c r="C374" s="82">
        <v>0.39500000000000002</v>
      </c>
      <c r="D374" s="82">
        <v>0.26200000000000001</v>
      </c>
      <c r="E374" s="82">
        <v>0.13</v>
      </c>
      <c r="F374" s="82">
        <v>4.3333333333333335E-2</v>
      </c>
      <c r="G374" s="82">
        <v>0.15640000000000001</v>
      </c>
      <c r="H374" s="82">
        <v>0.3</v>
      </c>
      <c r="I374" s="82">
        <v>0.27</v>
      </c>
      <c r="J374" s="82">
        <v>1.36</v>
      </c>
      <c r="K374" s="82">
        <v>1.9779999999999999E-2</v>
      </c>
      <c r="L374" s="82">
        <v>0.1</v>
      </c>
      <c r="M374" s="82">
        <v>7.7531012404961972</v>
      </c>
      <c r="N374" s="212">
        <v>0</v>
      </c>
      <c r="P374" s="209" t="s">
        <v>966</v>
      </c>
    </row>
    <row r="375" spans="1:16" x14ac:dyDescent="0.25">
      <c r="A375" s="87">
        <v>3</v>
      </c>
      <c r="B375" s="82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2"/>
      <c r="N375" s="212"/>
      <c r="P375" s="209"/>
    </row>
    <row r="376" spans="1:16" x14ac:dyDescent="0.25">
      <c r="A376" s="87">
        <v>4</v>
      </c>
      <c r="B376" s="82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212"/>
      <c r="P376" s="209"/>
    </row>
    <row r="377" spans="1:16" x14ac:dyDescent="0.25">
      <c r="A377" s="87">
        <v>5</v>
      </c>
      <c r="B377" s="82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2"/>
      <c r="N377" s="212"/>
      <c r="P377" s="209"/>
    </row>
    <row r="378" spans="1:16" x14ac:dyDescent="0.25">
      <c r="A378" s="87">
        <v>6</v>
      </c>
      <c r="B378" s="82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212"/>
      <c r="P378" s="209"/>
    </row>
    <row r="379" spans="1:16" x14ac:dyDescent="0.25">
      <c r="A379" s="87">
        <v>7</v>
      </c>
      <c r="B379" s="82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2"/>
      <c r="N379" s="212"/>
      <c r="P379" s="209"/>
    </row>
    <row r="380" spans="1:16" x14ac:dyDescent="0.25">
      <c r="A380" s="87">
        <v>8</v>
      </c>
      <c r="B380" s="82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212"/>
      <c r="P380" s="209"/>
    </row>
    <row r="381" spans="1:16" x14ac:dyDescent="0.25">
      <c r="A381" s="87">
        <v>9</v>
      </c>
      <c r="B381" s="82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2"/>
      <c r="N381" s="212"/>
      <c r="P381" s="209"/>
    </row>
    <row r="382" spans="1:16" ht="13" thickBot="1" x14ac:dyDescent="0.3">
      <c r="A382" s="218">
        <v>10</v>
      </c>
      <c r="B382" s="104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213"/>
      <c r="P382" s="209"/>
    </row>
    <row r="383" spans="1:16" x14ac:dyDescent="0.25">
      <c r="A383" s="3"/>
      <c r="C383" s="3"/>
      <c r="D383" s="3"/>
      <c r="E383" s="3"/>
      <c r="F383" s="3"/>
      <c r="P383" s="209"/>
    </row>
    <row r="384" spans="1:16" ht="13" thickBot="1" x14ac:dyDescent="0.3">
      <c r="A384" s="3"/>
      <c r="C384" s="3"/>
      <c r="D384" s="3"/>
      <c r="E384" s="3"/>
      <c r="F384" s="3"/>
      <c r="P384" s="209"/>
    </row>
    <row r="385" spans="1:16" ht="13" x14ac:dyDescent="0.3">
      <c r="A385" s="74" t="s">
        <v>677</v>
      </c>
      <c r="B385" s="75"/>
      <c r="C385" s="76"/>
      <c r="D385" s="76"/>
      <c r="E385" s="76"/>
      <c r="F385" s="75"/>
      <c r="G385" s="75"/>
      <c r="H385" s="76"/>
      <c r="I385" s="76"/>
      <c r="J385" s="76"/>
      <c r="K385" s="76"/>
      <c r="L385" s="76"/>
      <c r="M385" s="76"/>
      <c r="N385" s="211">
        <v>22</v>
      </c>
      <c r="P385" s="209"/>
    </row>
    <row r="386" spans="1:16" ht="13" x14ac:dyDescent="0.3">
      <c r="A386" s="77" t="s">
        <v>672</v>
      </c>
      <c r="B386" s="41"/>
      <c r="C386" s="41" t="s">
        <v>673</v>
      </c>
      <c r="D386" s="46"/>
      <c r="E386" s="46"/>
      <c r="F386" s="78"/>
      <c r="G386" s="78"/>
      <c r="H386" s="46"/>
      <c r="I386" s="46"/>
      <c r="J386" s="46"/>
      <c r="K386" s="46"/>
      <c r="L386" s="46"/>
      <c r="M386" s="46"/>
      <c r="N386" s="79"/>
      <c r="P386" s="209"/>
    </row>
    <row r="387" spans="1:16" x14ac:dyDescent="0.25">
      <c r="A387" s="80" t="s">
        <v>868</v>
      </c>
      <c r="B387" s="46"/>
      <c r="C387" s="81">
        <v>1800</v>
      </c>
      <c r="D387" s="46"/>
      <c r="E387" s="46"/>
      <c r="F387" s="78"/>
      <c r="G387" s="78"/>
      <c r="H387" s="46"/>
      <c r="I387" s="46"/>
      <c r="J387" s="46"/>
      <c r="K387" s="46"/>
      <c r="L387" s="46"/>
      <c r="M387" s="46"/>
      <c r="N387" s="79"/>
      <c r="P387" s="209">
        <v>385</v>
      </c>
    </row>
    <row r="388" spans="1:16" ht="13" x14ac:dyDescent="0.3">
      <c r="A388" s="77" t="s">
        <v>681</v>
      </c>
      <c r="B388" s="41" t="s">
        <v>680</v>
      </c>
      <c r="C388" s="41" t="s">
        <v>678</v>
      </c>
      <c r="D388" s="41" t="s">
        <v>695</v>
      </c>
      <c r="E388" s="41" t="s">
        <v>679</v>
      </c>
      <c r="F388" s="41" t="s">
        <v>1186</v>
      </c>
      <c r="G388" s="78"/>
      <c r="H388" s="46"/>
      <c r="I388" s="46"/>
      <c r="J388" s="46"/>
      <c r="K388" s="46"/>
      <c r="L388" s="46"/>
      <c r="M388" s="46"/>
      <c r="N388" s="79"/>
      <c r="P388" s="209"/>
    </row>
    <row r="389" spans="1:16" x14ac:dyDescent="0.25">
      <c r="A389" s="80">
        <v>2</v>
      </c>
      <c r="B389" s="78">
        <v>2</v>
      </c>
      <c r="C389" s="82">
        <v>0.12</v>
      </c>
      <c r="D389" s="78">
        <v>70</v>
      </c>
      <c r="E389" s="78">
        <v>81</v>
      </c>
      <c r="F389" s="78">
        <v>1</v>
      </c>
      <c r="G389" s="78"/>
      <c r="H389" s="46"/>
      <c r="I389" s="46"/>
      <c r="J389" s="46"/>
      <c r="K389" s="46"/>
      <c r="L389" s="46"/>
      <c r="M389" s="78" t="s">
        <v>65</v>
      </c>
      <c r="N389" s="83" t="s">
        <v>65</v>
      </c>
      <c r="P389" s="209"/>
    </row>
    <row r="390" spans="1:16" ht="13" x14ac:dyDescent="0.3">
      <c r="A390" s="84"/>
      <c r="B390" s="13"/>
      <c r="C390" s="78" t="s">
        <v>20</v>
      </c>
      <c r="D390" s="78" t="s">
        <v>20</v>
      </c>
      <c r="E390" s="78" t="s">
        <v>20</v>
      </c>
      <c r="F390" s="78"/>
      <c r="G390" s="78" t="s">
        <v>39</v>
      </c>
      <c r="H390" s="78" t="s">
        <v>39</v>
      </c>
      <c r="I390" s="78" t="s">
        <v>39</v>
      </c>
      <c r="J390" s="78" t="s">
        <v>63</v>
      </c>
      <c r="K390" s="78" t="s">
        <v>62</v>
      </c>
      <c r="L390" s="78" t="s">
        <v>39</v>
      </c>
      <c r="M390" s="78" t="s">
        <v>64</v>
      </c>
      <c r="N390" s="83" t="s">
        <v>64</v>
      </c>
      <c r="P390" s="209"/>
    </row>
    <row r="391" spans="1:16" ht="13" x14ac:dyDescent="0.3">
      <c r="A391" s="85" t="s">
        <v>32</v>
      </c>
      <c r="B391" s="5" t="s">
        <v>33</v>
      </c>
      <c r="C391" s="5" t="s">
        <v>34</v>
      </c>
      <c r="D391" s="5" t="s">
        <v>35</v>
      </c>
      <c r="E391" s="5" t="s">
        <v>814</v>
      </c>
      <c r="F391" s="5" t="s">
        <v>816</v>
      </c>
      <c r="G391" s="5" t="s">
        <v>815</v>
      </c>
      <c r="H391" s="5" t="s">
        <v>36</v>
      </c>
      <c r="I391" s="5" t="s">
        <v>66</v>
      </c>
      <c r="J391" s="5" t="s">
        <v>56</v>
      </c>
      <c r="K391" s="5" t="s">
        <v>57</v>
      </c>
      <c r="L391" s="5" t="s">
        <v>58</v>
      </c>
      <c r="M391" s="5" t="s">
        <v>59</v>
      </c>
      <c r="N391" s="86" t="s">
        <v>60</v>
      </c>
      <c r="P391" s="209"/>
    </row>
    <row r="392" spans="1:16" x14ac:dyDescent="0.25">
      <c r="A392" s="87">
        <v>1</v>
      </c>
      <c r="B392" s="82">
        <v>300</v>
      </c>
      <c r="C392" s="82">
        <v>0.378</v>
      </c>
      <c r="D392" s="82">
        <v>0.255</v>
      </c>
      <c r="E392" s="82">
        <v>0.123</v>
      </c>
      <c r="F392" s="82">
        <v>4.1000000000000002E-2</v>
      </c>
      <c r="G392" s="82">
        <v>0.14940000000000001</v>
      </c>
      <c r="H392" s="82">
        <v>0.3</v>
      </c>
      <c r="I392" s="82">
        <v>0.2</v>
      </c>
      <c r="J392" s="82">
        <v>1.4</v>
      </c>
      <c r="K392" s="82">
        <v>3.5259999999999993E-2</v>
      </c>
      <c r="L392" s="82">
        <v>0.1</v>
      </c>
      <c r="M392" s="82">
        <v>35.147392290249435</v>
      </c>
      <c r="N392" s="212">
        <v>0</v>
      </c>
      <c r="P392" s="209"/>
    </row>
    <row r="393" spans="1:16" x14ac:dyDescent="0.25">
      <c r="A393" s="87">
        <v>2</v>
      </c>
      <c r="B393" s="82">
        <v>700</v>
      </c>
      <c r="C393" s="82">
        <v>0.39500000000000002</v>
      </c>
      <c r="D393" s="82">
        <v>0.26200000000000001</v>
      </c>
      <c r="E393" s="82">
        <v>0.13</v>
      </c>
      <c r="F393" s="82">
        <v>4.3333333333333335E-2</v>
      </c>
      <c r="G393" s="82">
        <v>0.15640000000000001</v>
      </c>
      <c r="H393" s="82">
        <v>0.3</v>
      </c>
      <c r="I393" s="82">
        <v>0.27</v>
      </c>
      <c r="J393" s="82">
        <v>1.36</v>
      </c>
      <c r="K393" s="82">
        <v>1.9779999999999999E-2</v>
      </c>
      <c r="L393" s="82">
        <v>0.1</v>
      </c>
      <c r="M393" s="82">
        <v>7.7531012404961972</v>
      </c>
      <c r="N393" s="212">
        <v>0</v>
      </c>
      <c r="P393" s="209" t="s">
        <v>966</v>
      </c>
    </row>
    <row r="394" spans="1:16" x14ac:dyDescent="0.25">
      <c r="A394" s="87">
        <v>3</v>
      </c>
      <c r="B394" s="82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212"/>
      <c r="P394" s="209"/>
    </row>
    <row r="395" spans="1:16" x14ac:dyDescent="0.25">
      <c r="A395" s="87">
        <v>4</v>
      </c>
      <c r="B395" s="82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2"/>
      <c r="N395" s="212"/>
      <c r="P395" s="209"/>
    </row>
    <row r="396" spans="1:16" x14ac:dyDescent="0.25">
      <c r="A396" s="87">
        <v>5</v>
      </c>
      <c r="B396" s="82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212"/>
      <c r="P396" s="209"/>
    </row>
    <row r="397" spans="1:16" x14ac:dyDescent="0.25">
      <c r="A397" s="87">
        <v>6</v>
      </c>
      <c r="B397" s="82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2"/>
      <c r="N397" s="212"/>
      <c r="P397" s="209"/>
    </row>
    <row r="398" spans="1:16" x14ac:dyDescent="0.25">
      <c r="A398" s="87">
        <v>7</v>
      </c>
      <c r="B398" s="82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212"/>
      <c r="P398" s="209"/>
    </row>
    <row r="399" spans="1:16" x14ac:dyDescent="0.25">
      <c r="A399" s="87">
        <v>8</v>
      </c>
      <c r="B399" s="82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2"/>
      <c r="N399" s="212"/>
      <c r="P399" s="209"/>
    </row>
    <row r="400" spans="1:16" x14ac:dyDescent="0.25">
      <c r="A400" s="87">
        <v>9</v>
      </c>
      <c r="B400" s="82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212"/>
      <c r="P400" s="209"/>
    </row>
    <row r="401" spans="1:16" ht="13" thickBot="1" x14ac:dyDescent="0.3">
      <c r="A401" s="218">
        <v>10</v>
      </c>
      <c r="B401" s="104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213"/>
      <c r="P401" s="209"/>
    </row>
    <row r="402" spans="1:16" x14ac:dyDescent="0.25">
      <c r="A402" s="3"/>
      <c r="C402" s="3"/>
      <c r="D402" s="3"/>
      <c r="E402" s="3"/>
      <c r="F402" s="3"/>
      <c r="P402" s="209"/>
    </row>
    <row r="403" spans="1:16" ht="13" thickBot="1" x14ac:dyDescent="0.3">
      <c r="A403" s="3"/>
      <c r="C403" s="3"/>
      <c r="D403" s="3"/>
      <c r="E403" s="3"/>
      <c r="F403" s="3"/>
      <c r="P403" s="209"/>
    </row>
    <row r="404" spans="1:16" ht="13" x14ac:dyDescent="0.3">
      <c r="A404" s="74" t="s">
        <v>677</v>
      </c>
      <c r="B404" s="75"/>
      <c r="C404" s="76"/>
      <c r="D404" s="76"/>
      <c r="E404" s="76"/>
      <c r="F404" s="75"/>
      <c r="G404" s="75"/>
      <c r="H404" s="76"/>
      <c r="I404" s="76"/>
      <c r="J404" s="76"/>
      <c r="K404" s="76"/>
      <c r="L404" s="76"/>
      <c r="M404" s="76"/>
      <c r="N404" s="211">
        <v>23</v>
      </c>
      <c r="P404" s="209"/>
    </row>
    <row r="405" spans="1:16" ht="13" x14ac:dyDescent="0.3">
      <c r="A405" s="77" t="s">
        <v>672</v>
      </c>
      <c r="B405" s="41"/>
      <c r="C405" s="41" t="s">
        <v>673</v>
      </c>
      <c r="D405" s="46"/>
      <c r="E405" s="46"/>
      <c r="F405" s="78"/>
      <c r="G405" s="78"/>
      <c r="H405" s="46"/>
      <c r="I405" s="46"/>
      <c r="J405" s="46"/>
      <c r="K405" s="46"/>
      <c r="L405" s="46"/>
      <c r="M405" s="46"/>
      <c r="N405" s="79"/>
      <c r="P405" s="209"/>
    </row>
    <row r="406" spans="1:16" x14ac:dyDescent="0.25">
      <c r="A406" s="80" t="s">
        <v>870</v>
      </c>
      <c r="B406" s="46"/>
      <c r="C406" s="81">
        <v>1800</v>
      </c>
      <c r="D406" s="46"/>
      <c r="E406" s="46"/>
      <c r="F406" s="78"/>
      <c r="G406" s="78"/>
      <c r="H406" s="46"/>
      <c r="I406" s="46"/>
      <c r="J406" s="46"/>
      <c r="K406" s="46"/>
      <c r="L406" s="46"/>
      <c r="M406" s="46"/>
      <c r="N406" s="79"/>
      <c r="P406" s="209">
        <v>404</v>
      </c>
    </row>
    <row r="407" spans="1:16" ht="13" x14ac:dyDescent="0.3">
      <c r="A407" s="77" t="s">
        <v>681</v>
      </c>
      <c r="B407" s="41" t="s">
        <v>680</v>
      </c>
      <c r="C407" s="41" t="s">
        <v>678</v>
      </c>
      <c r="D407" s="41" t="s">
        <v>695</v>
      </c>
      <c r="E407" s="41" t="s">
        <v>679</v>
      </c>
      <c r="F407" s="41" t="s">
        <v>1186</v>
      </c>
      <c r="G407" s="78"/>
      <c r="H407" s="46"/>
      <c r="I407" s="46"/>
      <c r="J407" s="46"/>
      <c r="K407" s="46"/>
      <c r="L407" s="46"/>
      <c r="M407" s="46"/>
      <c r="N407" s="79"/>
      <c r="P407" s="209"/>
    </row>
    <row r="408" spans="1:16" x14ac:dyDescent="0.25">
      <c r="A408" s="80">
        <v>2</v>
      </c>
      <c r="B408" s="78">
        <v>2</v>
      </c>
      <c r="C408" s="82">
        <v>0.12</v>
      </c>
      <c r="D408" s="78">
        <v>69</v>
      </c>
      <c r="E408" s="78">
        <v>81</v>
      </c>
      <c r="F408" s="78">
        <v>1</v>
      </c>
      <c r="G408" s="78"/>
      <c r="H408" s="46"/>
      <c r="I408" s="46"/>
      <c r="J408" s="46"/>
      <c r="K408" s="46"/>
      <c r="L408" s="46"/>
      <c r="M408" s="78" t="s">
        <v>65</v>
      </c>
      <c r="N408" s="83" t="s">
        <v>65</v>
      </c>
      <c r="P408" s="209"/>
    </row>
    <row r="409" spans="1:16" ht="13" x14ac:dyDescent="0.3">
      <c r="A409" s="84"/>
      <c r="B409" s="13"/>
      <c r="C409" s="78" t="s">
        <v>20</v>
      </c>
      <c r="D409" s="78" t="s">
        <v>20</v>
      </c>
      <c r="E409" s="78" t="s">
        <v>20</v>
      </c>
      <c r="F409" s="78"/>
      <c r="G409" s="78" t="s">
        <v>39</v>
      </c>
      <c r="H409" s="78" t="s">
        <v>39</v>
      </c>
      <c r="I409" s="78" t="s">
        <v>39</v>
      </c>
      <c r="J409" s="78" t="s">
        <v>63</v>
      </c>
      <c r="K409" s="78" t="s">
        <v>62</v>
      </c>
      <c r="L409" s="78" t="s">
        <v>39</v>
      </c>
      <c r="M409" s="78" t="s">
        <v>64</v>
      </c>
      <c r="N409" s="83" t="s">
        <v>64</v>
      </c>
      <c r="P409" s="209"/>
    </row>
    <row r="410" spans="1:16" ht="13" x14ac:dyDescent="0.3">
      <c r="A410" s="85" t="s">
        <v>32</v>
      </c>
      <c r="B410" s="5" t="s">
        <v>33</v>
      </c>
      <c r="C410" s="5" t="s">
        <v>34</v>
      </c>
      <c r="D410" s="5" t="s">
        <v>35</v>
      </c>
      <c r="E410" s="5" t="s">
        <v>814</v>
      </c>
      <c r="F410" s="5" t="s">
        <v>816</v>
      </c>
      <c r="G410" s="5" t="s">
        <v>815</v>
      </c>
      <c r="H410" s="5" t="s">
        <v>36</v>
      </c>
      <c r="I410" s="5" t="s">
        <v>66</v>
      </c>
      <c r="J410" s="5" t="s">
        <v>56</v>
      </c>
      <c r="K410" s="5" t="s">
        <v>57</v>
      </c>
      <c r="L410" s="5" t="s">
        <v>58</v>
      </c>
      <c r="M410" s="5" t="s">
        <v>59</v>
      </c>
      <c r="N410" s="86" t="s">
        <v>60</v>
      </c>
      <c r="P410" s="209"/>
    </row>
    <row r="411" spans="1:16" x14ac:dyDescent="0.25">
      <c r="A411" s="87">
        <v>1</v>
      </c>
      <c r="B411" s="82">
        <v>300</v>
      </c>
      <c r="C411" s="82">
        <v>0.378</v>
      </c>
      <c r="D411" s="82">
        <v>0.255</v>
      </c>
      <c r="E411" s="82">
        <v>0.123</v>
      </c>
      <c r="F411" s="82">
        <v>4.1000000000000002E-2</v>
      </c>
      <c r="G411" s="82">
        <v>0.14940000000000001</v>
      </c>
      <c r="H411" s="82">
        <v>0.3</v>
      </c>
      <c r="I411" s="82">
        <v>0.2</v>
      </c>
      <c r="J411" s="82">
        <v>1.4</v>
      </c>
      <c r="K411" s="82">
        <v>3.5259999999999993E-2</v>
      </c>
      <c r="L411" s="82">
        <v>0.1</v>
      </c>
      <c r="M411" s="82">
        <v>35.147392290249435</v>
      </c>
      <c r="N411" s="212">
        <v>0</v>
      </c>
      <c r="P411" s="209"/>
    </row>
    <row r="412" spans="1:16" x14ac:dyDescent="0.25">
      <c r="A412" s="87">
        <v>2</v>
      </c>
      <c r="B412" s="82">
        <v>700</v>
      </c>
      <c r="C412" s="82">
        <v>0.39500000000000002</v>
      </c>
      <c r="D412" s="82">
        <v>0.26200000000000001</v>
      </c>
      <c r="E412" s="82">
        <v>0.13</v>
      </c>
      <c r="F412" s="82">
        <v>4.3333333333333335E-2</v>
      </c>
      <c r="G412" s="82">
        <v>0.15640000000000001</v>
      </c>
      <c r="H412" s="82">
        <v>0.3</v>
      </c>
      <c r="I412" s="82">
        <v>0.27</v>
      </c>
      <c r="J412" s="82">
        <v>1.36</v>
      </c>
      <c r="K412" s="82">
        <v>1.9779999999999999E-2</v>
      </c>
      <c r="L412" s="82">
        <v>0.1</v>
      </c>
      <c r="M412" s="82">
        <v>7.7531012404961972</v>
      </c>
      <c r="N412" s="212">
        <v>0</v>
      </c>
      <c r="P412" s="209" t="s">
        <v>966</v>
      </c>
    </row>
    <row r="413" spans="1:16" x14ac:dyDescent="0.25">
      <c r="A413" s="87">
        <v>3</v>
      </c>
      <c r="B413" s="82"/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2"/>
      <c r="N413" s="212"/>
      <c r="P413" s="209"/>
    </row>
    <row r="414" spans="1:16" x14ac:dyDescent="0.25">
      <c r="A414" s="87">
        <v>4</v>
      </c>
      <c r="B414" s="82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/>
      <c r="N414" s="212"/>
      <c r="P414" s="209"/>
    </row>
    <row r="415" spans="1:16" x14ac:dyDescent="0.25">
      <c r="A415" s="87">
        <v>5</v>
      </c>
      <c r="B415" s="82"/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2"/>
      <c r="N415" s="212"/>
      <c r="P415" s="209"/>
    </row>
    <row r="416" spans="1:16" x14ac:dyDescent="0.25">
      <c r="A416" s="87">
        <v>6</v>
      </c>
      <c r="B416" s="82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/>
      <c r="N416" s="212"/>
      <c r="P416" s="209"/>
    </row>
    <row r="417" spans="1:16" x14ac:dyDescent="0.25">
      <c r="A417" s="87">
        <v>7</v>
      </c>
      <c r="B417" s="82"/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2"/>
      <c r="N417" s="212"/>
      <c r="P417" s="209"/>
    </row>
    <row r="418" spans="1:16" x14ac:dyDescent="0.25">
      <c r="A418" s="87">
        <v>8</v>
      </c>
      <c r="B418" s="82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212"/>
      <c r="P418" s="209"/>
    </row>
    <row r="419" spans="1:16" x14ac:dyDescent="0.25">
      <c r="A419" s="87">
        <v>9</v>
      </c>
      <c r="B419" s="82"/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2"/>
      <c r="N419" s="212"/>
      <c r="P419" s="209"/>
    </row>
    <row r="420" spans="1:16" ht="13" thickBot="1" x14ac:dyDescent="0.3">
      <c r="A420" s="218">
        <v>10</v>
      </c>
      <c r="B420" s="104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213"/>
      <c r="P420" s="209"/>
    </row>
    <row r="421" spans="1:16" x14ac:dyDescent="0.25">
      <c r="A421" s="3"/>
      <c r="C421" s="3"/>
      <c r="D421" s="3"/>
      <c r="E421" s="3"/>
      <c r="F421" s="3"/>
      <c r="P421" s="209"/>
    </row>
    <row r="422" spans="1:16" ht="13" thickBot="1" x14ac:dyDescent="0.3">
      <c r="A422" s="3"/>
      <c r="C422" s="3"/>
      <c r="D422" s="3"/>
      <c r="E422" s="3"/>
      <c r="F422" s="3"/>
      <c r="P422" s="209"/>
    </row>
    <row r="423" spans="1:16" ht="13" x14ac:dyDescent="0.3">
      <c r="A423" s="74" t="s">
        <v>677</v>
      </c>
      <c r="B423" s="75"/>
      <c r="C423" s="76"/>
      <c r="D423" s="76"/>
      <c r="E423" s="76"/>
      <c r="F423" s="75"/>
      <c r="G423" s="75"/>
      <c r="H423" s="76"/>
      <c r="I423" s="76"/>
      <c r="J423" s="76"/>
      <c r="K423" s="76"/>
      <c r="L423" s="76"/>
      <c r="M423" s="76"/>
      <c r="N423" s="211">
        <v>24</v>
      </c>
      <c r="P423" s="209"/>
    </row>
    <row r="424" spans="1:16" ht="13" x14ac:dyDescent="0.3">
      <c r="A424" s="77" t="s">
        <v>672</v>
      </c>
      <c r="B424" s="41"/>
      <c r="C424" s="41" t="s">
        <v>673</v>
      </c>
      <c r="D424" s="46"/>
      <c r="E424" s="46"/>
      <c r="F424" s="78"/>
      <c r="G424" s="78"/>
      <c r="H424" s="46"/>
      <c r="I424" s="46"/>
      <c r="J424" s="46"/>
      <c r="K424" s="46"/>
      <c r="L424" s="46"/>
      <c r="M424" s="46"/>
      <c r="N424" s="79"/>
      <c r="P424" s="209"/>
    </row>
    <row r="425" spans="1:16" x14ac:dyDescent="0.25">
      <c r="A425" s="80" t="s">
        <v>872</v>
      </c>
      <c r="B425" s="46"/>
      <c r="C425" s="81">
        <v>36</v>
      </c>
      <c r="D425" s="46"/>
      <c r="E425" s="46"/>
      <c r="F425" s="78"/>
      <c r="G425" s="78"/>
      <c r="H425" s="46"/>
      <c r="I425" s="46"/>
      <c r="J425" s="46"/>
      <c r="K425" s="46"/>
      <c r="L425" s="46"/>
      <c r="M425" s="46"/>
      <c r="N425" s="79"/>
      <c r="P425" s="209">
        <v>423</v>
      </c>
    </row>
    <row r="426" spans="1:16" ht="13" x14ac:dyDescent="0.3">
      <c r="A426" s="77" t="s">
        <v>681</v>
      </c>
      <c r="B426" s="41" t="s">
        <v>680</v>
      </c>
      <c r="C426" s="41" t="s">
        <v>678</v>
      </c>
      <c r="D426" s="41" t="s">
        <v>695</v>
      </c>
      <c r="E426" s="41" t="s">
        <v>679</v>
      </c>
      <c r="F426" s="41" t="s">
        <v>1186</v>
      </c>
      <c r="G426" s="78"/>
      <c r="H426" s="46"/>
      <c r="I426" s="46"/>
      <c r="J426" s="46"/>
      <c r="K426" s="46"/>
      <c r="L426" s="46"/>
      <c r="M426" s="46"/>
      <c r="N426" s="79"/>
      <c r="P426" s="209"/>
    </row>
    <row r="427" spans="1:16" x14ac:dyDescent="0.25">
      <c r="A427" s="80">
        <v>2</v>
      </c>
      <c r="B427" s="78">
        <v>2</v>
      </c>
      <c r="C427" s="82" t="e">
        <v>#N/A</v>
      </c>
      <c r="D427" s="78">
        <v>66</v>
      </c>
      <c r="E427" s="78" t="e">
        <v>#N/A</v>
      </c>
      <c r="F427" s="78">
        <v>1</v>
      </c>
      <c r="G427" s="78"/>
      <c r="H427" s="46"/>
      <c r="I427" s="46"/>
      <c r="J427" s="46"/>
      <c r="K427" s="46"/>
      <c r="L427" s="46"/>
      <c r="M427" s="78" t="s">
        <v>65</v>
      </c>
      <c r="N427" s="83" t="s">
        <v>65</v>
      </c>
      <c r="P427" s="209"/>
    </row>
    <row r="428" spans="1:16" ht="13" x14ac:dyDescent="0.3">
      <c r="A428" s="84"/>
      <c r="B428" s="13"/>
      <c r="C428" s="78" t="s">
        <v>20</v>
      </c>
      <c r="D428" s="78" t="s">
        <v>20</v>
      </c>
      <c r="E428" s="78" t="s">
        <v>20</v>
      </c>
      <c r="F428" s="78"/>
      <c r="G428" s="78" t="s">
        <v>39</v>
      </c>
      <c r="H428" s="78" t="s">
        <v>39</v>
      </c>
      <c r="I428" s="78" t="s">
        <v>39</v>
      </c>
      <c r="J428" s="78" t="s">
        <v>63</v>
      </c>
      <c r="K428" s="78" t="s">
        <v>62</v>
      </c>
      <c r="L428" s="78" t="s">
        <v>39</v>
      </c>
      <c r="M428" s="78" t="s">
        <v>64</v>
      </c>
      <c r="N428" s="83" t="s">
        <v>64</v>
      </c>
      <c r="P428" s="209"/>
    </row>
    <row r="429" spans="1:16" ht="13" x14ac:dyDescent="0.3">
      <c r="A429" s="85" t="s">
        <v>32</v>
      </c>
      <c r="B429" s="5" t="s">
        <v>33</v>
      </c>
      <c r="C429" s="5" t="s">
        <v>34</v>
      </c>
      <c r="D429" s="5" t="s">
        <v>35</v>
      </c>
      <c r="E429" s="5" t="s">
        <v>814</v>
      </c>
      <c r="F429" s="5" t="s">
        <v>816</v>
      </c>
      <c r="G429" s="5" t="s">
        <v>815</v>
      </c>
      <c r="H429" s="5" t="s">
        <v>36</v>
      </c>
      <c r="I429" s="5" t="s">
        <v>66</v>
      </c>
      <c r="J429" s="5" t="s">
        <v>56</v>
      </c>
      <c r="K429" s="5" t="s">
        <v>57</v>
      </c>
      <c r="L429" s="5" t="s">
        <v>58</v>
      </c>
      <c r="M429" s="5" t="s">
        <v>59</v>
      </c>
      <c r="N429" s="86" t="s">
        <v>60</v>
      </c>
      <c r="P429" s="209"/>
    </row>
    <row r="430" spans="1:16" x14ac:dyDescent="0.25">
      <c r="A430" s="87">
        <v>1</v>
      </c>
      <c r="B430" s="82" t="e">
        <v>#N/A</v>
      </c>
      <c r="C430" s="82" t="e">
        <v>#N/A</v>
      </c>
      <c r="D430" s="82" t="e">
        <v>#N/A</v>
      </c>
      <c r="E430" s="82" t="e">
        <v>#N/A</v>
      </c>
      <c r="F430" s="82" t="e">
        <v>#N/A</v>
      </c>
      <c r="G430" s="82" t="e">
        <v>#N/A</v>
      </c>
      <c r="H430" s="82" t="e">
        <v>#N/A</v>
      </c>
      <c r="I430" s="82" t="e">
        <v>#N/A</v>
      </c>
      <c r="J430" s="82" t="e">
        <v>#N/A</v>
      </c>
      <c r="K430" s="82" t="e">
        <v>#N/A</v>
      </c>
      <c r="L430" s="82">
        <v>0.1</v>
      </c>
      <c r="M430" s="82" t="e">
        <v>#N/A</v>
      </c>
      <c r="N430" s="212">
        <v>0</v>
      </c>
      <c r="P430" s="209"/>
    </row>
    <row r="431" spans="1:16" x14ac:dyDescent="0.25">
      <c r="A431" s="87">
        <v>2</v>
      </c>
      <c r="B431" s="82" t="e">
        <v>#N/A</v>
      </c>
      <c r="C431" s="82" t="e">
        <v>#N/A</v>
      </c>
      <c r="D431" s="82" t="e">
        <v>#N/A</v>
      </c>
      <c r="E431" s="82" t="e">
        <v>#N/A</v>
      </c>
      <c r="F431" s="82" t="e">
        <v>#N/A</v>
      </c>
      <c r="G431" s="82" t="e">
        <v>#N/A</v>
      </c>
      <c r="H431" s="82" t="e">
        <v>#N/A</v>
      </c>
      <c r="I431" s="82" t="e">
        <v>#N/A</v>
      </c>
      <c r="J431" s="82" t="e">
        <v>#N/A</v>
      </c>
      <c r="K431" s="82" t="e">
        <v>#N/A</v>
      </c>
      <c r="L431" s="82">
        <v>0.1</v>
      </c>
      <c r="M431" s="82" t="e">
        <v>#N/A</v>
      </c>
      <c r="N431" s="212">
        <v>0</v>
      </c>
      <c r="P431" s="209" t="s">
        <v>966</v>
      </c>
    </row>
    <row r="432" spans="1:16" x14ac:dyDescent="0.25">
      <c r="A432" s="87">
        <v>3</v>
      </c>
      <c r="B432" s="82"/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2"/>
      <c r="N432" s="212"/>
      <c r="P432" s="209"/>
    </row>
    <row r="433" spans="1:16" x14ac:dyDescent="0.25">
      <c r="A433" s="87">
        <v>4</v>
      </c>
      <c r="B433" s="82"/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2"/>
      <c r="N433" s="212"/>
      <c r="P433" s="209"/>
    </row>
    <row r="434" spans="1:16" x14ac:dyDescent="0.25">
      <c r="A434" s="87">
        <v>5</v>
      </c>
      <c r="B434" s="82"/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212"/>
      <c r="P434" s="209"/>
    </row>
    <row r="435" spans="1:16" x14ac:dyDescent="0.25">
      <c r="A435" s="87">
        <v>6</v>
      </c>
      <c r="B435" s="82"/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212"/>
      <c r="P435" s="209"/>
    </row>
    <row r="436" spans="1:16" x14ac:dyDescent="0.25">
      <c r="A436" s="87">
        <v>7</v>
      </c>
      <c r="B436" s="82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/>
      <c r="N436" s="212"/>
      <c r="P436" s="209"/>
    </row>
    <row r="437" spans="1:16" x14ac:dyDescent="0.25">
      <c r="A437" s="87">
        <v>8</v>
      </c>
      <c r="B437" s="82"/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2"/>
      <c r="N437" s="212"/>
      <c r="P437" s="209"/>
    </row>
    <row r="438" spans="1:16" x14ac:dyDescent="0.25">
      <c r="A438" s="87">
        <v>9</v>
      </c>
      <c r="B438" s="82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/>
      <c r="N438" s="212"/>
      <c r="P438" s="209"/>
    </row>
    <row r="439" spans="1:16" ht="13" thickBot="1" x14ac:dyDescent="0.3">
      <c r="A439" s="218">
        <v>10</v>
      </c>
      <c r="B439" s="104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213"/>
      <c r="P439" s="209"/>
    </row>
    <row r="440" spans="1:16" x14ac:dyDescent="0.25">
      <c r="A440" s="3"/>
      <c r="C440" s="3"/>
      <c r="D440" s="3"/>
      <c r="E440" s="3"/>
      <c r="F440" s="3"/>
      <c r="P440" s="209"/>
    </row>
    <row r="441" spans="1:16" ht="13" thickBot="1" x14ac:dyDescent="0.3">
      <c r="A441" s="3"/>
      <c r="C441" s="3"/>
      <c r="D441" s="3"/>
      <c r="E441" s="3"/>
      <c r="F441" s="3"/>
      <c r="P441" s="209"/>
    </row>
    <row r="442" spans="1:16" ht="13" x14ac:dyDescent="0.3">
      <c r="A442" s="74" t="s">
        <v>677</v>
      </c>
      <c r="B442" s="75"/>
      <c r="C442" s="76"/>
      <c r="D442" s="76"/>
      <c r="E442" s="76"/>
      <c r="F442" s="75"/>
      <c r="G442" s="75"/>
      <c r="H442" s="76"/>
      <c r="I442" s="76"/>
      <c r="J442" s="76"/>
      <c r="K442" s="76"/>
      <c r="L442" s="76"/>
      <c r="M442" s="76"/>
      <c r="N442" s="211">
        <v>25</v>
      </c>
      <c r="P442" s="209"/>
    </row>
    <row r="443" spans="1:16" ht="13" x14ac:dyDescent="0.3">
      <c r="A443" s="77" t="s">
        <v>672</v>
      </c>
      <c r="B443" s="41"/>
      <c r="C443" s="41" t="s">
        <v>673</v>
      </c>
      <c r="D443" s="46"/>
      <c r="E443" s="46"/>
      <c r="F443" s="78"/>
      <c r="G443" s="78"/>
      <c r="H443" s="46"/>
      <c r="I443" s="46"/>
      <c r="J443" s="46"/>
      <c r="K443" s="46"/>
      <c r="L443" s="46"/>
      <c r="M443" s="46"/>
      <c r="N443" s="79"/>
      <c r="P443" s="209"/>
    </row>
    <row r="444" spans="1:16" x14ac:dyDescent="0.25">
      <c r="A444" s="80" t="s">
        <v>874</v>
      </c>
      <c r="B444" s="46"/>
      <c r="C444" s="81">
        <v>1316</v>
      </c>
      <c r="D444" s="46"/>
      <c r="E444" s="46"/>
      <c r="F444" s="78"/>
      <c r="G444" s="78"/>
      <c r="H444" s="46"/>
      <c r="I444" s="46"/>
      <c r="J444" s="46"/>
      <c r="K444" s="46"/>
      <c r="L444" s="46"/>
      <c r="M444" s="46"/>
      <c r="N444" s="79"/>
      <c r="P444" s="209">
        <v>442</v>
      </c>
    </row>
    <row r="445" spans="1:16" ht="13" x14ac:dyDescent="0.3">
      <c r="A445" s="77" t="s">
        <v>681</v>
      </c>
      <c r="B445" s="41" t="s">
        <v>680</v>
      </c>
      <c r="C445" s="41" t="s">
        <v>678</v>
      </c>
      <c r="D445" s="41" t="s">
        <v>695</v>
      </c>
      <c r="E445" s="41" t="s">
        <v>679</v>
      </c>
      <c r="F445" s="41" t="s">
        <v>1186</v>
      </c>
      <c r="G445" s="78"/>
      <c r="H445" s="46"/>
      <c r="I445" s="46"/>
      <c r="J445" s="46"/>
      <c r="K445" s="46"/>
      <c r="L445" s="46"/>
      <c r="M445" s="46"/>
      <c r="N445" s="79"/>
      <c r="P445" s="209"/>
    </row>
    <row r="446" spans="1:16" x14ac:dyDescent="0.25">
      <c r="A446" s="80">
        <v>2</v>
      </c>
      <c r="B446" s="78">
        <v>2</v>
      </c>
      <c r="C446" s="82">
        <v>0.12</v>
      </c>
      <c r="D446" s="78">
        <v>65</v>
      </c>
      <c r="E446" s="78">
        <v>81</v>
      </c>
      <c r="F446" s="78">
        <v>1</v>
      </c>
      <c r="G446" s="78"/>
      <c r="H446" s="46"/>
      <c r="I446" s="46"/>
      <c r="J446" s="46"/>
      <c r="K446" s="46"/>
      <c r="L446" s="46"/>
      <c r="M446" s="78" t="s">
        <v>65</v>
      </c>
      <c r="N446" s="83" t="s">
        <v>65</v>
      </c>
      <c r="P446" s="209"/>
    </row>
    <row r="447" spans="1:16" ht="13" x14ac:dyDescent="0.3">
      <c r="A447" s="84"/>
      <c r="B447" s="13"/>
      <c r="C447" s="78" t="s">
        <v>20</v>
      </c>
      <c r="D447" s="78" t="s">
        <v>20</v>
      </c>
      <c r="E447" s="78" t="s">
        <v>20</v>
      </c>
      <c r="F447" s="78"/>
      <c r="G447" s="78" t="s">
        <v>39</v>
      </c>
      <c r="H447" s="78" t="s">
        <v>39</v>
      </c>
      <c r="I447" s="78" t="s">
        <v>39</v>
      </c>
      <c r="J447" s="78" t="s">
        <v>63</v>
      </c>
      <c r="K447" s="78" t="s">
        <v>62</v>
      </c>
      <c r="L447" s="78" t="s">
        <v>39</v>
      </c>
      <c r="M447" s="78" t="s">
        <v>64</v>
      </c>
      <c r="N447" s="83" t="s">
        <v>64</v>
      </c>
      <c r="P447" s="209"/>
    </row>
    <row r="448" spans="1:16" ht="13" x14ac:dyDescent="0.3">
      <c r="A448" s="85" t="s">
        <v>32</v>
      </c>
      <c r="B448" s="5" t="s">
        <v>33</v>
      </c>
      <c r="C448" s="5" t="s">
        <v>34</v>
      </c>
      <c r="D448" s="5" t="s">
        <v>35</v>
      </c>
      <c r="E448" s="5" t="s">
        <v>814</v>
      </c>
      <c r="F448" s="5" t="s">
        <v>816</v>
      </c>
      <c r="G448" s="5" t="s">
        <v>815</v>
      </c>
      <c r="H448" s="5" t="s">
        <v>36</v>
      </c>
      <c r="I448" s="5" t="s">
        <v>66</v>
      </c>
      <c r="J448" s="5" t="s">
        <v>56</v>
      </c>
      <c r="K448" s="5" t="s">
        <v>57</v>
      </c>
      <c r="L448" s="5" t="s">
        <v>58</v>
      </c>
      <c r="M448" s="5" t="s">
        <v>59</v>
      </c>
      <c r="N448" s="86" t="s">
        <v>60</v>
      </c>
      <c r="P448" s="209"/>
    </row>
    <row r="449" spans="1:16" x14ac:dyDescent="0.25">
      <c r="A449" s="87">
        <v>1</v>
      </c>
      <c r="B449" s="82">
        <v>100</v>
      </c>
      <c r="C449" s="82">
        <v>0.45600000000000002</v>
      </c>
      <c r="D449" s="82">
        <v>0.221</v>
      </c>
      <c r="E449" s="82">
        <v>0.09</v>
      </c>
      <c r="F449" s="82">
        <v>0.03</v>
      </c>
      <c r="G449" s="82">
        <v>0.1162</v>
      </c>
      <c r="H449" s="82">
        <v>0.3</v>
      </c>
      <c r="I449" s="82">
        <v>0.26</v>
      </c>
      <c r="J449" s="82">
        <v>1.39</v>
      </c>
      <c r="K449" s="82">
        <v>0.12039999999999998</v>
      </c>
      <c r="L449" s="82">
        <v>0.1</v>
      </c>
      <c r="M449" s="82">
        <v>106.20075368276807</v>
      </c>
      <c r="N449" s="212">
        <v>0</v>
      </c>
      <c r="P449" s="209"/>
    </row>
    <row r="450" spans="1:16" x14ac:dyDescent="0.25">
      <c r="A450" s="87">
        <v>2</v>
      </c>
      <c r="B450" s="82">
        <v>0</v>
      </c>
      <c r="C450" s="82" t="s">
        <v>39</v>
      </c>
      <c r="D450" s="82" t="s">
        <v>39</v>
      </c>
      <c r="E450" s="82" t="s">
        <v>39</v>
      </c>
      <c r="F450" s="82" t="e">
        <v>#VALUE!</v>
      </c>
      <c r="G450" s="82" t="e">
        <v>#VALUE!</v>
      </c>
      <c r="H450" s="82" t="s">
        <v>39</v>
      </c>
      <c r="I450" s="82" t="e">
        <v>#VALUE!</v>
      </c>
      <c r="J450" s="82" t="s">
        <v>39</v>
      </c>
      <c r="K450" s="82" t="s">
        <v>39</v>
      </c>
      <c r="L450" s="82">
        <v>0.1</v>
      </c>
      <c r="M450" s="82" t="e">
        <v>#VALUE!</v>
      </c>
      <c r="N450" s="212">
        <v>0</v>
      </c>
      <c r="P450" s="209" t="s">
        <v>966</v>
      </c>
    </row>
    <row r="451" spans="1:16" x14ac:dyDescent="0.25">
      <c r="A451" s="87">
        <v>3</v>
      </c>
      <c r="B451" s="82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2"/>
      <c r="N451" s="212"/>
      <c r="P451" s="209"/>
    </row>
    <row r="452" spans="1:16" x14ac:dyDescent="0.25">
      <c r="A452" s="87">
        <v>4</v>
      </c>
      <c r="B452" s="82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212"/>
      <c r="P452" s="209"/>
    </row>
    <row r="453" spans="1:16" x14ac:dyDescent="0.25">
      <c r="A453" s="87">
        <v>5</v>
      </c>
      <c r="B453" s="82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2"/>
      <c r="N453" s="212"/>
      <c r="P453" s="209"/>
    </row>
    <row r="454" spans="1:16" x14ac:dyDescent="0.25">
      <c r="A454" s="87">
        <v>6</v>
      </c>
      <c r="B454" s="82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/>
      <c r="N454" s="212"/>
      <c r="P454" s="209"/>
    </row>
    <row r="455" spans="1:16" x14ac:dyDescent="0.25">
      <c r="A455" s="87">
        <v>7</v>
      </c>
      <c r="B455" s="82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2"/>
      <c r="N455" s="212"/>
      <c r="P455" s="209"/>
    </row>
    <row r="456" spans="1:16" x14ac:dyDescent="0.25">
      <c r="A456" s="87">
        <v>8</v>
      </c>
      <c r="B456" s="82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/>
      <c r="N456" s="212"/>
      <c r="P456" s="209"/>
    </row>
    <row r="457" spans="1:16" x14ac:dyDescent="0.25">
      <c r="A457" s="87">
        <v>9</v>
      </c>
      <c r="B457" s="82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2"/>
      <c r="N457" s="212"/>
      <c r="P457" s="209"/>
    </row>
    <row r="458" spans="1:16" ht="13" thickBot="1" x14ac:dyDescent="0.3">
      <c r="A458" s="218">
        <v>10</v>
      </c>
      <c r="B458" s="104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213"/>
      <c r="P458" s="209"/>
    </row>
    <row r="459" spans="1:16" x14ac:dyDescent="0.25">
      <c r="A459" s="3"/>
      <c r="C459" s="3"/>
      <c r="D459" s="3"/>
      <c r="E459" s="3"/>
      <c r="F459" s="3"/>
      <c r="P459" s="209"/>
    </row>
    <row r="460" spans="1:16" ht="13" thickBot="1" x14ac:dyDescent="0.3">
      <c r="A460" s="3"/>
      <c r="C460" s="3"/>
      <c r="D460" s="3"/>
      <c r="E460" s="3"/>
      <c r="F460" s="3"/>
      <c r="P460" s="209"/>
    </row>
    <row r="461" spans="1:16" ht="13" x14ac:dyDescent="0.3">
      <c r="A461" s="74" t="s">
        <v>677</v>
      </c>
      <c r="B461" s="75"/>
      <c r="C461" s="76"/>
      <c r="D461" s="76"/>
      <c r="E461" s="76"/>
      <c r="F461" s="75"/>
      <c r="G461" s="75"/>
      <c r="H461" s="76"/>
      <c r="I461" s="76"/>
      <c r="J461" s="76"/>
      <c r="K461" s="76"/>
      <c r="L461" s="76"/>
      <c r="M461" s="76"/>
      <c r="N461" s="211">
        <v>26</v>
      </c>
      <c r="P461" s="209"/>
    </row>
    <row r="462" spans="1:16" ht="13" x14ac:dyDescent="0.3">
      <c r="A462" s="77" t="s">
        <v>672</v>
      </c>
      <c r="B462" s="41"/>
      <c r="C462" s="41" t="s">
        <v>673</v>
      </c>
      <c r="D462" s="46"/>
      <c r="E462" s="46"/>
      <c r="F462" s="78"/>
      <c r="G462" s="78"/>
      <c r="H462" s="46"/>
      <c r="I462" s="46"/>
      <c r="J462" s="46"/>
      <c r="K462" s="46"/>
      <c r="L462" s="46"/>
      <c r="M462" s="46"/>
      <c r="N462" s="79"/>
      <c r="P462" s="209"/>
    </row>
    <row r="463" spans="1:16" x14ac:dyDescent="0.25">
      <c r="A463" s="80" t="s">
        <v>876</v>
      </c>
      <c r="B463" s="46"/>
      <c r="C463" s="81">
        <v>1316</v>
      </c>
      <c r="D463" s="46"/>
      <c r="E463" s="46"/>
      <c r="F463" s="78"/>
      <c r="G463" s="78"/>
      <c r="H463" s="46"/>
      <c r="I463" s="46"/>
      <c r="J463" s="46"/>
      <c r="K463" s="46"/>
      <c r="L463" s="46"/>
      <c r="M463" s="46"/>
      <c r="N463" s="79"/>
      <c r="P463" s="209">
        <v>461</v>
      </c>
    </row>
    <row r="464" spans="1:16" ht="13" x14ac:dyDescent="0.3">
      <c r="A464" s="77" t="s">
        <v>681</v>
      </c>
      <c r="B464" s="41" t="s">
        <v>680</v>
      </c>
      <c r="C464" s="41" t="s">
        <v>678</v>
      </c>
      <c r="D464" s="41" t="s">
        <v>695</v>
      </c>
      <c r="E464" s="41" t="s">
        <v>679</v>
      </c>
      <c r="F464" s="41" t="s">
        <v>1186</v>
      </c>
      <c r="G464" s="78"/>
      <c r="H464" s="46"/>
      <c r="I464" s="46"/>
      <c r="J464" s="46"/>
      <c r="K464" s="46"/>
      <c r="L464" s="46"/>
      <c r="M464" s="46"/>
      <c r="N464" s="79"/>
      <c r="P464" s="209"/>
    </row>
    <row r="465" spans="1:16" x14ac:dyDescent="0.25">
      <c r="A465" s="80">
        <v>2</v>
      </c>
      <c r="B465" s="78">
        <v>2</v>
      </c>
      <c r="C465" s="82">
        <v>0.12</v>
      </c>
      <c r="D465" s="78">
        <v>64</v>
      </c>
      <c r="E465" s="78">
        <v>81</v>
      </c>
      <c r="F465" s="78">
        <v>1</v>
      </c>
      <c r="G465" s="78"/>
      <c r="H465" s="46"/>
      <c r="I465" s="46"/>
      <c r="J465" s="46"/>
      <c r="K465" s="46"/>
      <c r="L465" s="46"/>
      <c r="M465" s="78" t="s">
        <v>65</v>
      </c>
      <c r="N465" s="83" t="s">
        <v>65</v>
      </c>
      <c r="P465" s="209"/>
    </row>
    <row r="466" spans="1:16" ht="13" x14ac:dyDescent="0.3">
      <c r="A466" s="84"/>
      <c r="B466" s="13"/>
      <c r="C466" s="78" t="s">
        <v>20</v>
      </c>
      <c r="D466" s="78" t="s">
        <v>20</v>
      </c>
      <c r="E466" s="78" t="s">
        <v>20</v>
      </c>
      <c r="F466" s="78"/>
      <c r="G466" s="78" t="s">
        <v>39</v>
      </c>
      <c r="H466" s="78" t="s">
        <v>39</v>
      </c>
      <c r="I466" s="78" t="s">
        <v>39</v>
      </c>
      <c r="J466" s="78" t="s">
        <v>63</v>
      </c>
      <c r="K466" s="78" t="s">
        <v>62</v>
      </c>
      <c r="L466" s="78" t="s">
        <v>39</v>
      </c>
      <c r="M466" s="78" t="s">
        <v>64</v>
      </c>
      <c r="N466" s="83" t="s">
        <v>64</v>
      </c>
      <c r="P466" s="209"/>
    </row>
    <row r="467" spans="1:16" ht="13" x14ac:dyDescent="0.3">
      <c r="A467" s="85" t="s">
        <v>32</v>
      </c>
      <c r="B467" s="5" t="s">
        <v>33</v>
      </c>
      <c r="C467" s="5" t="s">
        <v>34</v>
      </c>
      <c r="D467" s="5" t="s">
        <v>35</v>
      </c>
      <c r="E467" s="5" t="s">
        <v>814</v>
      </c>
      <c r="F467" s="5" t="s">
        <v>816</v>
      </c>
      <c r="G467" s="5" t="s">
        <v>815</v>
      </c>
      <c r="H467" s="5" t="s">
        <v>36</v>
      </c>
      <c r="I467" s="5" t="s">
        <v>66</v>
      </c>
      <c r="J467" s="5" t="s">
        <v>56</v>
      </c>
      <c r="K467" s="5" t="s">
        <v>57</v>
      </c>
      <c r="L467" s="5" t="s">
        <v>58</v>
      </c>
      <c r="M467" s="5" t="s">
        <v>59</v>
      </c>
      <c r="N467" s="86" t="s">
        <v>60</v>
      </c>
      <c r="P467" s="209"/>
    </row>
    <row r="468" spans="1:16" x14ac:dyDescent="0.25">
      <c r="A468" s="87">
        <v>1</v>
      </c>
      <c r="B468" s="82">
        <v>100</v>
      </c>
      <c r="C468" s="82">
        <v>0.45600000000000002</v>
      </c>
      <c r="D468" s="82">
        <v>0.221</v>
      </c>
      <c r="E468" s="82">
        <v>0.09</v>
      </c>
      <c r="F468" s="82">
        <v>0.03</v>
      </c>
      <c r="G468" s="82">
        <v>0.1162</v>
      </c>
      <c r="H468" s="82">
        <v>0.3</v>
      </c>
      <c r="I468" s="82">
        <v>0.26</v>
      </c>
      <c r="J468" s="82">
        <v>1.39</v>
      </c>
      <c r="K468" s="82">
        <v>0.12039999999999998</v>
      </c>
      <c r="L468" s="82">
        <v>0.1</v>
      </c>
      <c r="M468" s="82">
        <v>106.20075368276807</v>
      </c>
      <c r="N468" s="212">
        <v>0</v>
      </c>
      <c r="P468" s="209"/>
    </row>
    <row r="469" spans="1:16" x14ac:dyDescent="0.25">
      <c r="A469" s="87">
        <v>2</v>
      </c>
      <c r="B469" s="82">
        <v>0</v>
      </c>
      <c r="C469" s="82" t="s">
        <v>39</v>
      </c>
      <c r="D469" s="82" t="s">
        <v>39</v>
      </c>
      <c r="E469" s="82" t="s">
        <v>39</v>
      </c>
      <c r="F469" s="82" t="e">
        <v>#VALUE!</v>
      </c>
      <c r="G469" s="82" t="e">
        <v>#VALUE!</v>
      </c>
      <c r="H469" s="82" t="s">
        <v>39</v>
      </c>
      <c r="I469" s="82" t="e">
        <v>#VALUE!</v>
      </c>
      <c r="J469" s="82" t="s">
        <v>39</v>
      </c>
      <c r="K469" s="82" t="s">
        <v>39</v>
      </c>
      <c r="L469" s="82">
        <v>0.1</v>
      </c>
      <c r="M469" s="82" t="e">
        <v>#VALUE!</v>
      </c>
      <c r="N469" s="212">
        <v>0</v>
      </c>
      <c r="P469" s="209" t="s">
        <v>966</v>
      </c>
    </row>
    <row r="470" spans="1:16" x14ac:dyDescent="0.25">
      <c r="A470" s="87">
        <v>3</v>
      </c>
      <c r="B470" s="82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212"/>
      <c r="P470" s="209"/>
    </row>
    <row r="471" spans="1:16" x14ac:dyDescent="0.25">
      <c r="A471" s="87">
        <v>4</v>
      </c>
      <c r="B471" s="82"/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2"/>
      <c r="N471" s="212"/>
      <c r="P471" s="209"/>
    </row>
    <row r="472" spans="1:16" x14ac:dyDescent="0.25">
      <c r="A472" s="87">
        <v>5</v>
      </c>
      <c r="B472" s="82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/>
      <c r="N472" s="212"/>
      <c r="P472" s="209"/>
    </row>
    <row r="473" spans="1:16" x14ac:dyDescent="0.25">
      <c r="A473" s="87">
        <v>6</v>
      </c>
      <c r="B473" s="82"/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2"/>
      <c r="N473" s="212"/>
      <c r="P473" s="209"/>
    </row>
    <row r="474" spans="1:16" x14ac:dyDescent="0.25">
      <c r="A474" s="87">
        <v>7</v>
      </c>
      <c r="B474" s="82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212"/>
      <c r="P474" s="209"/>
    </row>
    <row r="475" spans="1:16" x14ac:dyDescent="0.25">
      <c r="A475" s="87">
        <v>8</v>
      </c>
      <c r="B475" s="82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2"/>
      <c r="N475" s="212"/>
      <c r="P475" s="209"/>
    </row>
    <row r="476" spans="1:16" x14ac:dyDescent="0.25">
      <c r="A476" s="87">
        <v>9</v>
      </c>
      <c r="B476" s="82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212"/>
      <c r="P476" s="209"/>
    </row>
    <row r="477" spans="1:16" ht="13" thickBot="1" x14ac:dyDescent="0.3">
      <c r="A477" s="218">
        <v>10</v>
      </c>
      <c r="B477" s="104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213"/>
      <c r="P477" s="209"/>
    </row>
    <row r="478" spans="1:16" x14ac:dyDescent="0.25">
      <c r="A478" s="3"/>
      <c r="C478" s="3"/>
      <c r="D478" s="3"/>
      <c r="E478" s="3"/>
      <c r="F478" s="3"/>
      <c r="P478" s="209"/>
    </row>
    <row r="479" spans="1:16" ht="13" thickBot="1" x14ac:dyDescent="0.3">
      <c r="A479" s="3"/>
      <c r="C479" s="3"/>
      <c r="D479" s="3"/>
      <c r="E479" s="3"/>
      <c r="F479" s="3"/>
      <c r="P479" s="209"/>
    </row>
    <row r="480" spans="1:16" ht="13" x14ac:dyDescent="0.3">
      <c r="A480" s="74" t="s">
        <v>677</v>
      </c>
      <c r="B480" s="75"/>
      <c r="C480" s="76"/>
      <c r="D480" s="76"/>
      <c r="E480" s="76"/>
      <c r="F480" s="75"/>
      <c r="G480" s="75"/>
      <c r="H480" s="76"/>
      <c r="I480" s="76"/>
      <c r="J480" s="76"/>
      <c r="K480" s="76"/>
      <c r="L480" s="76"/>
      <c r="M480" s="76"/>
      <c r="N480" s="211">
        <v>27</v>
      </c>
      <c r="P480" s="209"/>
    </row>
    <row r="481" spans="1:16" ht="13" x14ac:dyDescent="0.3">
      <c r="A481" s="77" t="s">
        <v>672</v>
      </c>
      <c r="B481" s="41"/>
      <c r="C481" s="41" t="s">
        <v>673</v>
      </c>
      <c r="D481" s="46"/>
      <c r="E481" s="46"/>
      <c r="F481" s="78"/>
      <c r="G481" s="78"/>
      <c r="H481" s="46"/>
      <c r="I481" s="46"/>
      <c r="J481" s="46"/>
      <c r="K481" s="46"/>
      <c r="L481" s="46"/>
      <c r="M481" s="46"/>
      <c r="N481" s="79"/>
      <c r="P481" s="209"/>
    </row>
    <row r="482" spans="1:16" x14ac:dyDescent="0.25">
      <c r="A482" s="80" t="s">
        <v>878</v>
      </c>
      <c r="B482" s="46"/>
      <c r="C482" s="81">
        <v>1316</v>
      </c>
      <c r="D482" s="46"/>
      <c r="E482" s="46"/>
      <c r="F482" s="78"/>
      <c r="G482" s="78"/>
      <c r="H482" s="46"/>
      <c r="I482" s="46"/>
      <c r="J482" s="46"/>
      <c r="K482" s="46"/>
      <c r="L482" s="46"/>
      <c r="M482" s="46"/>
      <c r="N482" s="79"/>
      <c r="P482" s="209">
        <v>480</v>
      </c>
    </row>
    <row r="483" spans="1:16" ht="13" x14ac:dyDescent="0.3">
      <c r="A483" s="77" t="s">
        <v>681</v>
      </c>
      <c r="B483" s="41" t="s">
        <v>680</v>
      </c>
      <c r="C483" s="41" t="s">
        <v>678</v>
      </c>
      <c r="D483" s="41" t="s">
        <v>695</v>
      </c>
      <c r="E483" s="41" t="s">
        <v>679</v>
      </c>
      <c r="F483" s="41" t="s">
        <v>1186</v>
      </c>
      <c r="G483" s="78"/>
      <c r="H483" s="46"/>
      <c r="I483" s="46"/>
      <c r="J483" s="46"/>
      <c r="K483" s="46"/>
      <c r="L483" s="46"/>
      <c r="M483" s="46"/>
      <c r="N483" s="79"/>
      <c r="P483" s="209"/>
    </row>
    <row r="484" spans="1:16" x14ac:dyDescent="0.25">
      <c r="A484" s="80">
        <v>2</v>
      </c>
      <c r="B484" s="78">
        <v>2</v>
      </c>
      <c r="C484" s="82">
        <v>0.12</v>
      </c>
      <c r="D484" s="78">
        <v>63</v>
      </c>
      <c r="E484" s="78">
        <v>81</v>
      </c>
      <c r="F484" s="78">
        <v>1</v>
      </c>
      <c r="G484" s="78"/>
      <c r="H484" s="46"/>
      <c r="I484" s="46"/>
      <c r="J484" s="46"/>
      <c r="K484" s="46"/>
      <c r="L484" s="46"/>
      <c r="M484" s="78" t="s">
        <v>65</v>
      </c>
      <c r="N484" s="83" t="s">
        <v>65</v>
      </c>
      <c r="P484" s="209"/>
    </row>
    <row r="485" spans="1:16" ht="13" x14ac:dyDescent="0.3">
      <c r="A485" s="84"/>
      <c r="B485" s="13"/>
      <c r="C485" s="78" t="s">
        <v>20</v>
      </c>
      <c r="D485" s="78" t="s">
        <v>20</v>
      </c>
      <c r="E485" s="78" t="s">
        <v>20</v>
      </c>
      <c r="F485" s="78"/>
      <c r="G485" s="78" t="s">
        <v>39</v>
      </c>
      <c r="H485" s="78" t="s">
        <v>39</v>
      </c>
      <c r="I485" s="78" t="s">
        <v>39</v>
      </c>
      <c r="J485" s="78" t="s">
        <v>63</v>
      </c>
      <c r="K485" s="78" t="s">
        <v>62</v>
      </c>
      <c r="L485" s="78" t="s">
        <v>39</v>
      </c>
      <c r="M485" s="78" t="s">
        <v>64</v>
      </c>
      <c r="N485" s="83" t="s">
        <v>64</v>
      </c>
      <c r="P485" s="209"/>
    </row>
    <row r="486" spans="1:16" ht="13" x14ac:dyDescent="0.3">
      <c r="A486" s="85" t="s">
        <v>32</v>
      </c>
      <c r="B486" s="5" t="s">
        <v>33</v>
      </c>
      <c r="C486" s="5" t="s">
        <v>34</v>
      </c>
      <c r="D486" s="5" t="s">
        <v>35</v>
      </c>
      <c r="E486" s="5" t="s">
        <v>814</v>
      </c>
      <c r="F486" s="5" t="s">
        <v>816</v>
      </c>
      <c r="G486" s="5" t="s">
        <v>815</v>
      </c>
      <c r="H486" s="5" t="s">
        <v>36</v>
      </c>
      <c r="I486" s="5" t="s">
        <v>66</v>
      </c>
      <c r="J486" s="5" t="s">
        <v>56</v>
      </c>
      <c r="K486" s="5" t="s">
        <v>57</v>
      </c>
      <c r="L486" s="5" t="s">
        <v>58</v>
      </c>
      <c r="M486" s="5" t="s">
        <v>59</v>
      </c>
      <c r="N486" s="86" t="s">
        <v>60</v>
      </c>
      <c r="P486" s="209"/>
    </row>
    <row r="487" spans="1:16" x14ac:dyDescent="0.25">
      <c r="A487" s="87">
        <v>1</v>
      </c>
      <c r="B487" s="82">
        <v>100</v>
      </c>
      <c r="C487" s="82">
        <v>0.45600000000000002</v>
      </c>
      <c r="D487" s="82">
        <v>0.221</v>
      </c>
      <c r="E487" s="82">
        <v>0.09</v>
      </c>
      <c r="F487" s="82">
        <v>0.03</v>
      </c>
      <c r="G487" s="82">
        <v>0.1162</v>
      </c>
      <c r="H487" s="82">
        <v>0.3</v>
      </c>
      <c r="I487" s="82">
        <v>0.26</v>
      </c>
      <c r="J487" s="82">
        <v>1.39</v>
      </c>
      <c r="K487" s="82">
        <v>0.12039999999999998</v>
      </c>
      <c r="L487" s="82">
        <v>0.1</v>
      </c>
      <c r="M487" s="82">
        <v>106.20075368276807</v>
      </c>
      <c r="N487" s="212">
        <v>0</v>
      </c>
      <c r="P487" s="209"/>
    </row>
    <row r="488" spans="1:16" x14ac:dyDescent="0.25">
      <c r="A488" s="87">
        <v>2</v>
      </c>
      <c r="B488" s="82">
        <v>0</v>
      </c>
      <c r="C488" s="82" t="s">
        <v>39</v>
      </c>
      <c r="D488" s="82" t="s">
        <v>39</v>
      </c>
      <c r="E488" s="82" t="s">
        <v>39</v>
      </c>
      <c r="F488" s="82" t="e">
        <v>#VALUE!</v>
      </c>
      <c r="G488" s="82" t="e">
        <v>#VALUE!</v>
      </c>
      <c r="H488" s="82" t="s">
        <v>39</v>
      </c>
      <c r="I488" s="82" t="e">
        <v>#VALUE!</v>
      </c>
      <c r="J488" s="82" t="s">
        <v>39</v>
      </c>
      <c r="K488" s="82" t="s">
        <v>39</v>
      </c>
      <c r="L488" s="82">
        <v>0.1</v>
      </c>
      <c r="M488" s="82" t="e">
        <v>#VALUE!</v>
      </c>
      <c r="N488" s="212">
        <v>0</v>
      </c>
      <c r="P488" s="209" t="s">
        <v>966</v>
      </c>
    </row>
    <row r="489" spans="1:16" x14ac:dyDescent="0.25">
      <c r="A489" s="87">
        <v>3</v>
      </c>
      <c r="B489" s="82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2"/>
      <c r="N489" s="212"/>
      <c r="P489" s="209"/>
    </row>
    <row r="490" spans="1:16" x14ac:dyDescent="0.25">
      <c r="A490" s="87">
        <v>4</v>
      </c>
      <c r="B490" s="82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212"/>
      <c r="P490" s="209"/>
    </row>
    <row r="491" spans="1:16" x14ac:dyDescent="0.25">
      <c r="A491" s="87">
        <v>5</v>
      </c>
      <c r="B491" s="82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2"/>
      <c r="N491" s="212"/>
      <c r="P491" s="209"/>
    </row>
    <row r="492" spans="1:16" x14ac:dyDescent="0.25">
      <c r="A492" s="87">
        <v>6</v>
      </c>
      <c r="B492" s="82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212"/>
      <c r="P492" s="209"/>
    </row>
    <row r="493" spans="1:16" x14ac:dyDescent="0.25">
      <c r="A493" s="87">
        <v>7</v>
      </c>
      <c r="B493" s="82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2"/>
      <c r="N493" s="212"/>
      <c r="P493" s="209"/>
    </row>
    <row r="494" spans="1:16" x14ac:dyDescent="0.25">
      <c r="A494" s="87">
        <v>8</v>
      </c>
      <c r="B494" s="82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212"/>
      <c r="P494" s="209"/>
    </row>
    <row r="495" spans="1:16" x14ac:dyDescent="0.25">
      <c r="A495" s="87">
        <v>9</v>
      </c>
      <c r="B495" s="82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2"/>
      <c r="N495" s="212"/>
      <c r="P495" s="209"/>
    </row>
    <row r="496" spans="1:16" ht="13" thickBot="1" x14ac:dyDescent="0.3">
      <c r="A496" s="218">
        <v>10</v>
      </c>
      <c r="B496" s="104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213"/>
      <c r="P496" s="209"/>
    </row>
    <row r="497" spans="1:16" x14ac:dyDescent="0.25">
      <c r="A497" s="3"/>
      <c r="C497" s="3"/>
      <c r="D497" s="3"/>
      <c r="E497" s="3"/>
      <c r="F497" s="3"/>
      <c r="P497" s="209"/>
    </row>
    <row r="498" spans="1:16" ht="13" thickBot="1" x14ac:dyDescent="0.3">
      <c r="A498" s="3"/>
      <c r="C498" s="3"/>
      <c r="D498" s="3"/>
      <c r="E498" s="3"/>
      <c r="F498" s="3"/>
      <c r="P498" s="209"/>
    </row>
    <row r="499" spans="1:16" ht="13" x14ac:dyDescent="0.3">
      <c r="A499" s="74" t="s">
        <v>677</v>
      </c>
      <c r="B499" s="75"/>
      <c r="C499" s="76"/>
      <c r="D499" s="76"/>
      <c r="E499" s="76"/>
      <c r="F499" s="75"/>
      <c r="G499" s="75"/>
      <c r="H499" s="76"/>
      <c r="I499" s="76"/>
      <c r="J499" s="76"/>
      <c r="K499" s="76"/>
      <c r="L499" s="76"/>
      <c r="M499" s="76"/>
      <c r="N499" s="211">
        <v>28</v>
      </c>
      <c r="P499" s="209"/>
    </row>
    <row r="500" spans="1:16" ht="13" x14ac:dyDescent="0.3">
      <c r="A500" s="77" t="s">
        <v>672</v>
      </c>
      <c r="B500" s="41"/>
      <c r="C500" s="41" t="s">
        <v>673</v>
      </c>
      <c r="D500" s="46"/>
      <c r="E500" s="46"/>
      <c r="F500" s="78"/>
      <c r="G500" s="78"/>
      <c r="H500" s="46"/>
      <c r="I500" s="46"/>
      <c r="J500" s="46"/>
      <c r="K500" s="46"/>
      <c r="L500" s="46"/>
      <c r="M500" s="46"/>
      <c r="N500" s="79"/>
      <c r="P500" s="209"/>
    </row>
    <row r="501" spans="1:16" x14ac:dyDescent="0.25">
      <c r="A501" s="80" t="s">
        <v>880</v>
      </c>
      <c r="B501" s="46"/>
      <c r="C501" s="81">
        <v>1316</v>
      </c>
      <c r="D501" s="46"/>
      <c r="E501" s="46"/>
      <c r="F501" s="78"/>
      <c r="G501" s="78"/>
      <c r="H501" s="46"/>
      <c r="I501" s="46"/>
      <c r="J501" s="46"/>
      <c r="K501" s="46"/>
      <c r="L501" s="46"/>
      <c r="M501" s="46"/>
      <c r="N501" s="79"/>
      <c r="P501" s="209">
        <v>499</v>
      </c>
    </row>
    <row r="502" spans="1:16" ht="13" x14ac:dyDescent="0.3">
      <c r="A502" s="77" t="s">
        <v>681</v>
      </c>
      <c r="B502" s="41" t="s">
        <v>680</v>
      </c>
      <c r="C502" s="41" t="s">
        <v>678</v>
      </c>
      <c r="D502" s="41" t="s">
        <v>695</v>
      </c>
      <c r="E502" s="41" t="s">
        <v>679</v>
      </c>
      <c r="F502" s="41" t="s">
        <v>1186</v>
      </c>
      <c r="G502" s="78"/>
      <c r="H502" s="46"/>
      <c r="I502" s="46"/>
      <c r="J502" s="46"/>
      <c r="K502" s="46"/>
      <c r="L502" s="46"/>
      <c r="M502" s="46"/>
      <c r="N502" s="79"/>
      <c r="P502" s="209"/>
    </row>
    <row r="503" spans="1:16" x14ac:dyDescent="0.25">
      <c r="A503" s="80">
        <v>2</v>
      </c>
      <c r="B503" s="78">
        <v>2</v>
      </c>
      <c r="C503" s="82">
        <v>0.12</v>
      </c>
      <c r="D503" s="78">
        <v>62</v>
      </c>
      <c r="E503" s="78">
        <v>81</v>
      </c>
      <c r="F503" s="78">
        <v>1</v>
      </c>
      <c r="G503" s="78"/>
      <c r="H503" s="46"/>
      <c r="I503" s="46"/>
      <c r="J503" s="46"/>
      <c r="K503" s="46"/>
      <c r="L503" s="46"/>
      <c r="M503" s="78" t="s">
        <v>65</v>
      </c>
      <c r="N503" s="83" t="s">
        <v>65</v>
      </c>
      <c r="P503" s="209"/>
    </row>
    <row r="504" spans="1:16" ht="13" x14ac:dyDescent="0.3">
      <c r="A504" s="84"/>
      <c r="B504" s="13"/>
      <c r="C504" s="78" t="s">
        <v>20</v>
      </c>
      <c r="D504" s="78" t="s">
        <v>20</v>
      </c>
      <c r="E504" s="78" t="s">
        <v>20</v>
      </c>
      <c r="F504" s="78"/>
      <c r="G504" s="78" t="s">
        <v>39</v>
      </c>
      <c r="H504" s="78" t="s">
        <v>39</v>
      </c>
      <c r="I504" s="78" t="s">
        <v>39</v>
      </c>
      <c r="J504" s="78" t="s">
        <v>63</v>
      </c>
      <c r="K504" s="78" t="s">
        <v>62</v>
      </c>
      <c r="L504" s="78" t="s">
        <v>39</v>
      </c>
      <c r="M504" s="78" t="s">
        <v>64</v>
      </c>
      <c r="N504" s="83" t="s">
        <v>64</v>
      </c>
      <c r="P504" s="209"/>
    </row>
    <row r="505" spans="1:16" ht="13" x14ac:dyDescent="0.3">
      <c r="A505" s="85" t="s">
        <v>32</v>
      </c>
      <c r="B505" s="5" t="s">
        <v>33</v>
      </c>
      <c r="C505" s="5" t="s">
        <v>34</v>
      </c>
      <c r="D505" s="5" t="s">
        <v>35</v>
      </c>
      <c r="E505" s="5" t="s">
        <v>814</v>
      </c>
      <c r="F505" s="5" t="s">
        <v>816</v>
      </c>
      <c r="G505" s="5" t="s">
        <v>815</v>
      </c>
      <c r="H505" s="5" t="s">
        <v>36</v>
      </c>
      <c r="I505" s="5" t="s">
        <v>66</v>
      </c>
      <c r="J505" s="5" t="s">
        <v>56</v>
      </c>
      <c r="K505" s="5" t="s">
        <v>57</v>
      </c>
      <c r="L505" s="5" t="s">
        <v>58</v>
      </c>
      <c r="M505" s="5" t="s">
        <v>59</v>
      </c>
      <c r="N505" s="86" t="s">
        <v>60</v>
      </c>
      <c r="P505" s="209"/>
    </row>
    <row r="506" spans="1:16" x14ac:dyDescent="0.25">
      <c r="A506" s="87">
        <v>1</v>
      </c>
      <c r="B506" s="82">
        <v>100</v>
      </c>
      <c r="C506" s="82">
        <v>0.45600000000000002</v>
      </c>
      <c r="D506" s="82">
        <v>0.221</v>
      </c>
      <c r="E506" s="82">
        <v>0.09</v>
      </c>
      <c r="F506" s="82">
        <v>0.03</v>
      </c>
      <c r="G506" s="82">
        <v>0.1162</v>
      </c>
      <c r="H506" s="82">
        <v>0.3</v>
      </c>
      <c r="I506" s="82">
        <v>0.26</v>
      </c>
      <c r="J506" s="82">
        <v>1.39</v>
      </c>
      <c r="K506" s="82">
        <v>0.12039999999999998</v>
      </c>
      <c r="L506" s="82">
        <v>0.1</v>
      </c>
      <c r="M506" s="82">
        <v>106.20075368276807</v>
      </c>
      <c r="N506" s="212">
        <v>0</v>
      </c>
      <c r="P506" s="209"/>
    </row>
    <row r="507" spans="1:16" x14ac:dyDescent="0.25">
      <c r="A507" s="87">
        <v>2</v>
      </c>
      <c r="B507" s="82">
        <v>0</v>
      </c>
      <c r="C507" s="82" t="s">
        <v>39</v>
      </c>
      <c r="D507" s="82" t="s">
        <v>39</v>
      </c>
      <c r="E507" s="82" t="s">
        <v>39</v>
      </c>
      <c r="F507" s="82" t="e">
        <v>#VALUE!</v>
      </c>
      <c r="G507" s="82" t="e">
        <v>#VALUE!</v>
      </c>
      <c r="H507" s="82" t="s">
        <v>39</v>
      </c>
      <c r="I507" s="82" t="e">
        <v>#VALUE!</v>
      </c>
      <c r="J507" s="82" t="s">
        <v>39</v>
      </c>
      <c r="K507" s="82" t="s">
        <v>39</v>
      </c>
      <c r="L507" s="82">
        <v>0.1</v>
      </c>
      <c r="M507" s="82" t="e">
        <v>#VALUE!</v>
      </c>
      <c r="N507" s="212">
        <v>0</v>
      </c>
      <c r="P507" s="209" t="s">
        <v>966</v>
      </c>
    </row>
    <row r="508" spans="1:16" x14ac:dyDescent="0.25">
      <c r="A508" s="87">
        <v>3</v>
      </c>
      <c r="B508" s="82"/>
      <c r="C508" s="82"/>
      <c r="D508" s="82"/>
      <c r="E508" s="82"/>
      <c r="F508" s="82"/>
      <c r="G508" s="82"/>
      <c r="H508" s="82"/>
      <c r="I508" s="82"/>
      <c r="J508" s="82"/>
      <c r="K508" s="82"/>
      <c r="L508" s="82"/>
      <c r="M508" s="82"/>
      <c r="N508" s="212"/>
      <c r="P508" s="209"/>
    </row>
    <row r="509" spans="1:16" x14ac:dyDescent="0.25">
      <c r="A509" s="87">
        <v>4</v>
      </c>
      <c r="B509" s="82"/>
      <c r="C509" s="82"/>
      <c r="D509" s="82"/>
      <c r="E509" s="82"/>
      <c r="F509" s="82"/>
      <c r="G509" s="82"/>
      <c r="H509" s="82"/>
      <c r="I509" s="82"/>
      <c r="J509" s="82"/>
      <c r="K509" s="82"/>
      <c r="L509" s="82"/>
      <c r="M509" s="82"/>
      <c r="N509" s="212"/>
      <c r="P509" s="209"/>
    </row>
    <row r="510" spans="1:16" x14ac:dyDescent="0.25">
      <c r="A510" s="87">
        <v>5</v>
      </c>
      <c r="B510" s="82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2"/>
      <c r="N510" s="212"/>
      <c r="P510" s="209"/>
    </row>
    <row r="511" spans="1:16" x14ac:dyDescent="0.25">
      <c r="A511" s="87">
        <v>6</v>
      </c>
      <c r="B511" s="82"/>
      <c r="C511" s="82"/>
      <c r="D511" s="82"/>
      <c r="E511" s="82"/>
      <c r="F511" s="82"/>
      <c r="G511" s="82"/>
      <c r="H511" s="82"/>
      <c r="I511" s="82"/>
      <c r="J511" s="82"/>
      <c r="K511" s="82"/>
      <c r="L511" s="82"/>
      <c r="M511" s="82"/>
      <c r="N511" s="212"/>
      <c r="P511" s="209"/>
    </row>
    <row r="512" spans="1:16" x14ac:dyDescent="0.25">
      <c r="A512" s="87">
        <v>7</v>
      </c>
      <c r="B512" s="82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2"/>
      <c r="N512" s="212"/>
      <c r="P512" s="209"/>
    </row>
    <row r="513" spans="1:16" x14ac:dyDescent="0.25">
      <c r="A513" s="87">
        <v>8</v>
      </c>
      <c r="B513" s="82"/>
      <c r="C513" s="82"/>
      <c r="D513" s="82"/>
      <c r="E513" s="82"/>
      <c r="F513" s="82"/>
      <c r="G513" s="82"/>
      <c r="H513" s="82"/>
      <c r="I513" s="82"/>
      <c r="J513" s="82"/>
      <c r="K513" s="82"/>
      <c r="L513" s="82"/>
      <c r="M513" s="82"/>
      <c r="N513" s="212"/>
      <c r="P513" s="209"/>
    </row>
    <row r="514" spans="1:16" x14ac:dyDescent="0.25">
      <c r="A514" s="87">
        <v>9</v>
      </c>
      <c r="B514" s="82"/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2"/>
      <c r="N514" s="212"/>
      <c r="P514" s="209"/>
    </row>
    <row r="515" spans="1:16" ht="13" thickBot="1" x14ac:dyDescent="0.3">
      <c r="A515" s="218">
        <v>10</v>
      </c>
      <c r="B515" s="104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213"/>
      <c r="P515" s="209"/>
    </row>
    <row r="516" spans="1:16" x14ac:dyDescent="0.25">
      <c r="A516" s="3"/>
      <c r="C516" s="3"/>
      <c r="D516" s="3"/>
      <c r="E516" s="3"/>
      <c r="F516" s="3"/>
      <c r="P516" s="209"/>
    </row>
    <row r="517" spans="1:16" ht="13" thickBot="1" x14ac:dyDescent="0.3">
      <c r="A517" s="3"/>
      <c r="C517" s="3"/>
      <c r="D517" s="3"/>
      <c r="E517" s="3"/>
      <c r="F517" s="3"/>
      <c r="P517" s="209"/>
    </row>
    <row r="518" spans="1:16" ht="13" x14ac:dyDescent="0.3">
      <c r="A518" s="74" t="s">
        <v>677</v>
      </c>
      <c r="B518" s="75"/>
      <c r="C518" s="76"/>
      <c r="D518" s="76"/>
      <c r="E518" s="76"/>
      <c r="F518" s="75"/>
      <c r="G518" s="75"/>
      <c r="H518" s="76"/>
      <c r="I518" s="76"/>
      <c r="J518" s="76"/>
      <c r="K518" s="76"/>
      <c r="L518" s="76"/>
      <c r="M518" s="76"/>
      <c r="N518" s="211">
        <v>29</v>
      </c>
      <c r="P518" s="209"/>
    </row>
    <row r="519" spans="1:16" ht="13" x14ac:dyDescent="0.3">
      <c r="A519" s="77" t="s">
        <v>672</v>
      </c>
      <c r="B519" s="41"/>
      <c r="C519" s="41" t="s">
        <v>673</v>
      </c>
      <c r="D519" s="46"/>
      <c r="E519" s="46"/>
      <c r="F519" s="78"/>
      <c r="G519" s="78"/>
      <c r="H519" s="46"/>
      <c r="I519" s="46"/>
      <c r="J519" s="46"/>
      <c r="K519" s="46"/>
      <c r="L519" s="46"/>
      <c r="M519" s="46"/>
      <c r="N519" s="79"/>
      <c r="P519" s="209"/>
    </row>
    <row r="520" spans="1:16" x14ac:dyDescent="0.25">
      <c r="A520" s="80" t="s">
        <v>882</v>
      </c>
      <c r="B520" s="46"/>
      <c r="C520" s="81">
        <v>1800</v>
      </c>
      <c r="D520" s="46"/>
      <c r="E520" s="46"/>
      <c r="F520" s="78"/>
      <c r="G520" s="78"/>
      <c r="H520" s="46"/>
      <c r="I520" s="46"/>
      <c r="J520" s="46"/>
      <c r="K520" s="46"/>
      <c r="L520" s="46"/>
      <c r="M520" s="46"/>
      <c r="N520" s="79"/>
      <c r="P520" s="209">
        <v>518</v>
      </c>
    </row>
    <row r="521" spans="1:16" ht="13" x14ac:dyDescent="0.3">
      <c r="A521" s="77" t="s">
        <v>681</v>
      </c>
      <c r="B521" s="41" t="s">
        <v>680</v>
      </c>
      <c r="C521" s="41" t="s">
        <v>678</v>
      </c>
      <c r="D521" s="41" t="s">
        <v>695</v>
      </c>
      <c r="E521" s="41" t="s">
        <v>679</v>
      </c>
      <c r="F521" s="41" t="s">
        <v>1186</v>
      </c>
      <c r="G521" s="78"/>
      <c r="H521" s="46"/>
      <c r="I521" s="46"/>
      <c r="J521" s="46"/>
      <c r="K521" s="46"/>
      <c r="L521" s="46"/>
      <c r="M521" s="46"/>
      <c r="N521" s="79"/>
      <c r="P521" s="209"/>
    </row>
    <row r="522" spans="1:16" x14ac:dyDescent="0.25">
      <c r="A522" s="80">
        <v>2</v>
      </c>
      <c r="B522" s="78">
        <v>2</v>
      </c>
      <c r="C522" s="82">
        <v>0.12</v>
      </c>
      <c r="D522" s="78">
        <v>61</v>
      </c>
      <c r="E522" s="78">
        <v>81</v>
      </c>
      <c r="F522" s="78">
        <v>1</v>
      </c>
      <c r="G522" s="78"/>
      <c r="H522" s="46"/>
      <c r="I522" s="46"/>
      <c r="J522" s="46"/>
      <c r="K522" s="46"/>
      <c r="L522" s="46"/>
      <c r="M522" s="78" t="s">
        <v>65</v>
      </c>
      <c r="N522" s="83" t="s">
        <v>65</v>
      </c>
      <c r="P522" s="209"/>
    </row>
    <row r="523" spans="1:16" ht="13" x14ac:dyDescent="0.3">
      <c r="A523" s="84"/>
      <c r="B523" s="13"/>
      <c r="C523" s="78" t="s">
        <v>20</v>
      </c>
      <c r="D523" s="78" t="s">
        <v>20</v>
      </c>
      <c r="E523" s="78" t="s">
        <v>20</v>
      </c>
      <c r="F523" s="78"/>
      <c r="G523" s="78" t="s">
        <v>39</v>
      </c>
      <c r="H523" s="78" t="s">
        <v>39</v>
      </c>
      <c r="I523" s="78" t="s">
        <v>39</v>
      </c>
      <c r="J523" s="78" t="s">
        <v>63</v>
      </c>
      <c r="K523" s="78" t="s">
        <v>62</v>
      </c>
      <c r="L523" s="78" t="s">
        <v>39</v>
      </c>
      <c r="M523" s="78" t="s">
        <v>64</v>
      </c>
      <c r="N523" s="83" t="s">
        <v>64</v>
      </c>
      <c r="P523" s="209"/>
    </row>
    <row r="524" spans="1:16" ht="13" x14ac:dyDescent="0.3">
      <c r="A524" s="85" t="s">
        <v>32</v>
      </c>
      <c r="B524" s="5" t="s">
        <v>33</v>
      </c>
      <c r="C524" s="5" t="s">
        <v>34</v>
      </c>
      <c r="D524" s="5" t="s">
        <v>35</v>
      </c>
      <c r="E524" s="5" t="s">
        <v>814</v>
      </c>
      <c r="F524" s="5" t="s">
        <v>816</v>
      </c>
      <c r="G524" s="5" t="s">
        <v>815</v>
      </c>
      <c r="H524" s="5" t="s">
        <v>36</v>
      </c>
      <c r="I524" s="5" t="s">
        <v>66</v>
      </c>
      <c r="J524" s="5" t="s">
        <v>56</v>
      </c>
      <c r="K524" s="5" t="s">
        <v>57</v>
      </c>
      <c r="L524" s="5" t="s">
        <v>58</v>
      </c>
      <c r="M524" s="5" t="s">
        <v>59</v>
      </c>
      <c r="N524" s="86" t="s">
        <v>60</v>
      </c>
      <c r="P524" s="209"/>
    </row>
    <row r="525" spans="1:16" x14ac:dyDescent="0.25">
      <c r="A525" s="87">
        <v>1</v>
      </c>
      <c r="B525" s="82">
        <v>300</v>
      </c>
      <c r="C525" s="82">
        <v>0.378</v>
      </c>
      <c r="D525" s="82">
        <v>0.255</v>
      </c>
      <c r="E525" s="82">
        <v>0.123</v>
      </c>
      <c r="F525" s="82">
        <v>4.1000000000000002E-2</v>
      </c>
      <c r="G525" s="82">
        <v>0.14940000000000001</v>
      </c>
      <c r="H525" s="82">
        <v>0.3</v>
      </c>
      <c r="I525" s="82">
        <v>0.2</v>
      </c>
      <c r="J525" s="82">
        <v>1.4</v>
      </c>
      <c r="K525" s="82">
        <v>3.5259999999999993E-2</v>
      </c>
      <c r="L525" s="82">
        <v>0.1</v>
      </c>
      <c r="M525" s="82">
        <v>35.147392290249435</v>
      </c>
      <c r="N525" s="212">
        <v>0</v>
      </c>
      <c r="P525" s="209"/>
    </row>
    <row r="526" spans="1:16" x14ac:dyDescent="0.25">
      <c r="A526" s="87">
        <v>2</v>
      </c>
      <c r="B526" s="82">
        <v>700</v>
      </c>
      <c r="C526" s="82">
        <v>0.39500000000000002</v>
      </c>
      <c r="D526" s="82">
        <v>0.26200000000000001</v>
      </c>
      <c r="E526" s="82">
        <v>0.13</v>
      </c>
      <c r="F526" s="82">
        <v>4.3333333333333335E-2</v>
      </c>
      <c r="G526" s="82">
        <v>0.15640000000000001</v>
      </c>
      <c r="H526" s="82">
        <v>0.3</v>
      </c>
      <c r="I526" s="82">
        <v>0.27</v>
      </c>
      <c r="J526" s="82">
        <v>1.36</v>
      </c>
      <c r="K526" s="82">
        <v>1.9779999999999999E-2</v>
      </c>
      <c r="L526" s="82">
        <v>0.1</v>
      </c>
      <c r="M526" s="82">
        <v>7.7531012404961972</v>
      </c>
      <c r="N526" s="212">
        <v>0</v>
      </c>
      <c r="P526" s="209" t="s">
        <v>966</v>
      </c>
    </row>
    <row r="527" spans="1:16" x14ac:dyDescent="0.25">
      <c r="A527" s="87">
        <v>3</v>
      </c>
      <c r="B527" s="82"/>
      <c r="C527" s="82"/>
      <c r="D527" s="82"/>
      <c r="E527" s="82"/>
      <c r="F527" s="82"/>
      <c r="G527" s="82"/>
      <c r="H527" s="82"/>
      <c r="I527" s="82"/>
      <c r="J527" s="82"/>
      <c r="K527" s="82"/>
      <c r="L527" s="82"/>
      <c r="M527" s="82"/>
      <c r="N527" s="212"/>
      <c r="P527" s="209"/>
    </row>
    <row r="528" spans="1:16" x14ac:dyDescent="0.25">
      <c r="A528" s="87">
        <v>4</v>
      </c>
      <c r="B528" s="82"/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2"/>
      <c r="N528" s="212"/>
      <c r="P528" s="209"/>
    </row>
    <row r="529" spans="1:16" x14ac:dyDescent="0.25">
      <c r="A529" s="87">
        <v>5</v>
      </c>
      <c r="B529" s="82"/>
      <c r="C529" s="82"/>
      <c r="D529" s="82"/>
      <c r="E529" s="82"/>
      <c r="F529" s="82"/>
      <c r="G529" s="82"/>
      <c r="H529" s="82"/>
      <c r="I529" s="82"/>
      <c r="J529" s="82"/>
      <c r="K529" s="82"/>
      <c r="L529" s="82"/>
      <c r="M529" s="82"/>
      <c r="N529" s="212"/>
      <c r="P529" s="209"/>
    </row>
    <row r="530" spans="1:16" x14ac:dyDescent="0.25">
      <c r="A530" s="87">
        <v>6</v>
      </c>
      <c r="B530" s="82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2"/>
      <c r="N530" s="212"/>
      <c r="P530" s="209"/>
    </row>
    <row r="531" spans="1:16" x14ac:dyDescent="0.25">
      <c r="A531" s="87">
        <v>7</v>
      </c>
      <c r="B531" s="82"/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2"/>
      <c r="N531" s="212"/>
      <c r="P531" s="209"/>
    </row>
    <row r="532" spans="1:16" x14ac:dyDescent="0.25">
      <c r="A532" s="87">
        <v>8</v>
      </c>
      <c r="B532" s="82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212"/>
      <c r="P532" s="209"/>
    </row>
    <row r="533" spans="1:16" x14ac:dyDescent="0.25">
      <c r="A533" s="87">
        <v>9</v>
      </c>
      <c r="B533" s="82"/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2"/>
      <c r="N533" s="212"/>
      <c r="P533" s="209"/>
    </row>
    <row r="534" spans="1:16" ht="13" thickBot="1" x14ac:dyDescent="0.3">
      <c r="A534" s="218">
        <v>10</v>
      </c>
      <c r="B534" s="104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213"/>
      <c r="P534" s="209"/>
    </row>
    <row r="535" spans="1:16" x14ac:dyDescent="0.25">
      <c r="A535" s="3"/>
      <c r="C535" s="3"/>
      <c r="D535" s="3"/>
      <c r="E535" s="3"/>
      <c r="F535" s="3"/>
      <c r="P535" s="209"/>
    </row>
    <row r="536" spans="1:16" ht="13" thickBot="1" x14ac:dyDescent="0.3">
      <c r="A536" s="3"/>
      <c r="C536" s="3"/>
      <c r="D536" s="3"/>
      <c r="E536" s="3"/>
      <c r="F536" s="3"/>
      <c r="P536" s="209"/>
    </row>
    <row r="537" spans="1:16" ht="13" x14ac:dyDescent="0.3">
      <c r="A537" s="74" t="s">
        <v>677</v>
      </c>
      <c r="B537" s="75"/>
      <c r="C537" s="76"/>
      <c r="D537" s="76"/>
      <c r="E537" s="76"/>
      <c r="F537" s="75"/>
      <c r="G537" s="75"/>
      <c r="H537" s="76"/>
      <c r="I537" s="76"/>
      <c r="J537" s="76"/>
      <c r="K537" s="76"/>
      <c r="L537" s="76"/>
      <c r="M537" s="76"/>
      <c r="N537" s="211">
        <v>30</v>
      </c>
      <c r="P537" s="209"/>
    </row>
    <row r="538" spans="1:16" ht="13" x14ac:dyDescent="0.3">
      <c r="A538" s="77" t="s">
        <v>672</v>
      </c>
      <c r="B538" s="41"/>
      <c r="C538" s="41" t="s">
        <v>673</v>
      </c>
      <c r="D538" s="46"/>
      <c r="E538" s="46"/>
      <c r="F538" s="78"/>
      <c r="G538" s="78"/>
      <c r="H538" s="46"/>
      <c r="I538" s="46"/>
      <c r="J538" s="46"/>
      <c r="K538" s="46"/>
      <c r="L538" s="46"/>
      <c r="M538" s="46"/>
      <c r="N538" s="79"/>
      <c r="P538" s="209"/>
    </row>
    <row r="539" spans="1:16" x14ac:dyDescent="0.25">
      <c r="A539" s="80" t="s">
        <v>884</v>
      </c>
      <c r="B539" s="46"/>
      <c r="C539" s="81">
        <v>1800</v>
      </c>
      <c r="D539" s="46"/>
      <c r="E539" s="46"/>
      <c r="F539" s="78"/>
      <c r="G539" s="78"/>
      <c r="H539" s="46"/>
      <c r="I539" s="46"/>
      <c r="J539" s="46"/>
      <c r="K539" s="46"/>
      <c r="L539" s="46"/>
      <c r="M539" s="46"/>
      <c r="N539" s="79"/>
      <c r="P539" s="209">
        <v>537</v>
      </c>
    </row>
    <row r="540" spans="1:16" ht="13" x14ac:dyDescent="0.3">
      <c r="A540" s="77" t="s">
        <v>681</v>
      </c>
      <c r="B540" s="41" t="s">
        <v>680</v>
      </c>
      <c r="C540" s="41" t="s">
        <v>678</v>
      </c>
      <c r="D540" s="41" t="s">
        <v>695</v>
      </c>
      <c r="E540" s="41" t="s">
        <v>679</v>
      </c>
      <c r="F540" s="41" t="s">
        <v>1186</v>
      </c>
      <c r="G540" s="78"/>
      <c r="H540" s="46"/>
      <c r="I540" s="46"/>
      <c r="J540" s="46"/>
      <c r="K540" s="46"/>
      <c r="L540" s="46"/>
      <c r="M540" s="46"/>
      <c r="N540" s="79"/>
      <c r="P540" s="209"/>
    </row>
    <row r="541" spans="1:16" x14ac:dyDescent="0.25">
      <c r="A541" s="80">
        <v>2</v>
      </c>
      <c r="B541" s="78">
        <v>2</v>
      </c>
      <c r="C541" s="82">
        <v>0.12</v>
      </c>
      <c r="D541" s="78">
        <v>60</v>
      </c>
      <c r="E541" s="78">
        <v>81</v>
      </c>
      <c r="F541" s="78">
        <v>1</v>
      </c>
      <c r="G541" s="78"/>
      <c r="H541" s="46"/>
      <c r="I541" s="46"/>
      <c r="J541" s="46"/>
      <c r="K541" s="46"/>
      <c r="L541" s="46"/>
      <c r="M541" s="78" t="s">
        <v>65</v>
      </c>
      <c r="N541" s="83" t="s">
        <v>65</v>
      </c>
      <c r="P541" s="209"/>
    </row>
    <row r="542" spans="1:16" ht="13" x14ac:dyDescent="0.3">
      <c r="A542" s="84"/>
      <c r="B542" s="13"/>
      <c r="C542" s="78" t="s">
        <v>20</v>
      </c>
      <c r="D542" s="78" t="s">
        <v>20</v>
      </c>
      <c r="E542" s="78" t="s">
        <v>20</v>
      </c>
      <c r="F542" s="78"/>
      <c r="G542" s="78" t="s">
        <v>39</v>
      </c>
      <c r="H542" s="78" t="s">
        <v>39</v>
      </c>
      <c r="I542" s="78" t="s">
        <v>39</v>
      </c>
      <c r="J542" s="78" t="s">
        <v>63</v>
      </c>
      <c r="K542" s="78" t="s">
        <v>62</v>
      </c>
      <c r="L542" s="78" t="s">
        <v>39</v>
      </c>
      <c r="M542" s="78" t="s">
        <v>64</v>
      </c>
      <c r="N542" s="83" t="s">
        <v>64</v>
      </c>
      <c r="P542" s="209"/>
    </row>
    <row r="543" spans="1:16" ht="13" x14ac:dyDescent="0.3">
      <c r="A543" s="85" t="s">
        <v>32</v>
      </c>
      <c r="B543" s="5" t="s">
        <v>33</v>
      </c>
      <c r="C543" s="5" t="s">
        <v>34</v>
      </c>
      <c r="D543" s="5" t="s">
        <v>35</v>
      </c>
      <c r="E543" s="5" t="s">
        <v>814</v>
      </c>
      <c r="F543" s="5" t="s">
        <v>816</v>
      </c>
      <c r="G543" s="5" t="s">
        <v>815</v>
      </c>
      <c r="H543" s="5" t="s">
        <v>36</v>
      </c>
      <c r="I543" s="5" t="s">
        <v>66</v>
      </c>
      <c r="J543" s="5" t="s">
        <v>56</v>
      </c>
      <c r="K543" s="5" t="s">
        <v>57</v>
      </c>
      <c r="L543" s="5" t="s">
        <v>58</v>
      </c>
      <c r="M543" s="5" t="s">
        <v>59</v>
      </c>
      <c r="N543" s="86" t="s">
        <v>60</v>
      </c>
      <c r="P543" s="209"/>
    </row>
    <row r="544" spans="1:16" x14ac:dyDescent="0.25">
      <c r="A544" s="87">
        <v>1</v>
      </c>
      <c r="B544" s="82">
        <v>300</v>
      </c>
      <c r="C544" s="82">
        <v>0.378</v>
      </c>
      <c r="D544" s="82">
        <v>0.255</v>
      </c>
      <c r="E544" s="82">
        <v>0.123</v>
      </c>
      <c r="F544" s="82">
        <v>4.1000000000000002E-2</v>
      </c>
      <c r="G544" s="82">
        <v>0.14940000000000001</v>
      </c>
      <c r="H544" s="82">
        <v>0.3</v>
      </c>
      <c r="I544" s="82">
        <v>0.2</v>
      </c>
      <c r="J544" s="82">
        <v>1.4</v>
      </c>
      <c r="K544" s="82">
        <v>3.5259999999999993E-2</v>
      </c>
      <c r="L544" s="82">
        <v>0.1</v>
      </c>
      <c r="M544" s="82">
        <v>35.147392290249435</v>
      </c>
      <c r="N544" s="212">
        <v>0</v>
      </c>
      <c r="P544" s="209"/>
    </row>
    <row r="545" spans="1:16" x14ac:dyDescent="0.25">
      <c r="A545" s="87">
        <v>2</v>
      </c>
      <c r="B545" s="82">
        <v>700</v>
      </c>
      <c r="C545" s="82">
        <v>0.39500000000000002</v>
      </c>
      <c r="D545" s="82">
        <v>0.26200000000000001</v>
      </c>
      <c r="E545" s="82">
        <v>0.13</v>
      </c>
      <c r="F545" s="82">
        <v>4.3333333333333335E-2</v>
      </c>
      <c r="G545" s="82">
        <v>0.15640000000000001</v>
      </c>
      <c r="H545" s="82">
        <v>0.3</v>
      </c>
      <c r="I545" s="82">
        <v>0.27</v>
      </c>
      <c r="J545" s="82">
        <v>1.36</v>
      </c>
      <c r="K545" s="82">
        <v>1.9779999999999999E-2</v>
      </c>
      <c r="L545" s="82">
        <v>0.1</v>
      </c>
      <c r="M545" s="82">
        <v>7.7531012404961972</v>
      </c>
      <c r="N545" s="212">
        <v>0</v>
      </c>
      <c r="P545" s="209" t="s">
        <v>966</v>
      </c>
    </row>
    <row r="546" spans="1:16" x14ac:dyDescent="0.25">
      <c r="A546" s="87">
        <v>3</v>
      </c>
      <c r="B546" s="82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/>
      <c r="N546" s="212"/>
      <c r="P546" s="209"/>
    </row>
    <row r="547" spans="1:16" x14ac:dyDescent="0.25">
      <c r="A547" s="87">
        <v>4</v>
      </c>
      <c r="B547" s="82"/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2"/>
      <c r="N547" s="212"/>
      <c r="P547" s="209"/>
    </row>
    <row r="548" spans="1:16" x14ac:dyDescent="0.25">
      <c r="A548" s="87">
        <v>5</v>
      </c>
      <c r="B548" s="82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212"/>
      <c r="P548" s="209"/>
    </row>
    <row r="549" spans="1:16" x14ac:dyDescent="0.25">
      <c r="A549" s="87">
        <v>6</v>
      </c>
      <c r="B549" s="82"/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2"/>
      <c r="N549" s="212"/>
      <c r="P549" s="209"/>
    </row>
    <row r="550" spans="1:16" x14ac:dyDescent="0.25">
      <c r="A550" s="87">
        <v>7</v>
      </c>
      <c r="B550" s="82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212"/>
      <c r="P550" s="209"/>
    </row>
    <row r="551" spans="1:16" x14ac:dyDescent="0.25">
      <c r="A551" s="87">
        <v>8</v>
      </c>
      <c r="B551" s="82"/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2"/>
      <c r="N551" s="212"/>
      <c r="P551" s="209"/>
    </row>
    <row r="552" spans="1:16" x14ac:dyDescent="0.25">
      <c r="A552" s="87">
        <v>9</v>
      </c>
      <c r="B552" s="82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/>
      <c r="N552" s="212"/>
      <c r="P552" s="209"/>
    </row>
    <row r="553" spans="1:16" ht="13" thickBot="1" x14ac:dyDescent="0.3">
      <c r="A553" s="218">
        <v>10</v>
      </c>
      <c r="B553" s="104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213"/>
      <c r="P553" s="209"/>
    </row>
    <row r="554" spans="1:16" x14ac:dyDescent="0.25">
      <c r="A554" s="3"/>
      <c r="C554" s="3"/>
      <c r="D554" s="3"/>
      <c r="E554" s="3"/>
      <c r="F554" s="3"/>
      <c r="P554" s="209"/>
    </row>
    <row r="555" spans="1:16" ht="13" thickBot="1" x14ac:dyDescent="0.3">
      <c r="A555" s="3"/>
      <c r="C555" s="3"/>
      <c r="D555" s="3"/>
      <c r="E555" s="3"/>
      <c r="F555" s="3"/>
      <c r="P555" s="209"/>
    </row>
    <row r="556" spans="1:16" ht="13" x14ac:dyDescent="0.3">
      <c r="A556" s="74" t="s">
        <v>677</v>
      </c>
      <c r="B556" s="75"/>
      <c r="C556" s="76"/>
      <c r="D556" s="76"/>
      <c r="E556" s="76"/>
      <c r="F556" s="75"/>
      <c r="G556" s="75"/>
      <c r="H556" s="76"/>
      <c r="I556" s="76"/>
      <c r="J556" s="76"/>
      <c r="K556" s="76"/>
      <c r="L556" s="76"/>
      <c r="M556" s="76"/>
      <c r="N556" s="211">
        <v>31</v>
      </c>
      <c r="P556" s="209"/>
    </row>
    <row r="557" spans="1:16" ht="13" x14ac:dyDescent="0.3">
      <c r="A557" s="77" t="s">
        <v>672</v>
      </c>
      <c r="B557" s="41"/>
      <c r="C557" s="41" t="s">
        <v>673</v>
      </c>
      <c r="D557" s="46"/>
      <c r="E557" s="46"/>
      <c r="F557" s="78"/>
      <c r="G557" s="78"/>
      <c r="H557" s="46"/>
      <c r="I557" s="46"/>
      <c r="J557" s="46"/>
      <c r="K557" s="46"/>
      <c r="L557" s="46"/>
      <c r="M557" s="46"/>
      <c r="N557" s="79"/>
      <c r="P557" s="209"/>
    </row>
    <row r="558" spans="1:16" x14ac:dyDescent="0.25">
      <c r="A558" s="80" t="s">
        <v>886</v>
      </c>
      <c r="B558" s="46"/>
      <c r="C558" s="81">
        <v>1800</v>
      </c>
      <c r="D558" s="46"/>
      <c r="E558" s="46"/>
      <c r="F558" s="78"/>
      <c r="G558" s="78"/>
      <c r="H558" s="46"/>
      <c r="I558" s="46"/>
      <c r="J558" s="46"/>
      <c r="K558" s="46"/>
      <c r="L558" s="46"/>
      <c r="M558" s="46"/>
      <c r="N558" s="79"/>
      <c r="P558" s="209">
        <v>556</v>
      </c>
    </row>
    <row r="559" spans="1:16" ht="13" x14ac:dyDescent="0.3">
      <c r="A559" s="77" t="s">
        <v>681</v>
      </c>
      <c r="B559" s="41" t="s">
        <v>680</v>
      </c>
      <c r="C559" s="41" t="s">
        <v>678</v>
      </c>
      <c r="D559" s="41" t="s">
        <v>695</v>
      </c>
      <c r="E559" s="41" t="s">
        <v>679</v>
      </c>
      <c r="F559" s="41" t="s">
        <v>1186</v>
      </c>
      <c r="G559" s="78"/>
      <c r="H559" s="46"/>
      <c r="I559" s="46"/>
      <c r="J559" s="46"/>
      <c r="K559" s="46"/>
      <c r="L559" s="46"/>
      <c r="M559" s="46"/>
      <c r="N559" s="79"/>
      <c r="P559" s="209"/>
    </row>
    <row r="560" spans="1:16" x14ac:dyDescent="0.25">
      <c r="A560" s="80">
        <v>2</v>
      </c>
      <c r="B560" s="78">
        <v>2</v>
      </c>
      <c r="C560" s="82">
        <v>0.12</v>
      </c>
      <c r="D560" s="78">
        <v>59</v>
      </c>
      <c r="E560" s="78">
        <v>81</v>
      </c>
      <c r="F560" s="78">
        <v>1</v>
      </c>
      <c r="G560" s="78"/>
      <c r="H560" s="46"/>
      <c r="I560" s="46"/>
      <c r="J560" s="46"/>
      <c r="K560" s="46"/>
      <c r="L560" s="46"/>
      <c r="M560" s="78" t="s">
        <v>65</v>
      </c>
      <c r="N560" s="83" t="s">
        <v>65</v>
      </c>
      <c r="P560" s="209"/>
    </row>
    <row r="561" spans="1:16" ht="13" x14ac:dyDescent="0.3">
      <c r="A561" s="84"/>
      <c r="B561" s="13"/>
      <c r="C561" s="78" t="s">
        <v>20</v>
      </c>
      <c r="D561" s="78" t="s">
        <v>20</v>
      </c>
      <c r="E561" s="78" t="s">
        <v>20</v>
      </c>
      <c r="F561" s="78"/>
      <c r="G561" s="78" t="s">
        <v>39</v>
      </c>
      <c r="H561" s="78" t="s">
        <v>39</v>
      </c>
      <c r="I561" s="78" t="s">
        <v>39</v>
      </c>
      <c r="J561" s="78" t="s">
        <v>63</v>
      </c>
      <c r="K561" s="78" t="s">
        <v>62</v>
      </c>
      <c r="L561" s="78" t="s">
        <v>39</v>
      </c>
      <c r="M561" s="78" t="s">
        <v>64</v>
      </c>
      <c r="N561" s="83" t="s">
        <v>64</v>
      </c>
      <c r="P561" s="209"/>
    </row>
    <row r="562" spans="1:16" ht="13" x14ac:dyDescent="0.3">
      <c r="A562" s="85" t="s">
        <v>32</v>
      </c>
      <c r="B562" s="5" t="s">
        <v>33</v>
      </c>
      <c r="C562" s="5" t="s">
        <v>34</v>
      </c>
      <c r="D562" s="5" t="s">
        <v>35</v>
      </c>
      <c r="E562" s="5" t="s">
        <v>814</v>
      </c>
      <c r="F562" s="5" t="s">
        <v>816</v>
      </c>
      <c r="G562" s="5" t="s">
        <v>815</v>
      </c>
      <c r="H562" s="5" t="s">
        <v>36</v>
      </c>
      <c r="I562" s="5" t="s">
        <v>66</v>
      </c>
      <c r="J562" s="5" t="s">
        <v>56</v>
      </c>
      <c r="K562" s="5" t="s">
        <v>57</v>
      </c>
      <c r="L562" s="5" t="s">
        <v>58</v>
      </c>
      <c r="M562" s="5" t="s">
        <v>59</v>
      </c>
      <c r="N562" s="86" t="s">
        <v>60</v>
      </c>
      <c r="P562" s="209"/>
    </row>
    <row r="563" spans="1:16" x14ac:dyDescent="0.25">
      <c r="A563" s="87">
        <v>1</v>
      </c>
      <c r="B563" s="82">
        <v>300</v>
      </c>
      <c r="C563" s="82">
        <v>0.378</v>
      </c>
      <c r="D563" s="82">
        <v>0.255</v>
      </c>
      <c r="E563" s="82">
        <v>0.123</v>
      </c>
      <c r="F563" s="82">
        <v>4.1000000000000002E-2</v>
      </c>
      <c r="G563" s="82">
        <v>0.14940000000000001</v>
      </c>
      <c r="H563" s="82">
        <v>0.3</v>
      </c>
      <c r="I563" s="82">
        <v>0.2</v>
      </c>
      <c r="J563" s="82">
        <v>1.4</v>
      </c>
      <c r="K563" s="82">
        <v>3.5259999999999993E-2</v>
      </c>
      <c r="L563" s="82">
        <v>0.1</v>
      </c>
      <c r="M563" s="82">
        <v>35.147392290249435</v>
      </c>
      <c r="N563" s="212">
        <v>0</v>
      </c>
      <c r="P563" s="209"/>
    </row>
    <row r="564" spans="1:16" x14ac:dyDescent="0.25">
      <c r="A564" s="87">
        <v>2</v>
      </c>
      <c r="B564" s="82">
        <v>700</v>
      </c>
      <c r="C564" s="82">
        <v>0.39500000000000002</v>
      </c>
      <c r="D564" s="82">
        <v>0.26200000000000001</v>
      </c>
      <c r="E564" s="82">
        <v>0.13</v>
      </c>
      <c r="F564" s="82">
        <v>4.3333333333333335E-2</v>
      </c>
      <c r="G564" s="82">
        <v>0.15640000000000001</v>
      </c>
      <c r="H564" s="82">
        <v>0.3</v>
      </c>
      <c r="I564" s="82">
        <v>0.27</v>
      </c>
      <c r="J564" s="82">
        <v>1.36</v>
      </c>
      <c r="K564" s="82">
        <v>1.9779999999999999E-2</v>
      </c>
      <c r="L564" s="82">
        <v>0.1</v>
      </c>
      <c r="M564" s="82">
        <v>7.7531012404961972</v>
      </c>
      <c r="N564" s="212">
        <v>0</v>
      </c>
      <c r="P564" s="209" t="s">
        <v>966</v>
      </c>
    </row>
    <row r="565" spans="1:16" x14ac:dyDescent="0.25">
      <c r="A565" s="87">
        <v>3</v>
      </c>
      <c r="B565" s="82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2"/>
      <c r="N565" s="212"/>
      <c r="P565" s="209"/>
    </row>
    <row r="566" spans="1:16" x14ac:dyDescent="0.25">
      <c r="A566" s="87">
        <v>4</v>
      </c>
      <c r="B566" s="82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/>
      <c r="N566" s="212"/>
      <c r="P566" s="209"/>
    </row>
    <row r="567" spans="1:16" x14ac:dyDescent="0.25">
      <c r="A567" s="87">
        <v>5</v>
      </c>
      <c r="B567" s="82"/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2"/>
      <c r="N567" s="212"/>
      <c r="P567" s="209"/>
    </row>
    <row r="568" spans="1:16" x14ac:dyDescent="0.25">
      <c r="A568" s="87">
        <v>6</v>
      </c>
      <c r="B568" s="82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/>
      <c r="N568" s="212"/>
      <c r="P568" s="209"/>
    </row>
    <row r="569" spans="1:16" x14ac:dyDescent="0.25">
      <c r="A569" s="87">
        <v>7</v>
      </c>
      <c r="B569" s="82"/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2"/>
      <c r="N569" s="212"/>
      <c r="P569" s="209"/>
    </row>
    <row r="570" spans="1:16" x14ac:dyDescent="0.25">
      <c r="A570" s="87">
        <v>8</v>
      </c>
      <c r="B570" s="82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212"/>
      <c r="P570" s="209"/>
    </row>
    <row r="571" spans="1:16" x14ac:dyDescent="0.25">
      <c r="A571" s="87">
        <v>9</v>
      </c>
      <c r="B571" s="82"/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2"/>
      <c r="N571" s="212"/>
      <c r="P571" s="209"/>
    </row>
    <row r="572" spans="1:16" ht="13" thickBot="1" x14ac:dyDescent="0.3">
      <c r="A572" s="218">
        <v>10</v>
      </c>
      <c r="B572" s="104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213"/>
      <c r="P572" s="209"/>
    </row>
    <row r="573" spans="1:16" x14ac:dyDescent="0.25">
      <c r="A573" s="3"/>
      <c r="C573" s="3"/>
      <c r="D573" s="3"/>
      <c r="E573" s="3"/>
      <c r="F573" s="3"/>
      <c r="P573" s="209"/>
    </row>
    <row r="574" spans="1:16" ht="13" thickBot="1" x14ac:dyDescent="0.3">
      <c r="A574" s="3"/>
      <c r="C574" s="3"/>
      <c r="D574" s="3"/>
      <c r="E574" s="3"/>
      <c r="F574" s="3"/>
      <c r="P574" s="209"/>
    </row>
    <row r="575" spans="1:16" ht="13" x14ac:dyDescent="0.3">
      <c r="A575" s="74" t="s">
        <v>677</v>
      </c>
      <c r="B575" s="75"/>
      <c r="C575" s="76"/>
      <c r="D575" s="76"/>
      <c r="E575" s="76"/>
      <c r="F575" s="75"/>
      <c r="G575" s="75"/>
      <c r="H575" s="76"/>
      <c r="I575" s="76"/>
      <c r="J575" s="76"/>
      <c r="K575" s="76"/>
      <c r="L575" s="76"/>
      <c r="M575" s="76"/>
      <c r="N575" s="211">
        <v>32</v>
      </c>
      <c r="P575" s="209"/>
    </row>
    <row r="576" spans="1:16" ht="13" x14ac:dyDescent="0.3">
      <c r="A576" s="77" t="s">
        <v>672</v>
      </c>
      <c r="B576" s="41"/>
      <c r="C576" s="41" t="s">
        <v>673</v>
      </c>
      <c r="D576" s="46"/>
      <c r="E576" s="46"/>
      <c r="F576" s="78"/>
      <c r="G576" s="78"/>
      <c r="H576" s="46"/>
      <c r="I576" s="46"/>
      <c r="J576" s="46"/>
      <c r="K576" s="46"/>
      <c r="L576" s="46"/>
      <c r="M576" s="46"/>
      <c r="N576" s="79"/>
      <c r="P576" s="209"/>
    </row>
    <row r="577" spans="1:16" x14ac:dyDescent="0.25">
      <c r="A577" s="80" t="s">
        <v>888</v>
      </c>
      <c r="B577" s="46"/>
      <c r="C577" s="81">
        <v>1414</v>
      </c>
      <c r="D577" s="46"/>
      <c r="E577" s="46"/>
      <c r="F577" s="78"/>
      <c r="G577" s="78"/>
      <c r="H577" s="46"/>
      <c r="I577" s="46"/>
      <c r="J577" s="46"/>
      <c r="K577" s="46"/>
      <c r="L577" s="46"/>
      <c r="M577" s="46"/>
      <c r="N577" s="79"/>
      <c r="P577" s="209">
        <v>575</v>
      </c>
    </row>
    <row r="578" spans="1:16" ht="13" x14ac:dyDescent="0.3">
      <c r="A578" s="77" t="s">
        <v>681</v>
      </c>
      <c r="B578" s="41" t="s">
        <v>680</v>
      </c>
      <c r="C578" s="41" t="s">
        <v>678</v>
      </c>
      <c r="D578" s="41" t="s">
        <v>695</v>
      </c>
      <c r="E578" s="41" t="s">
        <v>679</v>
      </c>
      <c r="F578" s="41" t="s">
        <v>1186</v>
      </c>
      <c r="G578" s="78"/>
      <c r="H578" s="46"/>
      <c r="I578" s="46"/>
      <c r="J578" s="46"/>
      <c r="K578" s="46"/>
      <c r="L578" s="46"/>
      <c r="M578" s="46"/>
      <c r="N578" s="79"/>
      <c r="P578" s="209"/>
    </row>
    <row r="579" spans="1:16" x14ac:dyDescent="0.25">
      <c r="A579" s="80">
        <v>2</v>
      </c>
      <c r="B579" s="78">
        <v>2</v>
      </c>
      <c r="C579" s="82">
        <v>0.13</v>
      </c>
      <c r="D579" s="78">
        <v>58</v>
      </c>
      <c r="E579" s="78">
        <v>61</v>
      </c>
      <c r="F579" s="78">
        <v>1</v>
      </c>
      <c r="G579" s="78"/>
      <c r="H579" s="46"/>
      <c r="I579" s="46"/>
      <c r="J579" s="46"/>
      <c r="K579" s="46"/>
      <c r="L579" s="46"/>
      <c r="M579" s="78" t="s">
        <v>65</v>
      </c>
      <c r="N579" s="83" t="s">
        <v>65</v>
      </c>
      <c r="P579" s="209"/>
    </row>
    <row r="580" spans="1:16" ht="13" x14ac:dyDescent="0.3">
      <c r="A580" s="84"/>
      <c r="B580" s="13"/>
      <c r="C580" s="78" t="s">
        <v>20</v>
      </c>
      <c r="D580" s="78" t="s">
        <v>20</v>
      </c>
      <c r="E580" s="78" t="s">
        <v>20</v>
      </c>
      <c r="F580" s="78"/>
      <c r="G580" s="78" t="s">
        <v>39</v>
      </c>
      <c r="H580" s="78" t="s">
        <v>39</v>
      </c>
      <c r="I580" s="78" t="s">
        <v>39</v>
      </c>
      <c r="J580" s="78" t="s">
        <v>63</v>
      </c>
      <c r="K580" s="78" t="s">
        <v>62</v>
      </c>
      <c r="L580" s="78" t="s">
        <v>39</v>
      </c>
      <c r="M580" s="78" t="s">
        <v>64</v>
      </c>
      <c r="N580" s="83" t="s">
        <v>64</v>
      </c>
      <c r="P580" s="209"/>
    </row>
    <row r="581" spans="1:16" ht="13" x14ac:dyDescent="0.3">
      <c r="A581" s="85" t="s">
        <v>32</v>
      </c>
      <c r="B581" s="5" t="s">
        <v>33</v>
      </c>
      <c r="C581" s="5" t="s">
        <v>34</v>
      </c>
      <c r="D581" s="5" t="s">
        <v>35</v>
      </c>
      <c r="E581" s="5" t="s">
        <v>814</v>
      </c>
      <c r="F581" s="5" t="s">
        <v>816</v>
      </c>
      <c r="G581" s="5" t="s">
        <v>815</v>
      </c>
      <c r="H581" s="5" t="s">
        <v>36</v>
      </c>
      <c r="I581" s="5" t="s">
        <v>66</v>
      </c>
      <c r="J581" s="5" t="s">
        <v>56</v>
      </c>
      <c r="K581" s="5" t="s">
        <v>57</v>
      </c>
      <c r="L581" s="5" t="s">
        <v>58</v>
      </c>
      <c r="M581" s="5" t="s">
        <v>59</v>
      </c>
      <c r="N581" s="86" t="s">
        <v>60</v>
      </c>
      <c r="P581" s="209"/>
    </row>
    <row r="582" spans="1:16" x14ac:dyDescent="0.25">
      <c r="A582" s="87">
        <v>1</v>
      </c>
      <c r="B582" s="82">
        <v>300</v>
      </c>
      <c r="C582" s="82">
        <v>0.36599999999999999</v>
      </c>
      <c r="D582" s="82">
        <v>0.26100000000000001</v>
      </c>
      <c r="E582" s="82">
        <v>0.129</v>
      </c>
      <c r="F582" s="82">
        <v>4.3000000000000003E-2</v>
      </c>
      <c r="G582" s="82">
        <v>0.15540000000000001</v>
      </c>
      <c r="H582" s="82">
        <v>0.4</v>
      </c>
      <c r="I582" s="82">
        <v>0.09</v>
      </c>
      <c r="J582" s="82">
        <v>1.39</v>
      </c>
      <c r="K582" s="82">
        <v>7.3959999999999998E-2</v>
      </c>
      <c r="L582" s="82">
        <v>0.1</v>
      </c>
      <c r="M582" s="82">
        <v>35.400251227589365</v>
      </c>
      <c r="N582" s="212">
        <v>0</v>
      </c>
      <c r="P582" s="209"/>
    </row>
    <row r="583" spans="1:16" x14ac:dyDescent="0.25">
      <c r="A583" s="87">
        <v>2</v>
      </c>
      <c r="B583" s="82">
        <v>700</v>
      </c>
      <c r="C583" s="82">
        <v>0.38300000000000001</v>
      </c>
      <c r="D583" s="82">
        <v>0.27700000000000002</v>
      </c>
      <c r="E583" s="82">
        <v>0.14499999999999999</v>
      </c>
      <c r="F583" s="82">
        <v>4.8333333333333332E-2</v>
      </c>
      <c r="G583" s="82">
        <v>0.1714</v>
      </c>
      <c r="H583" s="82">
        <v>0.2</v>
      </c>
      <c r="I583" s="82">
        <v>0.08</v>
      </c>
      <c r="J583" s="82">
        <v>1.33</v>
      </c>
      <c r="K583" s="82">
        <v>3.2680000000000001E-2</v>
      </c>
      <c r="L583" s="82">
        <v>0.1</v>
      </c>
      <c r="M583" s="82">
        <v>7.9279832233645342</v>
      </c>
      <c r="N583" s="212">
        <v>0</v>
      </c>
      <c r="P583" s="209" t="s">
        <v>966</v>
      </c>
    </row>
    <row r="584" spans="1:16" x14ac:dyDescent="0.25">
      <c r="A584" s="87">
        <v>3</v>
      </c>
      <c r="B584" s="82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212"/>
      <c r="P584" s="209"/>
    </row>
    <row r="585" spans="1:16" x14ac:dyDescent="0.25">
      <c r="A585" s="87">
        <v>4</v>
      </c>
      <c r="B585" s="82"/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2"/>
      <c r="N585" s="212"/>
      <c r="P585" s="209"/>
    </row>
    <row r="586" spans="1:16" x14ac:dyDescent="0.25">
      <c r="A586" s="87">
        <v>5</v>
      </c>
      <c r="B586" s="82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212"/>
      <c r="P586" s="209"/>
    </row>
    <row r="587" spans="1:16" x14ac:dyDescent="0.25">
      <c r="A587" s="87">
        <v>6</v>
      </c>
      <c r="B587" s="82"/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2"/>
      <c r="N587" s="212"/>
      <c r="P587" s="209"/>
    </row>
    <row r="588" spans="1:16" x14ac:dyDescent="0.25">
      <c r="A588" s="87">
        <v>7</v>
      </c>
      <c r="B588" s="82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/>
      <c r="N588" s="212"/>
      <c r="P588" s="209"/>
    </row>
    <row r="589" spans="1:16" x14ac:dyDescent="0.25">
      <c r="A589" s="87">
        <v>8</v>
      </c>
      <c r="B589" s="82"/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2"/>
      <c r="N589" s="212"/>
      <c r="P589" s="209"/>
    </row>
    <row r="590" spans="1:16" x14ac:dyDescent="0.25">
      <c r="A590" s="87">
        <v>9</v>
      </c>
      <c r="B590" s="82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/>
      <c r="N590" s="212"/>
      <c r="P590" s="209"/>
    </row>
    <row r="591" spans="1:16" ht="13" thickBot="1" x14ac:dyDescent="0.3">
      <c r="A591" s="218">
        <v>10</v>
      </c>
      <c r="B591" s="104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213"/>
      <c r="P591" s="209"/>
    </row>
    <row r="592" spans="1:16" x14ac:dyDescent="0.25">
      <c r="A592" s="3"/>
      <c r="C592" s="3"/>
      <c r="D592" s="3"/>
      <c r="E592" s="3"/>
      <c r="F592" s="3"/>
      <c r="P592" s="209"/>
    </row>
    <row r="593" spans="1:16" ht="13" thickBot="1" x14ac:dyDescent="0.3">
      <c r="A593" s="3"/>
      <c r="C593" s="3"/>
      <c r="D593" s="3"/>
      <c r="E593" s="3"/>
      <c r="F593" s="3"/>
      <c r="P593" s="209"/>
    </row>
    <row r="594" spans="1:16" ht="13" x14ac:dyDescent="0.3">
      <c r="A594" s="74" t="s">
        <v>677</v>
      </c>
      <c r="B594" s="75"/>
      <c r="C594" s="76"/>
      <c r="D594" s="76"/>
      <c r="E594" s="76"/>
      <c r="F594" s="75"/>
      <c r="G594" s="75"/>
      <c r="H594" s="76"/>
      <c r="I594" s="76"/>
      <c r="J594" s="76"/>
      <c r="K594" s="76"/>
      <c r="L594" s="76"/>
      <c r="M594" s="76"/>
      <c r="N594" s="211">
        <v>33</v>
      </c>
      <c r="P594" s="209"/>
    </row>
    <row r="595" spans="1:16" ht="13" x14ac:dyDescent="0.3">
      <c r="A595" s="77" t="s">
        <v>672</v>
      </c>
      <c r="B595" s="41"/>
      <c r="C595" s="41" t="s">
        <v>673</v>
      </c>
      <c r="D595" s="46"/>
      <c r="E595" s="46"/>
      <c r="F595" s="78"/>
      <c r="G595" s="78"/>
      <c r="H595" s="46"/>
      <c r="I595" s="46"/>
      <c r="J595" s="46"/>
      <c r="K595" s="46"/>
      <c r="L595" s="46"/>
      <c r="M595" s="46"/>
      <c r="N595" s="79"/>
      <c r="P595" s="209"/>
    </row>
    <row r="596" spans="1:16" x14ac:dyDescent="0.25">
      <c r="A596" s="80" t="s">
        <v>890</v>
      </c>
      <c r="B596" s="46"/>
      <c r="C596" s="81">
        <v>36</v>
      </c>
      <c r="D596" s="46"/>
      <c r="E596" s="46"/>
      <c r="F596" s="78"/>
      <c r="G596" s="78"/>
      <c r="H596" s="46"/>
      <c r="I596" s="46"/>
      <c r="J596" s="46"/>
      <c r="K596" s="46"/>
      <c r="L596" s="46"/>
      <c r="M596" s="46"/>
      <c r="N596" s="79"/>
      <c r="P596" s="209">
        <v>594</v>
      </c>
    </row>
    <row r="597" spans="1:16" ht="13" x14ac:dyDescent="0.3">
      <c r="A597" s="77" t="s">
        <v>681</v>
      </c>
      <c r="B597" s="41" t="s">
        <v>680</v>
      </c>
      <c r="C597" s="41" t="s">
        <v>678</v>
      </c>
      <c r="D597" s="41" t="s">
        <v>695</v>
      </c>
      <c r="E597" s="41" t="s">
        <v>679</v>
      </c>
      <c r="F597" s="41" t="s">
        <v>1186</v>
      </c>
      <c r="G597" s="78"/>
      <c r="H597" s="46"/>
      <c r="I597" s="46"/>
      <c r="J597" s="46"/>
      <c r="K597" s="46"/>
      <c r="L597" s="46"/>
      <c r="M597" s="46"/>
      <c r="N597" s="79"/>
      <c r="P597" s="209"/>
    </row>
    <row r="598" spans="1:16" x14ac:dyDescent="0.25">
      <c r="A598" s="80">
        <v>2</v>
      </c>
      <c r="B598" s="78">
        <v>2</v>
      </c>
      <c r="C598" s="82" t="e">
        <v>#N/A</v>
      </c>
      <c r="D598" s="78">
        <v>55</v>
      </c>
      <c r="E598" s="78" t="e">
        <v>#N/A</v>
      </c>
      <c r="F598" s="78">
        <v>1</v>
      </c>
      <c r="G598" s="78"/>
      <c r="H598" s="46"/>
      <c r="I598" s="46"/>
      <c r="J598" s="46"/>
      <c r="K598" s="46"/>
      <c r="L598" s="46"/>
      <c r="M598" s="78" t="s">
        <v>65</v>
      </c>
      <c r="N598" s="83" t="s">
        <v>65</v>
      </c>
      <c r="P598" s="209"/>
    </row>
    <row r="599" spans="1:16" ht="13" x14ac:dyDescent="0.3">
      <c r="A599" s="84"/>
      <c r="B599" s="13"/>
      <c r="C599" s="78" t="s">
        <v>20</v>
      </c>
      <c r="D599" s="78" t="s">
        <v>20</v>
      </c>
      <c r="E599" s="78" t="s">
        <v>20</v>
      </c>
      <c r="F599" s="78"/>
      <c r="G599" s="78" t="s">
        <v>39</v>
      </c>
      <c r="H599" s="78" t="s">
        <v>39</v>
      </c>
      <c r="I599" s="78" t="s">
        <v>39</v>
      </c>
      <c r="J599" s="78" t="s">
        <v>63</v>
      </c>
      <c r="K599" s="78" t="s">
        <v>62</v>
      </c>
      <c r="L599" s="78" t="s">
        <v>39</v>
      </c>
      <c r="M599" s="78" t="s">
        <v>64</v>
      </c>
      <c r="N599" s="83" t="s">
        <v>64</v>
      </c>
      <c r="P599" s="209"/>
    </row>
    <row r="600" spans="1:16" ht="13" x14ac:dyDescent="0.3">
      <c r="A600" s="85" t="s">
        <v>32</v>
      </c>
      <c r="B600" s="5" t="s">
        <v>33</v>
      </c>
      <c r="C600" s="5" t="s">
        <v>34</v>
      </c>
      <c r="D600" s="5" t="s">
        <v>35</v>
      </c>
      <c r="E600" s="5" t="s">
        <v>814</v>
      </c>
      <c r="F600" s="5" t="s">
        <v>816</v>
      </c>
      <c r="G600" s="5" t="s">
        <v>815</v>
      </c>
      <c r="H600" s="5" t="s">
        <v>36</v>
      </c>
      <c r="I600" s="5" t="s">
        <v>66</v>
      </c>
      <c r="J600" s="5" t="s">
        <v>56</v>
      </c>
      <c r="K600" s="5" t="s">
        <v>57</v>
      </c>
      <c r="L600" s="5" t="s">
        <v>58</v>
      </c>
      <c r="M600" s="5" t="s">
        <v>59</v>
      </c>
      <c r="N600" s="86" t="s">
        <v>60</v>
      </c>
      <c r="P600" s="209"/>
    </row>
    <row r="601" spans="1:16" x14ac:dyDescent="0.25">
      <c r="A601" s="87">
        <v>1</v>
      </c>
      <c r="B601" s="82" t="e">
        <v>#N/A</v>
      </c>
      <c r="C601" s="82" t="e">
        <v>#N/A</v>
      </c>
      <c r="D601" s="82" t="e">
        <v>#N/A</v>
      </c>
      <c r="E601" s="82" t="e">
        <v>#N/A</v>
      </c>
      <c r="F601" s="82" t="e">
        <v>#N/A</v>
      </c>
      <c r="G601" s="82" t="e">
        <v>#N/A</v>
      </c>
      <c r="H601" s="82" t="e">
        <v>#N/A</v>
      </c>
      <c r="I601" s="82" t="e">
        <v>#N/A</v>
      </c>
      <c r="J601" s="82" t="e">
        <v>#N/A</v>
      </c>
      <c r="K601" s="82" t="e">
        <v>#N/A</v>
      </c>
      <c r="L601" s="82">
        <v>0.1</v>
      </c>
      <c r="M601" s="82" t="e">
        <v>#N/A</v>
      </c>
      <c r="N601" s="212">
        <v>0</v>
      </c>
      <c r="P601" s="209"/>
    </row>
    <row r="602" spans="1:16" x14ac:dyDescent="0.25">
      <c r="A602" s="87">
        <v>2</v>
      </c>
      <c r="B602" s="82" t="e">
        <v>#N/A</v>
      </c>
      <c r="C602" s="82" t="e">
        <v>#N/A</v>
      </c>
      <c r="D602" s="82" t="e">
        <v>#N/A</v>
      </c>
      <c r="E602" s="82" t="e">
        <v>#N/A</v>
      </c>
      <c r="F602" s="82" t="e">
        <v>#N/A</v>
      </c>
      <c r="G602" s="82" t="e">
        <v>#N/A</v>
      </c>
      <c r="H602" s="82" t="e">
        <v>#N/A</v>
      </c>
      <c r="I602" s="82" t="e">
        <v>#N/A</v>
      </c>
      <c r="J602" s="82" t="e">
        <v>#N/A</v>
      </c>
      <c r="K602" s="82" t="e">
        <v>#N/A</v>
      </c>
      <c r="L602" s="82">
        <v>0.1</v>
      </c>
      <c r="M602" s="82" t="e">
        <v>#N/A</v>
      </c>
      <c r="N602" s="212">
        <v>0</v>
      </c>
      <c r="P602" s="209" t="s">
        <v>966</v>
      </c>
    </row>
    <row r="603" spans="1:16" x14ac:dyDescent="0.25">
      <c r="A603" s="87">
        <v>3</v>
      </c>
      <c r="B603" s="82"/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2"/>
      <c r="N603" s="212"/>
      <c r="P603" s="209"/>
    </row>
    <row r="604" spans="1:16" x14ac:dyDescent="0.25">
      <c r="A604" s="87">
        <v>4</v>
      </c>
      <c r="B604" s="82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212"/>
      <c r="P604" s="209"/>
    </row>
    <row r="605" spans="1:16" x14ac:dyDescent="0.25">
      <c r="A605" s="87">
        <v>5</v>
      </c>
      <c r="B605" s="82"/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2"/>
      <c r="N605" s="212"/>
      <c r="P605" s="209"/>
    </row>
    <row r="606" spans="1:16" x14ac:dyDescent="0.25">
      <c r="A606" s="87">
        <v>6</v>
      </c>
      <c r="B606" s="82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/>
      <c r="N606" s="212"/>
      <c r="P606" s="209"/>
    </row>
    <row r="607" spans="1:16" x14ac:dyDescent="0.25">
      <c r="A607" s="87">
        <v>7</v>
      </c>
      <c r="B607" s="82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2"/>
      <c r="N607" s="212"/>
      <c r="P607" s="209"/>
    </row>
    <row r="608" spans="1:16" x14ac:dyDescent="0.25">
      <c r="A608" s="87">
        <v>8</v>
      </c>
      <c r="B608" s="82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/>
      <c r="N608" s="212"/>
      <c r="P608" s="209"/>
    </row>
    <row r="609" spans="1:16" x14ac:dyDescent="0.25">
      <c r="A609" s="87">
        <v>9</v>
      </c>
      <c r="B609" s="82"/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2"/>
      <c r="N609" s="212"/>
      <c r="P609" s="209"/>
    </row>
    <row r="610" spans="1:16" ht="13" thickBot="1" x14ac:dyDescent="0.3">
      <c r="A610" s="218">
        <v>10</v>
      </c>
      <c r="B610" s="104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213"/>
      <c r="P610" s="209"/>
    </row>
    <row r="611" spans="1:16" x14ac:dyDescent="0.25">
      <c r="A611" s="3"/>
      <c r="C611" s="3"/>
      <c r="D611" s="3"/>
      <c r="E611" s="3"/>
      <c r="F611" s="3"/>
      <c r="P611" s="209"/>
    </row>
    <row r="612" spans="1:16" ht="13" thickBot="1" x14ac:dyDescent="0.3">
      <c r="A612" s="3"/>
      <c r="C612" s="3"/>
      <c r="D612" s="3"/>
      <c r="E612" s="3"/>
      <c r="F612" s="3"/>
      <c r="P612" s="209"/>
    </row>
    <row r="613" spans="1:16" ht="13" x14ac:dyDescent="0.3">
      <c r="A613" s="74" t="s">
        <v>677</v>
      </c>
      <c r="B613" s="75"/>
      <c r="C613" s="76"/>
      <c r="D613" s="76"/>
      <c r="E613" s="76"/>
      <c r="F613" s="75"/>
      <c r="G613" s="75"/>
      <c r="H613" s="76"/>
      <c r="I613" s="76"/>
      <c r="J613" s="76"/>
      <c r="K613" s="76"/>
      <c r="L613" s="76"/>
      <c r="M613" s="76"/>
      <c r="N613" s="211">
        <v>34</v>
      </c>
      <c r="P613" s="209"/>
    </row>
    <row r="614" spans="1:16" ht="13" x14ac:dyDescent="0.3">
      <c r="A614" s="77" t="s">
        <v>672</v>
      </c>
      <c r="B614" s="41"/>
      <c r="C614" s="41" t="s">
        <v>673</v>
      </c>
      <c r="D614" s="46"/>
      <c r="E614" s="46"/>
      <c r="F614" s="78"/>
      <c r="G614" s="78"/>
      <c r="H614" s="46"/>
      <c r="I614" s="46"/>
      <c r="J614" s="46"/>
      <c r="K614" s="46"/>
      <c r="L614" s="46"/>
      <c r="M614" s="46"/>
      <c r="N614" s="79"/>
      <c r="P614" s="209"/>
    </row>
    <row r="615" spans="1:16" x14ac:dyDescent="0.25">
      <c r="A615" s="80" t="s">
        <v>892</v>
      </c>
      <c r="B615" s="46"/>
      <c r="C615" s="81">
        <v>1316</v>
      </c>
      <c r="D615" s="46"/>
      <c r="E615" s="46"/>
      <c r="F615" s="78"/>
      <c r="G615" s="78"/>
      <c r="H615" s="46"/>
      <c r="I615" s="46"/>
      <c r="J615" s="46"/>
      <c r="K615" s="46"/>
      <c r="L615" s="46"/>
      <c r="M615" s="46"/>
      <c r="N615" s="79"/>
      <c r="P615" s="209">
        <v>613</v>
      </c>
    </row>
    <row r="616" spans="1:16" ht="13" x14ac:dyDescent="0.3">
      <c r="A616" s="77" t="s">
        <v>681</v>
      </c>
      <c r="B616" s="41" t="s">
        <v>680</v>
      </c>
      <c r="C616" s="41" t="s">
        <v>678</v>
      </c>
      <c r="D616" s="41" t="s">
        <v>695</v>
      </c>
      <c r="E616" s="41" t="s">
        <v>679</v>
      </c>
      <c r="F616" s="41" t="s">
        <v>1186</v>
      </c>
      <c r="G616" s="78"/>
      <c r="H616" s="46"/>
      <c r="I616" s="46"/>
      <c r="J616" s="46"/>
      <c r="K616" s="46"/>
      <c r="L616" s="46"/>
      <c r="M616" s="46"/>
      <c r="N616" s="79"/>
      <c r="P616" s="209"/>
    </row>
    <row r="617" spans="1:16" x14ac:dyDescent="0.25">
      <c r="A617" s="80">
        <v>2</v>
      </c>
      <c r="B617" s="78">
        <v>2</v>
      </c>
      <c r="C617" s="82">
        <v>0.12</v>
      </c>
      <c r="D617" s="78">
        <v>54</v>
      </c>
      <c r="E617" s="78">
        <v>81</v>
      </c>
      <c r="F617" s="78">
        <v>1</v>
      </c>
      <c r="G617" s="78"/>
      <c r="H617" s="46"/>
      <c r="I617" s="46"/>
      <c r="J617" s="46"/>
      <c r="K617" s="46"/>
      <c r="L617" s="46"/>
      <c r="M617" s="78" t="s">
        <v>65</v>
      </c>
      <c r="N617" s="83" t="s">
        <v>65</v>
      </c>
      <c r="P617" s="209"/>
    </row>
    <row r="618" spans="1:16" ht="13" x14ac:dyDescent="0.3">
      <c r="A618" s="84"/>
      <c r="B618" s="13"/>
      <c r="C618" s="78" t="s">
        <v>20</v>
      </c>
      <c r="D618" s="78" t="s">
        <v>20</v>
      </c>
      <c r="E618" s="78" t="s">
        <v>20</v>
      </c>
      <c r="F618" s="78"/>
      <c r="G618" s="78" t="s">
        <v>39</v>
      </c>
      <c r="H618" s="78" t="s">
        <v>39</v>
      </c>
      <c r="I618" s="78" t="s">
        <v>39</v>
      </c>
      <c r="J618" s="78" t="s">
        <v>63</v>
      </c>
      <c r="K618" s="78" t="s">
        <v>62</v>
      </c>
      <c r="L618" s="78" t="s">
        <v>39</v>
      </c>
      <c r="M618" s="78" t="s">
        <v>64</v>
      </c>
      <c r="N618" s="83" t="s">
        <v>64</v>
      </c>
      <c r="P618" s="209"/>
    </row>
    <row r="619" spans="1:16" ht="13" x14ac:dyDescent="0.3">
      <c r="A619" s="85" t="s">
        <v>32</v>
      </c>
      <c r="B619" s="5" t="s">
        <v>33</v>
      </c>
      <c r="C619" s="5" t="s">
        <v>34</v>
      </c>
      <c r="D619" s="5" t="s">
        <v>35</v>
      </c>
      <c r="E619" s="5" t="s">
        <v>814</v>
      </c>
      <c r="F619" s="5" t="s">
        <v>816</v>
      </c>
      <c r="G619" s="5" t="s">
        <v>815</v>
      </c>
      <c r="H619" s="5" t="s">
        <v>36</v>
      </c>
      <c r="I619" s="5" t="s">
        <v>66</v>
      </c>
      <c r="J619" s="5" t="s">
        <v>56</v>
      </c>
      <c r="K619" s="5" t="s">
        <v>57</v>
      </c>
      <c r="L619" s="5" t="s">
        <v>58</v>
      </c>
      <c r="M619" s="5" t="s">
        <v>59</v>
      </c>
      <c r="N619" s="86" t="s">
        <v>60</v>
      </c>
      <c r="P619" s="209"/>
    </row>
    <row r="620" spans="1:16" x14ac:dyDescent="0.25">
      <c r="A620" s="87">
        <v>1</v>
      </c>
      <c r="B620" s="82">
        <v>100</v>
      </c>
      <c r="C620" s="82">
        <v>0.45600000000000002</v>
      </c>
      <c r="D620" s="82">
        <v>0.221</v>
      </c>
      <c r="E620" s="82">
        <v>0.09</v>
      </c>
      <c r="F620" s="82">
        <v>0.03</v>
      </c>
      <c r="G620" s="82">
        <v>0.1162</v>
      </c>
      <c r="H620" s="82">
        <v>0.3</v>
      </c>
      <c r="I620" s="82">
        <v>0.26</v>
      </c>
      <c r="J620" s="82">
        <v>1.39</v>
      </c>
      <c r="K620" s="82">
        <v>0.12039999999999998</v>
      </c>
      <c r="L620" s="82">
        <v>0.1</v>
      </c>
      <c r="M620" s="82">
        <v>106.20075368276807</v>
      </c>
      <c r="N620" s="212">
        <v>0</v>
      </c>
      <c r="P620" s="209"/>
    </row>
    <row r="621" spans="1:16" x14ac:dyDescent="0.25">
      <c r="A621" s="87">
        <v>2</v>
      </c>
      <c r="B621" s="82">
        <v>0</v>
      </c>
      <c r="C621" s="82" t="s">
        <v>39</v>
      </c>
      <c r="D621" s="82" t="s">
        <v>39</v>
      </c>
      <c r="E621" s="82" t="s">
        <v>39</v>
      </c>
      <c r="F621" s="82" t="e">
        <v>#VALUE!</v>
      </c>
      <c r="G621" s="82" t="e">
        <v>#VALUE!</v>
      </c>
      <c r="H621" s="82" t="s">
        <v>39</v>
      </c>
      <c r="I621" s="82" t="e">
        <v>#VALUE!</v>
      </c>
      <c r="J621" s="82" t="s">
        <v>39</v>
      </c>
      <c r="K621" s="82" t="s">
        <v>39</v>
      </c>
      <c r="L621" s="82">
        <v>0.1</v>
      </c>
      <c r="M621" s="82" t="e">
        <v>#VALUE!</v>
      </c>
      <c r="N621" s="212">
        <v>0</v>
      </c>
      <c r="P621" s="209" t="s">
        <v>966</v>
      </c>
    </row>
    <row r="622" spans="1:16" x14ac:dyDescent="0.25">
      <c r="A622" s="87">
        <v>3</v>
      </c>
      <c r="B622" s="82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212"/>
      <c r="P622" s="209"/>
    </row>
    <row r="623" spans="1:16" x14ac:dyDescent="0.25">
      <c r="A623" s="87">
        <v>4</v>
      </c>
      <c r="B623" s="82"/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2"/>
      <c r="N623" s="212"/>
      <c r="P623" s="209"/>
    </row>
    <row r="624" spans="1:16" x14ac:dyDescent="0.25">
      <c r="A624" s="87">
        <v>5</v>
      </c>
      <c r="B624" s="82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/>
      <c r="N624" s="212"/>
      <c r="P624" s="209"/>
    </row>
    <row r="625" spans="1:16" x14ac:dyDescent="0.25">
      <c r="A625" s="87">
        <v>6</v>
      </c>
      <c r="B625" s="82"/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2"/>
      <c r="N625" s="212"/>
      <c r="P625" s="209"/>
    </row>
    <row r="626" spans="1:16" x14ac:dyDescent="0.25">
      <c r="A626" s="87">
        <v>7</v>
      </c>
      <c r="B626" s="82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/>
      <c r="N626" s="212"/>
      <c r="P626" s="209"/>
    </row>
    <row r="627" spans="1:16" x14ac:dyDescent="0.25">
      <c r="A627" s="87">
        <v>8</v>
      </c>
      <c r="B627" s="82"/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2"/>
      <c r="N627" s="212"/>
      <c r="P627" s="209"/>
    </row>
    <row r="628" spans="1:16" x14ac:dyDescent="0.25">
      <c r="A628" s="87">
        <v>9</v>
      </c>
      <c r="B628" s="82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/>
      <c r="N628" s="212"/>
      <c r="P628" s="209"/>
    </row>
    <row r="629" spans="1:16" ht="13" thickBot="1" x14ac:dyDescent="0.3">
      <c r="A629" s="218">
        <v>10</v>
      </c>
      <c r="B629" s="104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213"/>
      <c r="P629" s="209"/>
    </row>
    <row r="630" spans="1:16" x14ac:dyDescent="0.25">
      <c r="A630" s="3"/>
      <c r="C630" s="3"/>
      <c r="D630" s="3"/>
      <c r="E630" s="3"/>
      <c r="F630" s="3"/>
      <c r="P630" s="209"/>
    </row>
    <row r="631" spans="1:16" ht="13" thickBot="1" x14ac:dyDescent="0.3">
      <c r="A631" s="3"/>
      <c r="C631" s="3"/>
      <c r="D631" s="3"/>
      <c r="E631" s="3"/>
      <c r="F631" s="3"/>
      <c r="P631" s="209"/>
    </row>
    <row r="632" spans="1:16" ht="13" x14ac:dyDescent="0.3">
      <c r="A632" s="74" t="s">
        <v>677</v>
      </c>
      <c r="B632" s="75"/>
      <c r="C632" s="76"/>
      <c r="D632" s="76"/>
      <c r="E632" s="76"/>
      <c r="F632" s="75"/>
      <c r="G632" s="75"/>
      <c r="H632" s="76"/>
      <c r="I632" s="76"/>
      <c r="J632" s="76"/>
      <c r="K632" s="76"/>
      <c r="L632" s="76"/>
      <c r="M632" s="76"/>
      <c r="N632" s="211">
        <v>35</v>
      </c>
      <c r="P632" s="209"/>
    </row>
    <row r="633" spans="1:16" ht="13" x14ac:dyDescent="0.3">
      <c r="A633" s="77" t="s">
        <v>672</v>
      </c>
      <c r="B633" s="41"/>
      <c r="C633" s="41" t="s">
        <v>673</v>
      </c>
      <c r="D633" s="46"/>
      <c r="E633" s="46"/>
      <c r="F633" s="78"/>
      <c r="G633" s="78"/>
      <c r="H633" s="46"/>
      <c r="I633" s="46"/>
      <c r="J633" s="46"/>
      <c r="K633" s="46"/>
      <c r="L633" s="46"/>
      <c r="M633" s="46"/>
      <c r="N633" s="79"/>
      <c r="P633" s="209"/>
    </row>
    <row r="634" spans="1:16" x14ac:dyDescent="0.25">
      <c r="A634" s="80" t="s">
        <v>894</v>
      </c>
      <c r="B634" s="46"/>
      <c r="C634" s="81">
        <v>1316</v>
      </c>
      <c r="D634" s="46"/>
      <c r="E634" s="46"/>
      <c r="F634" s="78"/>
      <c r="G634" s="78"/>
      <c r="H634" s="46"/>
      <c r="I634" s="46"/>
      <c r="J634" s="46"/>
      <c r="K634" s="46"/>
      <c r="L634" s="46"/>
      <c r="M634" s="46"/>
      <c r="N634" s="79"/>
      <c r="P634" s="209">
        <v>632</v>
      </c>
    </row>
    <row r="635" spans="1:16" ht="13" x14ac:dyDescent="0.3">
      <c r="A635" s="77" t="s">
        <v>681</v>
      </c>
      <c r="B635" s="41" t="s">
        <v>680</v>
      </c>
      <c r="C635" s="41" t="s">
        <v>678</v>
      </c>
      <c r="D635" s="41" t="s">
        <v>695</v>
      </c>
      <c r="E635" s="41" t="s">
        <v>679</v>
      </c>
      <c r="F635" s="41" t="s">
        <v>1186</v>
      </c>
      <c r="G635" s="78"/>
      <c r="H635" s="46"/>
      <c r="I635" s="46"/>
      <c r="J635" s="46"/>
      <c r="K635" s="46"/>
      <c r="L635" s="46"/>
      <c r="M635" s="46"/>
      <c r="N635" s="79"/>
      <c r="P635" s="209"/>
    </row>
    <row r="636" spans="1:16" x14ac:dyDescent="0.25">
      <c r="A636" s="80">
        <v>2</v>
      </c>
      <c r="B636" s="78">
        <v>2</v>
      </c>
      <c r="C636" s="82">
        <v>0.12</v>
      </c>
      <c r="D636" s="78">
        <v>53</v>
      </c>
      <c r="E636" s="78">
        <v>81</v>
      </c>
      <c r="F636" s="78">
        <v>1</v>
      </c>
      <c r="G636" s="78"/>
      <c r="H636" s="46"/>
      <c r="I636" s="46"/>
      <c r="J636" s="46"/>
      <c r="K636" s="46"/>
      <c r="L636" s="46"/>
      <c r="M636" s="78" t="s">
        <v>65</v>
      </c>
      <c r="N636" s="83" t="s">
        <v>65</v>
      </c>
      <c r="P636" s="209"/>
    </row>
    <row r="637" spans="1:16" ht="13" x14ac:dyDescent="0.3">
      <c r="A637" s="84"/>
      <c r="B637" s="13"/>
      <c r="C637" s="78" t="s">
        <v>20</v>
      </c>
      <c r="D637" s="78" t="s">
        <v>20</v>
      </c>
      <c r="E637" s="78" t="s">
        <v>20</v>
      </c>
      <c r="F637" s="78"/>
      <c r="G637" s="78" t="s">
        <v>39</v>
      </c>
      <c r="H637" s="78" t="s">
        <v>39</v>
      </c>
      <c r="I637" s="78" t="s">
        <v>39</v>
      </c>
      <c r="J637" s="78" t="s">
        <v>63</v>
      </c>
      <c r="K637" s="78" t="s">
        <v>62</v>
      </c>
      <c r="L637" s="78" t="s">
        <v>39</v>
      </c>
      <c r="M637" s="78" t="s">
        <v>64</v>
      </c>
      <c r="N637" s="83" t="s">
        <v>64</v>
      </c>
      <c r="P637" s="209"/>
    </row>
    <row r="638" spans="1:16" ht="13" x14ac:dyDescent="0.3">
      <c r="A638" s="85" t="s">
        <v>32</v>
      </c>
      <c r="B638" s="5" t="s">
        <v>33</v>
      </c>
      <c r="C638" s="5" t="s">
        <v>34</v>
      </c>
      <c r="D638" s="5" t="s">
        <v>35</v>
      </c>
      <c r="E638" s="5" t="s">
        <v>814</v>
      </c>
      <c r="F638" s="5" t="s">
        <v>816</v>
      </c>
      <c r="G638" s="5" t="s">
        <v>815</v>
      </c>
      <c r="H638" s="5" t="s">
        <v>36</v>
      </c>
      <c r="I638" s="5" t="s">
        <v>66</v>
      </c>
      <c r="J638" s="5" t="s">
        <v>56</v>
      </c>
      <c r="K638" s="5" t="s">
        <v>57</v>
      </c>
      <c r="L638" s="5" t="s">
        <v>58</v>
      </c>
      <c r="M638" s="5" t="s">
        <v>59</v>
      </c>
      <c r="N638" s="86" t="s">
        <v>60</v>
      </c>
      <c r="P638" s="209"/>
    </row>
    <row r="639" spans="1:16" x14ac:dyDescent="0.25">
      <c r="A639" s="87">
        <v>1</v>
      </c>
      <c r="B639" s="82">
        <v>100</v>
      </c>
      <c r="C639" s="82">
        <v>0.45600000000000002</v>
      </c>
      <c r="D639" s="82">
        <v>0.221</v>
      </c>
      <c r="E639" s="82">
        <v>0.09</v>
      </c>
      <c r="F639" s="82">
        <v>0.03</v>
      </c>
      <c r="G639" s="82">
        <v>0.1162</v>
      </c>
      <c r="H639" s="82">
        <v>0.3</v>
      </c>
      <c r="I639" s="82">
        <v>0.26</v>
      </c>
      <c r="J639" s="82">
        <v>1.39</v>
      </c>
      <c r="K639" s="82">
        <v>0.12039999999999998</v>
      </c>
      <c r="L639" s="82">
        <v>0.1</v>
      </c>
      <c r="M639" s="82">
        <v>106.20075368276807</v>
      </c>
      <c r="N639" s="212">
        <v>0</v>
      </c>
      <c r="P639" s="209"/>
    </row>
    <row r="640" spans="1:16" x14ac:dyDescent="0.25">
      <c r="A640" s="87">
        <v>2</v>
      </c>
      <c r="B640" s="82">
        <v>0</v>
      </c>
      <c r="C640" s="82" t="s">
        <v>39</v>
      </c>
      <c r="D640" s="82" t="s">
        <v>39</v>
      </c>
      <c r="E640" s="82" t="s">
        <v>39</v>
      </c>
      <c r="F640" s="82" t="e">
        <v>#VALUE!</v>
      </c>
      <c r="G640" s="82" t="e">
        <v>#VALUE!</v>
      </c>
      <c r="H640" s="82" t="s">
        <v>39</v>
      </c>
      <c r="I640" s="82" t="e">
        <v>#VALUE!</v>
      </c>
      <c r="J640" s="82" t="s">
        <v>39</v>
      </c>
      <c r="K640" s="82" t="s">
        <v>39</v>
      </c>
      <c r="L640" s="82">
        <v>0.1</v>
      </c>
      <c r="M640" s="82" t="e">
        <v>#VALUE!</v>
      </c>
      <c r="N640" s="212">
        <v>0</v>
      </c>
      <c r="P640" s="209" t="s">
        <v>966</v>
      </c>
    </row>
    <row r="641" spans="1:16" x14ac:dyDescent="0.25">
      <c r="A641" s="87">
        <v>3</v>
      </c>
      <c r="B641" s="82"/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2"/>
      <c r="N641" s="212"/>
      <c r="P641" s="209"/>
    </row>
    <row r="642" spans="1:16" x14ac:dyDescent="0.25">
      <c r="A642" s="87">
        <v>4</v>
      </c>
      <c r="B642" s="82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/>
      <c r="N642" s="212"/>
      <c r="P642" s="209"/>
    </row>
    <row r="643" spans="1:16" x14ac:dyDescent="0.25">
      <c r="A643" s="87">
        <v>5</v>
      </c>
      <c r="B643" s="82"/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2"/>
      <c r="N643" s="212"/>
      <c r="P643" s="209"/>
    </row>
    <row r="644" spans="1:16" x14ac:dyDescent="0.25">
      <c r="A644" s="87">
        <v>6</v>
      </c>
      <c r="B644" s="82"/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212"/>
      <c r="P644" s="209"/>
    </row>
    <row r="645" spans="1:16" x14ac:dyDescent="0.25">
      <c r="A645" s="87">
        <v>7</v>
      </c>
      <c r="B645" s="82"/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2"/>
      <c r="N645" s="212"/>
      <c r="P645" s="209"/>
    </row>
    <row r="646" spans="1:16" x14ac:dyDescent="0.25">
      <c r="A646" s="87">
        <v>8</v>
      </c>
      <c r="B646" s="82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2"/>
      <c r="N646" s="212"/>
      <c r="P646" s="209"/>
    </row>
    <row r="647" spans="1:16" x14ac:dyDescent="0.25">
      <c r="A647" s="87">
        <v>9</v>
      </c>
      <c r="B647" s="82"/>
      <c r="C647" s="82"/>
      <c r="D647" s="82"/>
      <c r="E647" s="82"/>
      <c r="F647" s="82"/>
      <c r="G647" s="82"/>
      <c r="H647" s="82"/>
      <c r="I647" s="82"/>
      <c r="J647" s="82"/>
      <c r="K647" s="82"/>
      <c r="L647" s="82"/>
      <c r="M647" s="82"/>
      <c r="N647" s="212"/>
      <c r="P647" s="209"/>
    </row>
    <row r="648" spans="1:16" ht="13" thickBot="1" x14ac:dyDescent="0.3">
      <c r="A648" s="218">
        <v>10</v>
      </c>
      <c r="B648" s="104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213"/>
      <c r="P648" s="209"/>
    </row>
    <row r="649" spans="1:16" x14ac:dyDescent="0.25">
      <c r="A649" s="3"/>
      <c r="C649" s="3"/>
      <c r="D649" s="3"/>
      <c r="E649" s="3"/>
      <c r="F649" s="3"/>
      <c r="P649" s="209"/>
    </row>
    <row r="650" spans="1:16" ht="13" thickBot="1" x14ac:dyDescent="0.3">
      <c r="A650" s="3"/>
      <c r="C650" s="3"/>
      <c r="D650" s="3"/>
      <c r="E650" s="3"/>
      <c r="F650" s="3"/>
      <c r="P650" s="209"/>
    </row>
    <row r="651" spans="1:16" ht="13" x14ac:dyDescent="0.3">
      <c r="A651" s="74" t="s">
        <v>677</v>
      </c>
      <c r="B651" s="75"/>
      <c r="C651" s="76"/>
      <c r="D651" s="76"/>
      <c r="E651" s="76"/>
      <c r="F651" s="75"/>
      <c r="G651" s="75"/>
      <c r="H651" s="76"/>
      <c r="I651" s="76"/>
      <c r="J651" s="76"/>
      <c r="K651" s="76"/>
      <c r="L651" s="76"/>
      <c r="M651" s="76"/>
      <c r="N651" s="211">
        <v>36</v>
      </c>
      <c r="P651" s="209"/>
    </row>
    <row r="652" spans="1:16" ht="13" x14ac:dyDescent="0.3">
      <c r="A652" s="77" t="s">
        <v>672</v>
      </c>
      <c r="B652" s="41"/>
      <c r="C652" s="41" t="s">
        <v>673</v>
      </c>
      <c r="D652" s="46"/>
      <c r="E652" s="46"/>
      <c r="F652" s="78"/>
      <c r="G652" s="78"/>
      <c r="H652" s="46"/>
      <c r="I652" s="46"/>
      <c r="J652" s="46"/>
      <c r="K652" s="46"/>
      <c r="L652" s="46"/>
      <c r="M652" s="46"/>
      <c r="N652" s="79"/>
      <c r="P652" s="209"/>
    </row>
    <row r="653" spans="1:16" x14ac:dyDescent="0.25">
      <c r="A653" s="80" t="s">
        <v>896</v>
      </c>
      <c r="B653" s="46"/>
      <c r="C653" s="81">
        <v>1800</v>
      </c>
      <c r="D653" s="46"/>
      <c r="E653" s="46"/>
      <c r="F653" s="78"/>
      <c r="G653" s="78"/>
      <c r="H653" s="46"/>
      <c r="I653" s="46"/>
      <c r="J653" s="46"/>
      <c r="K653" s="46"/>
      <c r="L653" s="46"/>
      <c r="M653" s="46"/>
      <c r="N653" s="79"/>
      <c r="P653" s="209">
        <v>651</v>
      </c>
    </row>
    <row r="654" spans="1:16" ht="13" x14ac:dyDescent="0.3">
      <c r="A654" s="77" t="s">
        <v>681</v>
      </c>
      <c r="B654" s="41" t="s">
        <v>680</v>
      </c>
      <c r="C654" s="41" t="s">
        <v>678</v>
      </c>
      <c r="D654" s="41" t="s">
        <v>695</v>
      </c>
      <c r="E654" s="41" t="s">
        <v>679</v>
      </c>
      <c r="F654" s="41" t="s">
        <v>1186</v>
      </c>
      <c r="G654" s="78"/>
      <c r="H654" s="46"/>
      <c r="I654" s="46"/>
      <c r="J654" s="46"/>
      <c r="K654" s="46"/>
      <c r="L654" s="46"/>
      <c r="M654" s="46"/>
      <c r="N654" s="79"/>
      <c r="P654" s="209"/>
    </row>
    <row r="655" spans="1:16" x14ac:dyDescent="0.25">
      <c r="A655" s="80">
        <v>2</v>
      </c>
      <c r="B655" s="78">
        <v>2</v>
      </c>
      <c r="C655" s="82">
        <v>0.12</v>
      </c>
      <c r="D655" s="78">
        <v>52</v>
      </c>
      <c r="E655" s="78">
        <v>81</v>
      </c>
      <c r="F655" s="78">
        <v>1</v>
      </c>
      <c r="G655" s="78"/>
      <c r="H655" s="46"/>
      <c r="I655" s="46"/>
      <c r="J655" s="46"/>
      <c r="K655" s="46"/>
      <c r="L655" s="46"/>
      <c r="M655" s="78" t="s">
        <v>65</v>
      </c>
      <c r="N655" s="83" t="s">
        <v>65</v>
      </c>
      <c r="P655" s="209"/>
    </row>
    <row r="656" spans="1:16" ht="13" x14ac:dyDescent="0.3">
      <c r="A656" s="84"/>
      <c r="B656" s="13"/>
      <c r="C656" s="78" t="s">
        <v>20</v>
      </c>
      <c r="D656" s="78" t="s">
        <v>20</v>
      </c>
      <c r="E656" s="78" t="s">
        <v>20</v>
      </c>
      <c r="F656" s="78"/>
      <c r="G656" s="78" t="s">
        <v>39</v>
      </c>
      <c r="H656" s="78" t="s">
        <v>39</v>
      </c>
      <c r="I656" s="78" t="s">
        <v>39</v>
      </c>
      <c r="J656" s="78" t="s">
        <v>63</v>
      </c>
      <c r="K656" s="78" t="s">
        <v>62</v>
      </c>
      <c r="L656" s="78" t="s">
        <v>39</v>
      </c>
      <c r="M656" s="78" t="s">
        <v>64</v>
      </c>
      <c r="N656" s="83" t="s">
        <v>64</v>
      </c>
      <c r="P656" s="209"/>
    </row>
    <row r="657" spans="1:16" ht="13" x14ac:dyDescent="0.3">
      <c r="A657" s="85" t="s">
        <v>32</v>
      </c>
      <c r="B657" s="5" t="s">
        <v>33</v>
      </c>
      <c r="C657" s="5" t="s">
        <v>34</v>
      </c>
      <c r="D657" s="5" t="s">
        <v>35</v>
      </c>
      <c r="E657" s="5" t="s">
        <v>814</v>
      </c>
      <c r="F657" s="5" t="s">
        <v>816</v>
      </c>
      <c r="G657" s="5" t="s">
        <v>815</v>
      </c>
      <c r="H657" s="5" t="s">
        <v>36</v>
      </c>
      <c r="I657" s="5" t="s">
        <v>66</v>
      </c>
      <c r="J657" s="5" t="s">
        <v>56</v>
      </c>
      <c r="K657" s="5" t="s">
        <v>57</v>
      </c>
      <c r="L657" s="5" t="s">
        <v>58</v>
      </c>
      <c r="M657" s="5" t="s">
        <v>59</v>
      </c>
      <c r="N657" s="86" t="s">
        <v>60</v>
      </c>
      <c r="P657" s="209"/>
    </row>
    <row r="658" spans="1:16" x14ac:dyDescent="0.25">
      <c r="A658" s="87">
        <v>1</v>
      </c>
      <c r="B658" s="82">
        <v>300</v>
      </c>
      <c r="C658" s="82">
        <v>0.378</v>
      </c>
      <c r="D658" s="82">
        <v>0.255</v>
      </c>
      <c r="E658" s="82">
        <v>0.123</v>
      </c>
      <c r="F658" s="82">
        <v>4.1000000000000002E-2</v>
      </c>
      <c r="G658" s="82">
        <v>0.14940000000000001</v>
      </c>
      <c r="H658" s="82">
        <v>0.3</v>
      </c>
      <c r="I658" s="82">
        <v>0.2</v>
      </c>
      <c r="J658" s="82">
        <v>1.4</v>
      </c>
      <c r="K658" s="82">
        <v>3.5259999999999993E-2</v>
      </c>
      <c r="L658" s="82">
        <v>0.1</v>
      </c>
      <c r="M658" s="82">
        <v>35.147392290249435</v>
      </c>
      <c r="N658" s="212">
        <v>0</v>
      </c>
      <c r="P658" s="209"/>
    </row>
    <row r="659" spans="1:16" x14ac:dyDescent="0.25">
      <c r="A659" s="87">
        <v>2</v>
      </c>
      <c r="B659" s="82">
        <v>700</v>
      </c>
      <c r="C659" s="82">
        <v>0.39500000000000002</v>
      </c>
      <c r="D659" s="82">
        <v>0.26200000000000001</v>
      </c>
      <c r="E659" s="82">
        <v>0.13</v>
      </c>
      <c r="F659" s="82">
        <v>4.3333333333333335E-2</v>
      </c>
      <c r="G659" s="82">
        <v>0.15640000000000001</v>
      </c>
      <c r="H659" s="82">
        <v>0.3</v>
      </c>
      <c r="I659" s="82">
        <v>0.27</v>
      </c>
      <c r="J659" s="82">
        <v>1.36</v>
      </c>
      <c r="K659" s="82">
        <v>1.9779999999999999E-2</v>
      </c>
      <c r="L659" s="82">
        <v>0.1</v>
      </c>
      <c r="M659" s="82">
        <v>7.7531012404961972</v>
      </c>
      <c r="N659" s="212">
        <v>0</v>
      </c>
      <c r="P659" s="209" t="s">
        <v>966</v>
      </c>
    </row>
    <row r="660" spans="1:16" x14ac:dyDescent="0.25">
      <c r="A660" s="87">
        <v>3</v>
      </c>
      <c r="B660" s="82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2"/>
      <c r="N660" s="212"/>
      <c r="P660" s="209"/>
    </row>
    <row r="661" spans="1:16" x14ac:dyDescent="0.25">
      <c r="A661" s="87">
        <v>4</v>
      </c>
      <c r="B661" s="82"/>
      <c r="C661" s="82"/>
      <c r="D661" s="82"/>
      <c r="E661" s="82"/>
      <c r="F661" s="82"/>
      <c r="G661" s="82"/>
      <c r="H661" s="82"/>
      <c r="I661" s="82"/>
      <c r="J661" s="82"/>
      <c r="K661" s="82"/>
      <c r="L661" s="82"/>
      <c r="M661" s="82"/>
      <c r="N661" s="212"/>
      <c r="P661" s="209"/>
    </row>
    <row r="662" spans="1:16" x14ac:dyDescent="0.25">
      <c r="A662" s="87">
        <v>5</v>
      </c>
      <c r="B662" s="82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2"/>
      <c r="N662" s="212"/>
      <c r="P662" s="209"/>
    </row>
    <row r="663" spans="1:16" x14ac:dyDescent="0.25">
      <c r="A663" s="87">
        <v>6</v>
      </c>
      <c r="B663" s="82"/>
      <c r="C663" s="82"/>
      <c r="D663" s="82"/>
      <c r="E663" s="82"/>
      <c r="F663" s="82"/>
      <c r="G663" s="82"/>
      <c r="H663" s="82"/>
      <c r="I663" s="82"/>
      <c r="J663" s="82"/>
      <c r="K663" s="82"/>
      <c r="L663" s="82"/>
      <c r="M663" s="82"/>
      <c r="N663" s="212"/>
      <c r="P663" s="209"/>
    </row>
    <row r="664" spans="1:16" x14ac:dyDescent="0.25">
      <c r="A664" s="87">
        <v>7</v>
      </c>
      <c r="B664" s="82"/>
      <c r="C664" s="82"/>
      <c r="D664" s="82"/>
      <c r="E664" s="82"/>
      <c r="F664" s="82"/>
      <c r="G664" s="82"/>
      <c r="H664" s="82"/>
      <c r="I664" s="82"/>
      <c r="J664" s="82"/>
      <c r="K664" s="82"/>
      <c r="L664" s="82"/>
      <c r="M664" s="82"/>
      <c r="N664" s="212"/>
      <c r="P664" s="209"/>
    </row>
    <row r="665" spans="1:16" x14ac:dyDescent="0.25">
      <c r="A665" s="87">
        <v>8</v>
      </c>
      <c r="B665" s="82"/>
      <c r="C665" s="82"/>
      <c r="D665" s="82"/>
      <c r="E665" s="82"/>
      <c r="F665" s="82"/>
      <c r="G665" s="82"/>
      <c r="H665" s="82"/>
      <c r="I665" s="82"/>
      <c r="J665" s="82"/>
      <c r="K665" s="82"/>
      <c r="L665" s="82"/>
      <c r="M665" s="82"/>
      <c r="N665" s="212"/>
      <c r="P665" s="209"/>
    </row>
    <row r="666" spans="1:16" x14ac:dyDescent="0.25">
      <c r="A666" s="87">
        <v>9</v>
      </c>
      <c r="B666" s="82"/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2"/>
      <c r="N666" s="212"/>
      <c r="P666" s="209"/>
    </row>
    <row r="667" spans="1:16" ht="13" thickBot="1" x14ac:dyDescent="0.3">
      <c r="A667" s="218">
        <v>10</v>
      </c>
      <c r="B667" s="104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213"/>
      <c r="P667" s="209"/>
    </row>
    <row r="668" spans="1:16" x14ac:dyDescent="0.25">
      <c r="A668" s="3"/>
      <c r="C668" s="3"/>
      <c r="D668" s="3"/>
      <c r="E668" s="3"/>
      <c r="F668" s="3"/>
      <c r="P668" s="209"/>
    </row>
    <row r="669" spans="1:16" ht="13" thickBot="1" x14ac:dyDescent="0.3">
      <c r="A669" s="3"/>
      <c r="C669" s="3"/>
      <c r="D669" s="3"/>
      <c r="E669" s="3"/>
      <c r="F669" s="3"/>
      <c r="P669" s="209"/>
    </row>
    <row r="670" spans="1:16" ht="13" x14ac:dyDescent="0.3">
      <c r="A670" s="74" t="s">
        <v>677</v>
      </c>
      <c r="B670" s="75"/>
      <c r="C670" s="76"/>
      <c r="D670" s="76"/>
      <c r="E670" s="76"/>
      <c r="F670" s="75"/>
      <c r="G670" s="75"/>
      <c r="H670" s="76"/>
      <c r="I670" s="76"/>
      <c r="J670" s="76"/>
      <c r="K670" s="76"/>
      <c r="L670" s="76"/>
      <c r="M670" s="76"/>
      <c r="N670" s="211">
        <v>37</v>
      </c>
      <c r="P670" s="209"/>
    </row>
    <row r="671" spans="1:16" ht="13" x14ac:dyDescent="0.3">
      <c r="A671" s="77" t="s">
        <v>672</v>
      </c>
      <c r="B671" s="41"/>
      <c r="C671" s="41" t="s">
        <v>673</v>
      </c>
      <c r="D671" s="46"/>
      <c r="E671" s="46"/>
      <c r="F671" s="78"/>
      <c r="G671" s="78"/>
      <c r="H671" s="46"/>
      <c r="I671" s="46"/>
      <c r="J671" s="46"/>
      <c r="K671" s="46"/>
      <c r="L671" s="46"/>
      <c r="M671" s="46"/>
      <c r="N671" s="79"/>
      <c r="P671" s="209"/>
    </row>
    <row r="672" spans="1:16" x14ac:dyDescent="0.25">
      <c r="A672" s="80" t="s">
        <v>898</v>
      </c>
      <c r="B672" s="46"/>
      <c r="C672" s="81">
        <v>1800</v>
      </c>
      <c r="D672" s="46"/>
      <c r="E672" s="46"/>
      <c r="F672" s="78"/>
      <c r="G672" s="78"/>
      <c r="H672" s="46"/>
      <c r="I672" s="46"/>
      <c r="J672" s="46"/>
      <c r="K672" s="46"/>
      <c r="L672" s="46"/>
      <c r="M672" s="46"/>
      <c r="N672" s="79"/>
      <c r="P672" s="209">
        <v>670</v>
      </c>
    </row>
    <row r="673" spans="1:16" ht="13" x14ac:dyDescent="0.3">
      <c r="A673" s="77" t="s">
        <v>681</v>
      </c>
      <c r="B673" s="41" t="s">
        <v>680</v>
      </c>
      <c r="C673" s="41" t="s">
        <v>678</v>
      </c>
      <c r="D673" s="41" t="s">
        <v>695</v>
      </c>
      <c r="E673" s="41" t="s">
        <v>679</v>
      </c>
      <c r="F673" s="41" t="s">
        <v>1186</v>
      </c>
      <c r="G673" s="78"/>
      <c r="H673" s="46"/>
      <c r="I673" s="46"/>
      <c r="J673" s="46"/>
      <c r="K673" s="46"/>
      <c r="L673" s="46"/>
      <c r="M673" s="46"/>
      <c r="N673" s="79"/>
      <c r="P673" s="209"/>
    </row>
    <row r="674" spans="1:16" x14ac:dyDescent="0.25">
      <c r="A674" s="80">
        <v>2</v>
      </c>
      <c r="B674" s="78">
        <v>2</v>
      </c>
      <c r="C674" s="82">
        <v>0.12</v>
      </c>
      <c r="D674" s="78">
        <v>51</v>
      </c>
      <c r="E674" s="78">
        <v>81</v>
      </c>
      <c r="F674" s="78">
        <v>1</v>
      </c>
      <c r="G674" s="78"/>
      <c r="H674" s="46"/>
      <c r="I674" s="46"/>
      <c r="J674" s="46"/>
      <c r="K674" s="46"/>
      <c r="L674" s="46"/>
      <c r="M674" s="78" t="s">
        <v>65</v>
      </c>
      <c r="N674" s="83" t="s">
        <v>65</v>
      </c>
      <c r="P674" s="209"/>
    </row>
    <row r="675" spans="1:16" ht="13" x14ac:dyDescent="0.3">
      <c r="A675" s="84"/>
      <c r="B675" s="13"/>
      <c r="C675" s="78" t="s">
        <v>20</v>
      </c>
      <c r="D675" s="78" t="s">
        <v>20</v>
      </c>
      <c r="E675" s="78" t="s">
        <v>20</v>
      </c>
      <c r="F675" s="78"/>
      <c r="G675" s="78" t="s">
        <v>39</v>
      </c>
      <c r="H675" s="78" t="s">
        <v>39</v>
      </c>
      <c r="I675" s="78" t="s">
        <v>39</v>
      </c>
      <c r="J675" s="78" t="s">
        <v>63</v>
      </c>
      <c r="K675" s="78" t="s">
        <v>62</v>
      </c>
      <c r="L675" s="78" t="s">
        <v>39</v>
      </c>
      <c r="M675" s="78" t="s">
        <v>64</v>
      </c>
      <c r="N675" s="83" t="s">
        <v>64</v>
      </c>
      <c r="P675" s="209"/>
    </row>
    <row r="676" spans="1:16" ht="13" x14ac:dyDescent="0.3">
      <c r="A676" s="85" t="s">
        <v>32</v>
      </c>
      <c r="B676" s="5" t="s">
        <v>33</v>
      </c>
      <c r="C676" s="5" t="s">
        <v>34</v>
      </c>
      <c r="D676" s="5" t="s">
        <v>35</v>
      </c>
      <c r="E676" s="5" t="s">
        <v>814</v>
      </c>
      <c r="F676" s="5" t="s">
        <v>816</v>
      </c>
      <c r="G676" s="5" t="s">
        <v>815</v>
      </c>
      <c r="H676" s="5" t="s">
        <v>36</v>
      </c>
      <c r="I676" s="5" t="s">
        <v>66</v>
      </c>
      <c r="J676" s="5" t="s">
        <v>56</v>
      </c>
      <c r="K676" s="5" t="s">
        <v>57</v>
      </c>
      <c r="L676" s="5" t="s">
        <v>58</v>
      </c>
      <c r="M676" s="5" t="s">
        <v>59</v>
      </c>
      <c r="N676" s="86" t="s">
        <v>60</v>
      </c>
      <c r="P676" s="209"/>
    </row>
    <row r="677" spans="1:16" x14ac:dyDescent="0.25">
      <c r="A677" s="87">
        <v>1</v>
      </c>
      <c r="B677" s="82">
        <v>300</v>
      </c>
      <c r="C677" s="82">
        <v>0.378</v>
      </c>
      <c r="D677" s="82">
        <v>0.255</v>
      </c>
      <c r="E677" s="82">
        <v>0.123</v>
      </c>
      <c r="F677" s="82">
        <v>4.1000000000000002E-2</v>
      </c>
      <c r="G677" s="82">
        <v>0.14940000000000001</v>
      </c>
      <c r="H677" s="82">
        <v>0.3</v>
      </c>
      <c r="I677" s="82">
        <v>0.2</v>
      </c>
      <c r="J677" s="82">
        <v>1.4</v>
      </c>
      <c r="K677" s="82">
        <v>3.5259999999999993E-2</v>
      </c>
      <c r="L677" s="82">
        <v>0.1</v>
      </c>
      <c r="M677" s="82">
        <v>35.147392290249435</v>
      </c>
      <c r="N677" s="212">
        <v>0</v>
      </c>
      <c r="P677" s="209"/>
    </row>
    <row r="678" spans="1:16" x14ac:dyDescent="0.25">
      <c r="A678" s="87">
        <v>2</v>
      </c>
      <c r="B678" s="82">
        <v>700</v>
      </c>
      <c r="C678" s="82">
        <v>0.39500000000000002</v>
      </c>
      <c r="D678" s="82">
        <v>0.26200000000000001</v>
      </c>
      <c r="E678" s="82">
        <v>0.13</v>
      </c>
      <c r="F678" s="82">
        <v>4.3333333333333335E-2</v>
      </c>
      <c r="G678" s="82">
        <v>0.15640000000000001</v>
      </c>
      <c r="H678" s="82">
        <v>0.3</v>
      </c>
      <c r="I678" s="82">
        <v>0.27</v>
      </c>
      <c r="J678" s="82">
        <v>1.36</v>
      </c>
      <c r="K678" s="82">
        <v>1.9779999999999999E-2</v>
      </c>
      <c r="L678" s="82">
        <v>0.1</v>
      </c>
      <c r="M678" s="82">
        <v>7.7531012404961972</v>
      </c>
      <c r="N678" s="212">
        <v>0</v>
      </c>
      <c r="P678" s="209" t="s">
        <v>966</v>
      </c>
    </row>
    <row r="679" spans="1:16" x14ac:dyDescent="0.25">
      <c r="A679" s="87">
        <v>3</v>
      </c>
      <c r="B679" s="82"/>
      <c r="C679" s="82"/>
      <c r="D679" s="82"/>
      <c r="E679" s="82"/>
      <c r="F679" s="82"/>
      <c r="G679" s="82"/>
      <c r="H679" s="82"/>
      <c r="I679" s="82"/>
      <c r="J679" s="82"/>
      <c r="K679" s="82"/>
      <c r="L679" s="82"/>
      <c r="M679" s="82"/>
      <c r="N679" s="212"/>
      <c r="P679" s="209"/>
    </row>
    <row r="680" spans="1:16" x14ac:dyDescent="0.25">
      <c r="A680" s="87">
        <v>4</v>
      </c>
      <c r="B680" s="82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2"/>
      <c r="N680" s="212"/>
      <c r="P680" s="209"/>
    </row>
    <row r="681" spans="1:16" x14ac:dyDescent="0.25">
      <c r="A681" s="87">
        <v>5</v>
      </c>
      <c r="B681" s="82"/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2"/>
      <c r="N681" s="212"/>
      <c r="P681" s="209"/>
    </row>
    <row r="682" spans="1:16" x14ac:dyDescent="0.25">
      <c r="A682" s="87">
        <v>6</v>
      </c>
      <c r="B682" s="82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2"/>
      <c r="N682" s="212"/>
      <c r="P682" s="209"/>
    </row>
    <row r="683" spans="1:16" x14ac:dyDescent="0.25">
      <c r="A683" s="87">
        <v>7</v>
      </c>
      <c r="B683" s="82"/>
      <c r="C683" s="82"/>
      <c r="D683" s="82"/>
      <c r="E683" s="82"/>
      <c r="F683" s="82"/>
      <c r="G683" s="82"/>
      <c r="H683" s="82"/>
      <c r="I683" s="82"/>
      <c r="J683" s="82"/>
      <c r="K683" s="82"/>
      <c r="L683" s="82"/>
      <c r="M683" s="82"/>
      <c r="N683" s="212"/>
      <c r="P683" s="209"/>
    </row>
    <row r="684" spans="1:16" x14ac:dyDescent="0.25">
      <c r="A684" s="87">
        <v>8</v>
      </c>
      <c r="B684" s="82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2"/>
      <c r="N684" s="212"/>
      <c r="P684" s="209"/>
    </row>
    <row r="685" spans="1:16" x14ac:dyDescent="0.25">
      <c r="A685" s="87">
        <v>9</v>
      </c>
      <c r="B685" s="82"/>
      <c r="C685" s="82"/>
      <c r="D685" s="82"/>
      <c r="E685" s="82"/>
      <c r="F685" s="82"/>
      <c r="G685" s="82"/>
      <c r="H685" s="82"/>
      <c r="I685" s="82"/>
      <c r="J685" s="82"/>
      <c r="K685" s="82"/>
      <c r="L685" s="82"/>
      <c r="M685" s="82"/>
      <c r="N685" s="212"/>
      <c r="P685" s="209"/>
    </row>
    <row r="686" spans="1:16" ht="13" thickBot="1" x14ac:dyDescent="0.3">
      <c r="A686" s="218">
        <v>10</v>
      </c>
      <c r="B686" s="104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213"/>
      <c r="P686" s="209"/>
    </row>
    <row r="687" spans="1:16" x14ac:dyDescent="0.25">
      <c r="A687" s="3"/>
      <c r="C687" s="3"/>
      <c r="D687" s="3"/>
      <c r="E687" s="3"/>
      <c r="F687" s="3"/>
      <c r="P687" s="209"/>
    </row>
    <row r="688" spans="1:16" ht="13" thickBot="1" x14ac:dyDescent="0.3">
      <c r="A688" s="3"/>
      <c r="C688" s="3"/>
      <c r="D688" s="3"/>
      <c r="E688" s="3"/>
      <c r="F688" s="3"/>
      <c r="P688" s="209"/>
    </row>
    <row r="689" spans="1:16" ht="13" x14ac:dyDescent="0.3">
      <c r="A689" s="74" t="s">
        <v>677</v>
      </c>
      <c r="B689" s="75"/>
      <c r="C689" s="76"/>
      <c r="D689" s="76"/>
      <c r="E689" s="76"/>
      <c r="F689" s="75"/>
      <c r="G689" s="75"/>
      <c r="H689" s="76"/>
      <c r="I689" s="76"/>
      <c r="J689" s="76"/>
      <c r="K689" s="76"/>
      <c r="L689" s="76"/>
      <c r="M689" s="76"/>
      <c r="N689" s="211">
        <v>38</v>
      </c>
      <c r="P689" s="209"/>
    </row>
    <row r="690" spans="1:16" ht="13" x14ac:dyDescent="0.3">
      <c r="A690" s="77" t="s">
        <v>672</v>
      </c>
      <c r="B690" s="41"/>
      <c r="C690" s="41" t="s">
        <v>673</v>
      </c>
      <c r="D690" s="46"/>
      <c r="E690" s="46"/>
      <c r="F690" s="78"/>
      <c r="G690" s="78"/>
      <c r="H690" s="46"/>
      <c r="I690" s="46"/>
      <c r="J690" s="46"/>
      <c r="K690" s="46"/>
      <c r="L690" s="46"/>
      <c r="M690" s="46"/>
      <c r="N690" s="79"/>
      <c r="P690" s="209"/>
    </row>
    <row r="691" spans="1:16" x14ac:dyDescent="0.25">
      <c r="A691" s="80" t="s">
        <v>900</v>
      </c>
      <c r="B691" s="46"/>
      <c r="C691" s="81">
        <v>1800</v>
      </c>
      <c r="D691" s="46"/>
      <c r="E691" s="46"/>
      <c r="F691" s="78"/>
      <c r="G691" s="78"/>
      <c r="H691" s="46"/>
      <c r="I691" s="46"/>
      <c r="J691" s="46"/>
      <c r="K691" s="46"/>
      <c r="L691" s="46"/>
      <c r="M691" s="46"/>
      <c r="N691" s="79"/>
      <c r="P691" s="209">
        <v>689</v>
      </c>
    </row>
    <row r="692" spans="1:16" ht="13" x14ac:dyDescent="0.3">
      <c r="A692" s="77" t="s">
        <v>681</v>
      </c>
      <c r="B692" s="41" t="s">
        <v>680</v>
      </c>
      <c r="C692" s="41" t="s">
        <v>678</v>
      </c>
      <c r="D692" s="41" t="s">
        <v>695</v>
      </c>
      <c r="E692" s="41" t="s">
        <v>679</v>
      </c>
      <c r="F692" s="41" t="s">
        <v>1186</v>
      </c>
      <c r="G692" s="78"/>
      <c r="H692" s="46"/>
      <c r="I692" s="46"/>
      <c r="J692" s="46"/>
      <c r="K692" s="46"/>
      <c r="L692" s="46"/>
      <c r="M692" s="46"/>
      <c r="N692" s="79"/>
      <c r="P692" s="209"/>
    </row>
    <row r="693" spans="1:16" x14ac:dyDescent="0.25">
      <c r="A693" s="80">
        <v>2</v>
      </c>
      <c r="B693" s="78">
        <v>2</v>
      </c>
      <c r="C693" s="82">
        <v>0.12</v>
      </c>
      <c r="D693" s="78">
        <v>50</v>
      </c>
      <c r="E693" s="78">
        <v>81</v>
      </c>
      <c r="F693" s="78">
        <v>1</v>
      </c>
      <c r="G693" s="78"/>
      <c r="H693" s="46"/>
      <c r="I693" s="46"/>
      <c r="J693" s="46"/>
      <c r="K693" s="46"/>
      <c r="L693" s="46"/>
      <c r="M693" s="78" t="s">
        <v>65</v>
      </c>
      <c r="N693" s="83" t="s">
        <v>65</v>
      </c>
      <c r="P693" s="209"/>
    </row>
    <row r="694" spans="1:16" ht="13" x14ac:dyDescent="0.3">
      <c r="A694" s="84"/>
      <c r="B694" s="13"/>
      <c r="C694" s="78" t="s">
        <v>20</v>
      </c>
      <c r="D694" s="78" t="s">
        <v>20</v>
      </c>
      <c r="E694" s="78" t="s">
        <v>20</v>
      </c>
      <c r="F694" s="78"/>
      <c r="G694" s="78" t="s">
        <v>39</v>
      </c>
      <c r="H694" s="78" t="s">
        <v>39</v>
      </c>
      <c r="I694" s="78" t="s">
        <v>39</v>
      </c>
      <c r="J694" s="78" t="s">
        <v>63</v>
      </c>
      <c r="K694" s="78" t="s">
        <v>62</v>
      </c>
      <c r="L694" s="78" t="s">
        <v>39</v>
      </c>
      <c r="M694" s="78" t="s">
        <v>64</v>
      </c>
      <c r="N694" s="83" t="s">
        <v>64</v>
      </c>
      <c r="P694" s="209"/>
    </row>
    <row r="695" spans="1:16" ht="13" x14ac:dyDescent="0.3">
      <c r="A695" s="85" t="s">
        <v>32</v>
      </c>
      <c r="B695" s="5" t="s">
        <v>33</v>
      </c>
      <c r="C695" s="5" t="s">
        <v>34</v>
      </c>
      <c r="D695" s="5" t="s">
        <v>35</v>
      </c>
      <c r="E695" s="5" t="s">
        <v>814</v>
      </c>
      <c r="F695" s="5" t="s">
        <v>816</v>
      </c>
      <c r="G695" s="5" t="s">
        <v>815</v>
      </c>
      <c r="H695" s="5" t="s">
        <v>36</v>
      </c>
      <c r="I695" s="5" t="s">
        <v>66</v>
      </c>
      <c r="J695" s="5" t="s">
        <v>56</v>
      </c>
      <c r="K695" s="5" t="s">
        <v>57</v>
      </c>
      <c r="L695" s="5" t="s">
        <v>58</v>
      </c>
      <c r="M695" s="5" t="s">
        <v>59</v>
      </c>
      <c r="N695" s="86" t="s">
        <v>60</v>
      </c>
      <c r="P695" s="209"/>
    </row>
    <row r="696" spans="1:16" x14ac:dyDescent="0.25">
      <c r="A696" s="87">
        <v>1</v>
      </c>
      <c r="B696" s="82">
        <v>300</v>
      </c>
      <c r="C696" s="82">
        <v>0.378</v>
      </c>
      <c r="D696" s="82">
        <v>0.255</v>
      </c>
      <c r="E696" s="82">
        <v>0.123</v>
      </c>
      <c r="F696" s="82">
        <v>4.1000000000000002E-2</v>
      </c>
      <c r="G696" s="82">
        <v>0.14940000000000001</v>
      </c>
      <c r="H696" s="82">
        <v>0.3</v>
      </c>
      <c r="I696" s="82">
        <v>0.2</v>
      </c>
      <c r="J696" s="82">
        <v>1.4</v>
      </c>
      <c r="K696" s="82">
        <v>3.5259999999999993E-2</v>
      </c>
      <c r="L696" s="82">
        <v>0.1</v>
      </c>
      <c r="M696" s="82">
        <v>35.147392290249435</v>
      </c>
      <c r="N696" s="212">
        <v>0</v>
      </c>
      <c r="P696" s="209"/>
    </row>
    <row r="697" spans="1:16" x14ac:dyDescent="0.25">
      <c r="A697" s="87">
        <v>2</v>
      </c>
      <c r="B697" s="82">
        <v>700</v>
      </c>
      <c r="C697" s="82">
        <v>0.39500000000000002</v>
      </c>
      <c r="D697" s="82">
        <v>0.26200000000000001</v>
      </c>
      <c r="E697" s="82">
        <v>0.13</v>
      </c>
      <c r="F697" s="82">
        <v>4.3333333333333335E-2</v>
      </c>
      <c r="G697" s="82">
        <v>0.15640000000000001</v>
      </c>
      <c r="H697" s="82">
        <v>0.3</v>
      </c>
      <c r="I697" s="82">
        <v>0.27</v>
      </c>
      <c r="J697" s="82">
        <v>1.36</v>
      </c>
      <c r="K697" s="82">
        <v>1.9779999999999999E-2</v>
      </c>
      <c r="L697" s="82">
        <v>0.1</v>
      </c>
      <c r="M697" s="82">
        <v>7.7531012404961972</v>
      </c>
      <c r="N697" s="212">
        <v>0</v>
      </c>
      <c r="P697" s="209" t="s">
        <v>966</v>
      </c>
    </row>
    <row r="698" spans="1:16" x14ac:dyDescent="0.25">
      <c r="A698" s="87">
        <v>3</v>
      </c>
      <c r="B698" s="82"/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2"/>
      <c r="N698" s="212"/>
      <c r="P698" s="209"/>
    </row>
    <row r="699" spans="1:16" x14ac:dyDescent="0.25">
      <c r="A699" s="87">
        <v>4</v>
      </c>
      <c r="B699" s="82"/>
      <c r="C699" s="82"/>
      <c r="D699" s="82"/>
      <c r="E699" s="82"/>
      <c r="F699" s="82"/>
      <c r="G699" s="82"/>
      <c r="H699" s="82"/>
      <c r="I699" s="82"/>
      <c r="J699" s="82"/>
      <c r="K699" s="82"/>
      <c r="L699" s="82"/>
      <c r="M699" s="82"/>
      <c r="N699" s="212"/>
      <c r="P699" s="209"/>
    </row>
    <row r="700" spans="1:16" x14ac:dyDescent="0.25">
      <c r="A700" s="87">
        <v>5</v>
      </c>
      <c r="B700" s="82"/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2"/>
      <c r="N700" s="212"/>
      <c r="P700" s="209"/>
    </row>
    <row r="701" spans="1:16" x14ac:dyDescent="0.25">
      <c r="A701" s="87">
        <v>6</v>
      </c>
      <c r="B701" s="82"/>
      <c r="C701" s="82"/>
      <c r="D701" s="82"/>
      <c r="E701" s="82"/>
      <c r="F701" s="82"/>
      <c r="G701" s="82"/>
      <c r="H701" s="82"/>
      <c r="I701" s="82"/>
      <c r="J701" s="82"/>
      <c r="K701" s="82"/>
      <c r="L701" s="82"/>
      <c r="M701" s="82"/>
      <c r="N701" s="212"/>
      <c r="P701" s="209"/>
    </row>
    <row r="702" spans="1:16" x14ac:dyDescent="0.25">
      <c r="A702" s="87">
        <v>7</v>
      </c>
      <c r="B702" s="82"/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2"/>
      <c r="N702" s="212"/>
      <c r="P702" s="209"/>
    </row>
    <row r="703" spans="1:16" x14ac:dyDescent="0.25">
      <c r="A703" s="87">
        <v>8</v>
      </c>
      <c r="B703" s="82"/>
      <c r="C703" s="82"/>
      <c r="D703" s="82"/>
      <c r="E703" s="82"/>
      <c r="F703" s="82"/>
      <c r="G703" s="82"/>
      <c r="H703" s="82"/>
      <c r="I703" s="82"/>
      <c r="J703" s="82"/>
      <c r="K703" s="82"/>
      <c r="L703" s="82"/>
      <c r="M703" s="82"/>
      <c r="N703" s="212"/>
      <c r="P703" s="209"/>
    </row>
    <row r="704" spans="1:16" x14ac:dyDescent="0.25">
      <c r="A704" s="87">
        <v>9</v>
      </c>
      <c r="B704" s="82"/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2"/>
      <c r="N704" s="212"/>
      <c r="P704" s="209"/>
    </row>
    <row r="705" spans="1:16" ht="13" thickBot="1" x14ac:dyDescent="0.3">
      <c r="A705" s="218">
        <v>10</v>
      </c>
      <c r="B705" s="104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213"/>
      <c r="P705" s="209"/>
    </row>
    <row r="706" spans="1:16" x14ac:dyDescent="0.25">
      <c r="A706" s="3"/>
      <c r="C706" s="3"/>
      <c r="D706" s="3"/>
      <c r="E706" s="3"/>
      <c r="F706" s="3"/>
      <c r="P706" s="209"/>
    </row>
    <row r="707" spans="1:16" ht="13" thickBot="1" x14ac:dyDescent="0.3">
      <c r="A707" s="3"/>
      <c r="C707" s="3"/>
      <c r="D707" s="3"/>
      <c r="E707" s="3"/>
      <c r="F707" s="3"/>
      <c r="P707" s="209"/>
    </row>
    <row r="708" spans="1:16" ht="13" x14ac:dyDescent="0.3">
      <c r="A708" s="74" t="s">
        <v>677</v>
      </c>
      <c r="B708" s="75"/>
      <c r="C708" s="76"/>
      <c r="D708" s="76"/>
      <c r="E708" s="76"/>
      <c r="F708" s="75"/>
      <c r="G708" s="75"/>
      <c r="H708" s="76"/>
      <c r="I708" s="76"/>
      <c r="J708" s="76"/>
      <c r="K708" s="76"/>
      <c r="L708" s="76"/>
      <c r="M708" s="76"/>
      <c r="N708" s="211">
        <v>39</v>
      </c>
      <c r="P708" s="209"/>
    </row>
    <row r="709" spans="1:16" ht="13" x14ac:dyDescent="0.3">
      <c r="A709" s="77" t="s">
        <v>672</v>
      </c>
      <c r="B709" s="41"/>
      <c r="C709" s="41" t="s">
        <v>673</v>
      </c>
      <c r="D709" s="46"/>
      <c r="E709" s="46"/>
      <c r="F709" s="78"/>
      <c r="G709" s="78"/>
      <c r="H709" s="46"/>
      <c r="I709" s="46"/>
      <c r="J709" s="46"/>
      <c r="K709" s="46"/>
      <c r="L709" s="46"/>
      <c r="M709" s="46"/>
      <c r="N709" s="79"/>
      <c r="P709" s="209"/>
    </row>
    <row r="710" spans="1:16" x14ac:dyDescent="0.25">
      <c r="A710" s="80" t="s">
        <v>902</v>
      </c>
      <c r="B710" s="46"/>
      <c r="C710" s="81">
        <v>1254</v>
      </c>
      <c r="D710" s="46"/>
      <c r="E710" s="46"/>
      <c r="F710" s="78"/>
      <c r="G710" s="78"/>
      <c r="H710" s="46"/>
      <c r="I710" s="46"/>
      <c r="J710" s="46"/>
      <c r="K710" s="46"/>
      <c r="L710" s="46"/>
      <c r="M710" s="46"/>
      <c r="N710" s="79"/>
      <c r="P710" s="209">
        <v>708</v>
      </c>
    </row>
    <row r="711" spans="1:16" ht="13" x14ac:dyDescent="0.3">
      <c r="A711" s="77" t="s">
        <v>681</v>
      </c>
      <c r="B711" s="41" t="s">
        <v>680</v>
      </c>
      <c r="C711" s="41" t="s">
        <v>678</v>
      </c>
      <c r="D711" s="41" t="s">
        <v>695</v>
      </c>
      <c r="E711" s="41" t="s">
        <v>679</v>
      </c>
      <c r="F711" s="41" t="s">
        <v>1186</v>
      </c>
      <c r="G711" s="78"/>
      <c r="H711" s="46"/>
      <c r="I711" s="46"/>
      <c r="J711" s="46"/>
      <c r="K711" s="46"/>
      <c r="L711" s="46"/>
      <c r="M711" s="46"/>
      <c r="N711" s="79"/>
      <c r="P711" s="209"/>
    </row>
    <row r="712" spans="1:16" x14ac:dyDescent="0.25">
      <c r="A712" s="80">
        <v>2</v>
      </c>
      <c r="B712" s="78">
        <v>2</v>
      </c>
      <c r="C712" s="82">
        <v>0.12</v>
      </c>
      <c r="D712" s="78">
        <v>49</v>
      </c>
      <c r="E712" s="78">
        <v>81</v>
      </c>
      <c r="F712" s="78">
        <v>1</v>
      </c>
      <c r="G712" s="78"/>
      <c r="H712" s="46"/>
      <c r="I712" s="46"/>
      <c r="J712" s="46"/>
      <c r="K712" s="46"/>
      <c r="L712" s="46"/>
      <c r="M712" s="78" t="s">
        <v>65</v>
      </c>
      <c r="N712" s="83" t="s">
        <v>65</v>
      </c>
      <c r="P712" s="209"/>
    </row>
    <row r="713" spans="1:16" ht="13" x14ac:dyDescent="0.3">
      <c r="A713" s="84"/>
      <c r="B713" s="13"/>
      <c r="C713" s="78" t="s">
        <v>20</v>
      </c>
      <c r="D713" s="78" t="s">
        <v>20</v>
      </c>
      <c r="E713" s="78" t="s">
        <v>20</v>
      </c>
      <c r="F713" s="78"/>
      <c r="G713" s="78" t="s">
        <v>39</v>
      </c>
      <c r="H713" s="78" t="s">
        <v>39</v>
      </c>
      <c r="I713" s="78" t="s">
        <v>39</v>
      </c>
      <c r="J713" s="78" t="s">
        <v>63</v>
      </c>
      <c r="K713" s="78" t="s">
        <v>62</v>
      </c>
      <c r="L713" s="78" t="s">
        <v>39</v>
      </c>
      <c r="M713" s="78" t="s">
        <v>64</v>
      </c>
      <c r="N713" s="83" t="s">
        <v>64</v>
      </c>
      <c r="P713" s="209"/>
    </row>
    <row r="714" spans="1:16" ht="13" x14ac:dyDescent="0.3">
      <c r="A714" s="85" t="s">
        <v>32</v>
      </c>
      <c r="B714" s="5" t="s">
        <v>33</v>
      </c>
      <c r="C714" s="5" t="s">
        <v>34</v>
      </c>
      <c r="D714" s="5" t="s">
        <v>35</v>
      </c>
      <c r="E714" s="5" t="s">
        <v>814</v>
      </c>
      <c r="F714" s="5" t="s">
        <v>816</v>
      </c>
      <c r="G714" s="5" t="s">
        <v>815</v>
      </c>
      <c r="H714" s="5" t="s">
        <v>36</v>
      </c>
      <c r="I714" s="5" t="s">
        <v>66</v>
      </c>
      <c r="J714" s="5" t="s">
        <v>56</v>
      </c>
      <c r="K714" s="5" t="s">
        <v>57</v>
      </c>
      <c r="L714" s="5" t="s">
        <v>58</v>
      </c>
      <c r="M714" s="5" t="s">
        <v>59</v>
      </c>
      <c r="N714" s="86" t="s">
        <v>60</v>
      </c>
      <c r="P714" s="209"/>
    </row>
    <row r="715" spans="1:16" x14ac:dyDescent="0.25">
      <c r="A715" s="87">
        <v>1</v>
      </c>
      <c r="B715" s="82">
        <v>100</v>
      </c>
      <c r="C715" s="82">
        <v>0.45600000000000002</v>
      </c>
      <c r="D715" s="82">
        <v>0.221</v>
      </c>
      <c r="E715" s="82">
        <v>0.09</v>
      </c>
      <c r="F715" s="82">
        <v>0.03</v>
      </c>
      <c r="G715" s="82">
        <v>0.1162</v>
      </c>
      <c r="H715" s="82">
        <v>0.3</v>
      </c>
      <c r="I715" s="82">
        <v>0.26</v>
      </c>
      <c r="J715" s="82">
        <v>1.39</v>
      </c>
      <c r="K715" s="82">
        <v>0.12039999999999998</v>
      </c>
      <c r="L715" s="82">
        <v>0.1</v>
      </c>
      <c r="M715" s="82">
        <v>106.20075368276807</v>
      </c>
      <c r="N715" s="212">
        <v>0</v>
      </c>
      <c r="P715" s="209"/>
    </row>
    <row r="716" spans="1:16" x14ac:dyDescent="0.25">
      <c r="A716" s="87">
        <v>2</v>
      </c>
      <c r="B716" s="82">
        <v>0</v>
      </c>
      <c r="C716" s="82" t="s">
        <v>39</v>
      </c>
      <c r="D716" s="82" t="s">
        <v>39</v>
      </c>
      <c r="E716" s="82" t="s">
        <v>39</v>
      </c>
      <c r="F716" s="82" t="e">
        <v>#VALUE!</v>
      </c>
      <c r="G716" s="82" t="e">
        <v>#VALUE!</v>
      </c>
      <c r="H716" s="82" t="s">
        <v>39</v>
      </c>
      <c r="I716" s="82" t="e">
        <v>#VALUE!</v>
      </c>
      <c r="J716" s="82" t="s">
        <v>39</v>
      </c>
      <c r="K716" s="82" t="s">
        <v>39</v>
      </c>
      <c r="L716" s="82">
        <v>0.1</v>
      </c>
      <c r="M716" s="82" t="e">
        <v>#VALUE!</v>
      </c>
      <c r="N716" s="212">
        <v>0</v>
      </c>
      <c r="P716" s="209" t="s">
        <v>966</v>
      </c>
    </row>
    <row r="717" spans="1:16" x14ac:dyDescent="0.25">
      <c r="A717" s="87">
        <v>3</v>
      </c>
      <c r="B717" s="82"/>
      <c r="C717" s="82"/>
      <c r="D717" s="82"/>
      <c r="E717" s="82"/>
      <c r="F717" s="82"/>
      <c r="G717" s="82"/>
      <c r="H717" s="82"/>
      <c r="I717" s="82"/>
      <c r="J717" s="82"/>
      <c r="K717" s="82"/>
      <c r="L717" s="82"/>
      <c r="M717" s="82"/>
      <c r="N717" s="212"/>
      <c r="P717" s="209"/>
    </row>
    <row r="718" spans="1:16" x14ac:dyDescent="0.25">
      <c r="A718" s="87">
        <v>4</v>
      </c>
      <c r="B718" s="82"/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2"/>
      <c r="N718" s="212"/>
      <c r="P718" s="209"/>
    </row>
    <row r="719" spans="1:16" x14ac:dyDescent="0.25">
      <c r="A719" s="87">
        <v>5</v>
      </c>
      <c r="B719" s="82"/>
      <c r="C719" s="82"/>
      <c r="D719" s="82"/>
      <c r="E719" s="82"/>
      <c r="F719" s="82"/>
      <c r="G719" s="82"/>
      <c r="H719" s="82"/>
      <c r="I719" s="82"/>
      <c r="J719" s="82"/>
      <c r="K719" s="82"/>
      <c r="L719" s="82"/>
      <c r="M719" s="82"/>
      <c r="N719" s="212"/>
      <c r="P719" s="209"/>
    </row>
    <row r="720" spans="1:16" x14ac:dyDescent="0.25">
      <c r="A720" s="87">
        <v>6</v>
      </c>
      <c r="B720" s="82"/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2"/>
      <c r="N720" s="212"/>
      <c r="P720" s="209"/>
    </row>
    <row r="721" spans="1:16" x14ac:dyDescent="0.25">
      <c r="A721" s="87">
        <v>7</v>
      </c>
      <c r="B721" s="82"/>
      <c r="C721" s="82"/>
      <c r="D721" s="82"/>
      <c r="E721" s="82"/>
      <c r="F721" s="82"/>
      <c r="G721" s="82"/>
      <c r="H721" s="82"/>
      <c r="I721" s="82"/>
      <c r="J721" s="82"/>
      <c r="K721" s="82"/>
      <c r="L721" s="82"/>
      <c r="M721" s="82"/>
      <c r="N721" s="212"/>
      <c r="P721" s="209"/>
    </row>
    <row r="722" spans="1:16" x14ac:dyDescent="0.25">
      <c r="A722" s="87">
        <v>8</v>
      </c>
      <c r="B722" s="82"/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2"/>
      <c r="N722" s="212"/>
      <c r="P722" s="209"/>
    </row>
    <row r="723" spans="1:16" x14ac:dyDescent="0.25">
      <c r="A723" s="87">
        <v>9</v>
      </c>
      <c r="B723" s="82"/>
      <c r="C723" s="82"/>
      <c r="D723" s="82"/>
      <c r="E723" s="82"/>
      <c r="F723" s="82"/>
      <c r="G723" s="82"/>
      <c r="H723" s="82"/>
      <c r="I723" s="82"/>
      <c r="J723" s="82"/>
      <c r="K723" s="82"/>
      <c r="L723" s="82"/>
      <c r="M723" s="82"/>
      <c r="N723" s="212"/>
      <c r="P723" s="209"/>
    </row>
    <row r="724" spans="1:16" ht="13" thickBot="1" x14ac:dyDescent="0.3">
      <c r="A724" s="218">
        <v>10</v>
      </c>
      <c r="B724" s="104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213"/>
      <c r="P724" s="209"/>
    </row>
    <row r="725" spans="1:16" x14ac:dyDescent="0.25">
      <c r="A725" s="3"/>
      <c r="C725" s="3"/>
      <c r="D725" s="3"/>
      <c r="E725" s="3"/>
      <c r="F725" s="3"/>
      <c r="P725" s="209"/>
    </row>
    <row r="726" spans="1:16" ht="13" thickBot="1" x14ac:dyDescent="0.3">
      <c r="A726" s="3"/>
      <c r="C726" s="3"/>
      <c r="D726" s="3"/>
      <c r="E726" s="3"/>
      <c r="F726" s="3"/>
      <c r="P726" s="209"/>
    </row>
    <row r="727" spans="1:16" ht="13" x14ac:dyDescent="0.3">
      <c r="A727" s="74" t="s">
        <v>677</v>
      </c>
      <c r="B727" s="75"/>
      <c r="C727" s="76"/>
      <c r="D727" s="76"/>
      <c r="E727" s="76"/>
      <c r="F727" s="75"/>
      <c r="G727" s="75"/>
      <c r="H727" s="76"/>
      <c r="I727" s="76"/>
      <c r="J727" s="76"/>
      <c r="K727" s="76"/>
      <c r="L727" s="76"/>
      <c r="M727" s="76"/>
      <c r="N727" s="211">
        <v>40</v>
      </c>
      <c r="P727" s="209"/>
    </row>
    <row r="728" spans="1:16" ht="13" x14ac:dyDescent="0.3">
      <c r="A728" s="77" t="s">
        <v>672</v>
      </c>
      <c r="B728" s="41"/>
      <c r="C728" s="41" t="s">
        <v>673</v>
      </c>
      <c r="D728" s="46"/>
      <c r="E728" s="46"/>
      <c r="F728" s="78"/>
      <c r="G728" s="78"/>
      <c r="H728" s="46"/>
      <c r="I728" s="46"/>
      <c r="J728" s="46"/>
      <c r="K728" s="46"/>
      <c r="L728" s="46"/>
      <c r="M728" s="46"/>
      <c r="N728" s="79"/>
      <c r="P728" s="209"/>
    </row>
    <row r="729" spans="1:16" x14ac:dyDescent="0.25">
      <c r="A729" s="80" t="s">
        <v>904</v>
      </c>
      <c r="B729" s="46"/>
      <c r="C729" s="81">
        <v>1414</v>
      </c>
      <c r="D729" s="46"/>
      <c r="E729" s="46"/>
      <c r="F729" s="78"/>
      <c r="G729" s="78"/>
      <c r="H729" s="46"/>
      <c r="I729" s="46"/>
      <c r="J729" s="46"/>
      <c r="K729" s="46"/>
      <c r="L729" s="46"/>
      <c r="M729" s="46"/>
      <c r="N729" s="79"/>
      <c r="P729" s="209">
        <v>727</v>
      </c>
    </row>
    <row r="730" spans="1:16" ht="13" x14ac:dyDescent="0.3">
      <c r="A730" s="77" t="s">
        <v>681</v>
      </c>
      <c r="B730" s="41" t="s">
        <v>680</v>
      </c>
      <c r="C730" s="41" t="s">
        <v>678</v>
      </c>
      <c r="D730" s="41" t="s">
        <v>695</v>
      </c>
      <c r="E730" s="41" t="s">
        <v>679</v>
      </c>
      <c r="F730" s="41" t="s">
        <v>1186</v>
      </c>
      <c r="G730" s="78"/>
      <c r="H730" s="46"/>
      <c r="I730" s="46"/>
      <c r="J730" s="46"/>
      <c r="K730" s="46"/>
      <c r="L730" s="46"/>
      <c r="M730" s="46"/>
      <c r="N730" s="79"/>
      <c r="P730" s="209"/>
    </row>
    <row r="731" spans="1:16" x14ac:dyDescent="0.25">
      <c r="A731" s="80">
        <v>2</v>
      </c>
      <c r="B731" s="78">
        <v>2</v>
      </c>
      <c r="C731" s="82">
        <v>0.13</v>
      </c>
      <c r="D731" s="78">
        <v>48</v>
      </c>
      <c r="E731" s="78">
        <v>61</v>
      </c>
      <c r="F731" s="78">
        <v>1</v>
      </c>
      <c r="G731" s="78"/>
      <c r="H731" s="46"/>
      <c r="I731" s="46"/>
      <c r="J731" s="46"/>
      <c r="K731" s="46"/>
      <c r="L731" s="46"/>
      <c r="M731" s="78" t="s">
        <v>65</v>
      </c>
      <c r="N731" s="83" t="s">
        <v>65</v>
      </c>
      <c r="P731" s="209"/>
    </row>
    <row r="732" spans="1:16" ht="13" x14ac:dyDescent="0.3">
      <c r="A732" s="84"/>
      <c r="B732" s="13"/>
      <c r="C732" s="78" t="s">
        <v>20</v>
      </c>
      <c r="D732" s="78" t="s">
        <v>20</v>
      </c>
      <c r="E732" s="78" t="s">
        <v>20</v>
      </c>
      <c r="F732" s="78"/>
      <c r="G732" s="78" t="s">
        <v>39</v>
      </c>
      <c r="H732" s="78" t="s">
        <v>39</v>
      </c>
      <c r="I732" s="78" t="s">
        <v>39</v>
      </c>
      <c r="J732" s="78" t="s">
        <v>63</v>
      </c>
      <c r="K732" s="78" t="s">
        <v>62</v>
      </c>
      <c r="L732" s="78" t="s">
        <v>39</v>
      </c>
      <c r="M732" s="78" t="s">
        <v>64</v>
      </c>
      <c r="N732" s="83" t="s">
        <v>64</v>
      </c>
      <c r="P732" s="209"/>
    </row>
    <row r="733" spans="1:16" ht="13" x14ac:dyDescent="0.3">
      <c r="A733" s="85" t="s">
        <v>32</v>
      </c>
      <c r="B733" s="5" t="s">
        <v>33</v>
      </c>
      <c r="C733" s="5" t="s">
        <v>34</v>
      </c>
      <c r="D733" s="5" t="s">
        <v>35</v>
      </c>
      <c r="E733" s="5" t="s">
        <v>814</v>
      </c>
      <c r="F733" s="5" t="s">
        <v>816</v>
      </c>
      <c r="G733" s="5" t="s">
        <v>815</v>
      </c>
      <c r="H733" s="5" t="s">
        <v>36</v>
      </c>
      <c r="I733" s="5" t="s">
        <v>66</v>
      </c>
      <c r="J733" s="5" t="s">
        <v>56</v>
      </c>
      <c r="K733" s="5" t="s">
        <v>57</v>
      </c>
      <c r="L733" s="5" t="s">
        <v>58</v>
      </c>
      <c r="M733" s="5" t="s">
        <v>59</v>
      </c>
      <c r="N733" s="86" t="s">
        <v>60</v>
      </c>
      <c r="P733" s="209"/>
    </row>
    <row r="734" spans="1:16" x14ac:dyDescent="0.25">
      <c r="A734" s="87">
        <v>1</v>
      </c>
      <c r="B734" s="82">
        <v>300</v>
      </c>
      <c r="C734" s="82">
        <v>0.36599999999999999</v>
      </c>
      <c r="D734" s="82">
        <v>0.26100000000000001</v>
      </c>
      <c r="E734" s="82">
        <v>0.129</v>
      </c>
      <c r="F734" s="82">
        <v>4.3000000000000003E-2</v>
      </c>
      <c r="G734" s="82">
        <v>0.15540000000000001</v>
      </c>
      <c r="H734" s="82">
        <v>0.4</v>
      </c>
      <c r="I734" s="82">
        <v>0.09</v>
      </c>
      <c r="J734" s="82">
        <v>1.39</v>
      </c>
      <c r="K734" s="82">
        <v>7.3959999999999998E-2</v>
      </c>
      <c r="L734" s="82">
        <v>0.1</v>
      </c>
      <c r="M734" s="82">
        <v>35.400251227589365</v>
      </c>
      <c r="N734" s="212">
        <v>0</v>
      </c>
      <c r="P734" s="209"/>
    </row>
    <row r="735" spans="1:16" x14ac:dyDescent="0.25">
      <c r="A735" s="87">
        <v>2</v>
      </c>
      <c r="B735" s="82">
        <v>700</v>
      </c>
      <c r="C735" s="82">
        <v>0.38300000000000001</v>
      </c>
      <c r="D735" s="82">
        <v>0.27700000000000002</v>
      </c>
      <c r="E735" s="82">
        <v>0.14499999999999999</v>
      </c>
      <c r="F735" s="82">
        <v>4.8333333333333332E-2</v>
      </c>
      <c r="G735" s="82">
        <v>0.1714</v>
      </c>
      <c r="H735" s="82">
        <v>0.2</v>
      </c>
      <c r="I735" s="82">
        <v>0.08</v>
      </c>
      <c r="J735" s="82">
        <v>1.33</v>
      </c>
      <c r="K735" s="82">
        <v>3.2680000000000001E-2</v>
      </c>
      <c r="L735" s="82">
        <v>0.1</v>
      </c>
      <c r="M735" s="82">
        <v>7.9279832233645342</v>
      </c>
      <c r="N735" s="212">
        <v>0</v>
      </c>
      <c r="P735" s="209" t="s">
        <v>966</v>
      </c>
    </row>
    <row r="736" spans="1:16" x14ac:dyDescent="0.25">
      <c r="A736" s="87">
        <v>3</v>
      </c>
      <c r="B736" s="82"/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2"/>
      <c r="N736" s="212"/>
      <c r="P736" s="209"/>
    </row>
    <row r="737" spans="1:16" x14ac:dyDescent="0.25">
      <c r="A737" s="87">
        <v>4</v>
      </c>
      <c r="B737" s="82"/>
      <c r="C737" s="82"/>
      <c r="D737" s="82"/>
      <c r="E737" s="82"/>
      <c r="F737" s="82"/>
      <c r="G737" s="82"/>
      <c r="H737" s="82"/>
      <c r="I737" s="82"/>
      <c r="J737" s="82"/>
      <c r="K737" s="82"/>
      <c r="L737" s="82"/>
      <c r="M737" s="82"/>
      <c r="N737" s="212"/>
      <c r="P737" s="209"/>
    </row>
    <row r="738" spans="1:16" x14ac:dyDescent="0.25">
      <c r="A738" s="87">
        <v>5</v>
      </c>
      <c r="B738" s="82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2"/>
      <c r="N738" s="212"/>
      <c r="P738" s="209"/>
    </row>
    <row r="739" spans="1:16" x14ac:dyDescent="0.25">
      <c r="A739" s="87">
        <v>6</v>
      </c>
      <c r="B739" s="82"/>
      <c r="C739" s="82"/>
      <c r="D739" s="82"/>
      <c r="E739" s="82"/>
      <c r="F739" s="82"/>
      <c r="G739" s="82"/>
      <c r="H739" s="82"/>
      <c r="I739" s="82"/>
      <c r="J739" s="82"/>
      <c r="K739" s="82"/>
      <c r="L739" s="82"/>
      <c r="M739" s="82"/>
      <c r="N739" s="212"/>
      <c r="P739" s="209"/>
    </row>
    <row r="740" spans="1:16" x14ac:dyDescent="0.25">
      <c r="A740" s="87">
        <v>7</v>
      </c>
      <c r="B740" s="82"/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2"/>
      <c r="N740" s="212"/>
      <c r="P740" s="209"/>
    </row>
    <row r="741" spans="1:16" x14ac:dyDescent="0.25">
      <c r="A741" s="87">
        <v>8</v>
      </c>
      <c r="B741" s="82"/>
      <c r="C741" s="82"/>
      <c r="D741" s="82"/>
      <c r="E741" s="82"/>
      <c r="F741" s="82"/>
      <c r="G741" s="82"/>
      <c r="H741" s="82"/>
      <c r="I741" s="82"/>
      <c r="J741" s="82"/>
      <c r="K741" s="82"/>
      <c r="L741" s="82"/>
      <c r="M741" s="82"/>
      <c r="N741" s="212"/>
      <c r="P741" s="209"/>
    </row>
    <row r="742" spans="1:16" x14ac:dyDescent="0.25">
      <c r="A742" s="87">
        <v>9</v>
      </c>
      <c r="B742" s="82"/>
      <c r="C742" s="82"/>
      <c r="D742" s="82"/>
      <c r="E742" s="82"/>
      <c r="F742" s="82"/>
      <c r="G742" s="82"/>
      <c r="H742" s="82"/>
      <c r="I742" s="82"/>
      <c r="J742" s="82"/>
      <c r="K742" s="82"/>
      <c r="L742" s="82"/>
      <c r="M742" s="82"/>
      <c r="N742" s="212"/>
      <c r="P742" s="209"/>
    </row>
    <row r="743" spans="1:16" ht="13" thickBot="1" x14ac:dyDescent="0.3">
      <c r="A743" s="218">
        <v>10</v>
      </c>
      <c r="B743" s="104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213"/>
      <c r="P743" s="209"/>
    </row>
    <row r="744" spans="1:16" x14ac:dyDescent="0.25">
      <c r="A744" s="3"/>
      <c r="C744" s="3"/>
      <c r="D744" s="3"/>
      <c r="E744" s="3"/>
      <c r="F744" s="3"/>
      <c r="P744" s="209"/>
    </row>
    <row r="745" spans="1:16" ht="13" thickBot="1" x14ac:dyDescent="0.3">
      <c r="A745" s="3"/>
      <c r="C745" s="3"/>
      <c r="D745" s="3"/>
      <c r="E745" s="3"/>
      <c r="F745" s="3"/>
      <c r="P745" s="209"/>
    </row>
    <row r="746" spans="1:16" ht="13" x14ac:dyDescent="0.3">
      <c r="A746" s="74" t="s">
        <v>677</v>
      </c>
      <c r="B746" s="75"/>
      <c r="C746" s="76"/>
      <c r="D746" s="76"/>
      <c r="E746" s="76"/>
      <c r="F746" s="75"/>
      <c r="G746" s="75"/>
      <c r="H746" s="76"/>
      <c r="I746" s="76"/>
      <c r="J746" s="76"/>
      <c r="K746" s="76"/>
      <c r="L746" s="76"/>
      <c r="M746" s="76"/>
      <c r="N746" s="211">
        <v>41</v>
      </c>
      <c r="P746" s="209"/>
    </row>
    <row r="747" spans="1:16" ht="13" x14ac:dyDescent="0.3">
      <c r="A747" s="77" t="s">
        <v>672</v>
      </c>
      <c r="B747" s="41"/>
      <c r="C747" s="41" t="s">
        <v>673</v>
      </c>
      <c r="D747" s="46"/>
      <c r="E747" s="46"/>
      <c r="F747" s="78"/>
      <c r="G747" s="78"/>
      <c r="H747" s="46"/>
      <c r="I747" s="46"/>
      <c r="J747" s="46"/>
      <c r="K747" s="46"/>
      <c r="L747" s="46"/>
      <c r="M747" s="46"/>
      <c r="N747" s="79"/>
      <c r="P747" s="209"/>
    </row>
    <row r="748" spans="1:16" x14ac:dyDescent="0.25">
      <c r="A748" s="80" t="s">
        <v>906</v>
      </c>
      <c r="B748" s="46"/>
      <c r="C748" s="81">
        <v>1111</v>
      </c>
      <c r="D748" s="46"/>
      <c r="E748" s="46"/>
      <c r="F748" s="78"/>
      <c r="G748" s="78"/>
      <c r="H748" s="46"/>
      <c r="I748" s="46"/>
      <c r="J748" s="46"/>
      <c r="K748" s="46"/>
      <c r="L748" s="46"/>
      <c r="M748" s="46"/>
      <c r="N748" s="79"/>
      <c r="P748" s="209">
        <v>746</v>
      </c>
    </row>
    <row r="749" spans="1:16" ht="13" x14ac:dyDescent="0.3">
      <c r="A749" s="77" t="s">
        <v>681</v>
      </c>
      <c r="B749" s="41" t="s">
        <v>680</v>
      </c>
      <c r="C749" s="41" t="s">
        <v>678</v>
      </c>
      <c r="D749" s="41" t="s">
        <v>695</v>
      </c>
      <c r="E749" s="41" t="s">
        <v>679</v>
      </c>
      <c r="F749" s="41" t="s">
        <v>1186</v>
      </c>
      <c r="G749" s="78"/>
      <c r="H749" s="46"/>
      <c r="I749" s="46"/>
      <c r="J749" s="46"/>
      <c r="K749" s="46"/>
      <c r="L749" s="46"/>
      <c r="M749" s="46"/>
      <c r="N749" s="79"/>
      <c r="P749" s="209"/>
    </row>
    <row r="750" spans="1:16" x14ac:dyDescent="0.25">
      <c r="A750" s="80">
        <v>2</v>
      </c>
      <c r="B750" s="78">
        <v>2</v>
      </c>
      <c r="C750" s="82">
        <v>0.12</v>
      </c>
      <c r="D750" s="78">
        <v>47</v>
      </c>
      <c r="E750" s="78">
        <v>81</v>
      </c>
      <c r="F750" s="78">
        <v>1</v>
      </c>
      <c r="G750" s="78"/>
      <c r="H750" s="46"/>
      <c r="I750" s="46"/>
      <c r="J750" s="46"/>
      <c r="K750" s="46"/>
      <c r="L750" s="46"/>
      <c r="M750" s="78" t="s">
        <v>65</v>
      </c>
      <c r="N750" s="83" t="s">
        <v>65</v>
      </c>
      <c r="P750" s="209"/>
    </row>
    <row r="751" spans="1:16" ht="13" x14ac:dyDescent="0.3">
      <c r="A751" s="84"/>
      <c r="B751" s="13"/>
      <c r="C751" s="78" t="s">
        <v>20</v>
      </c>
      <c r="D751" s="78" t="s">
        <v>20</v>
      </c>
      <c r="E751" s="78" t="s">
        <v>20</v>
      </c>
      <c r="F751" s="78"/>
      <c r="G751" s="78" t="s">
        <v>39</v>
      </c>
      <c r="H751" s="78" t="s">
        <v>39</v>
      </c>
      <c r="I751" s="78" t="s">
        <v>39</v>
      </c>
      <c r="J751" s="78" t="s">
        <v>63</v>
      </c>
      <c r="K751" s="78" t="s">
        <v>62</v>
      </c>
      <c r="L751" s="78" t="s">
        <v>39</v>
      </c>
      <c r="M751" s="78" t="s">
        <v>64</v>
      </c>
      <c r="N751" s="83" t="s">
        <v>64</v>
      </c>
      <c r="P751" s="209"/>
    </row>
    <row r="752" spans="1:16" ht="13" x14ac:dyDescent="0.3">
      <c r="A752" s="85" t="s">
        <v>32</v>
      </c>
      <c r="B752" s="5" t="s">
        <v>33</v>
      </c>
      <c r="C752" s="5" t="s">
        <v>34</v>
      </c>
      <c r="D752" s="5" t="s">
        <v>35</v>
      </c>
      <c r="E752" s="5" t="s">
        <v>814</v>
      </c>
      <c r="F752" s="5" t="s">
        <v>816</v>
      </c>
      <c r="G752" s="5" t="s">
        <v>815</v>
      </c>
      <c r="H752" s="5" t="s">
        <v>36</v>
      </c>
      <c r="I752" s="5" t="s">
        <v>66</v>
      </c>
      <c r="J752" s="5" t="s">
        <v>56</v>
      </c>
      <c r="K752" s="5" t="s">
        <v>57</v>
      </c>
      <c r="L752" s="5" t="s">
        <v>58</v>
      </c>
      <c r="M752" s="5" t="s">
        <v>59</v>
      </c>
      <c r="N752" s="86" t="s">
        <v>60</v>
      </c>
      <c r="P752" s="209"/>
    </row>
    <row r="753" spans="1:16" x14ac:dyDescent="0.25">
      <c r="A753" s="87">
        <v>1</v>
      </c>
      <c r="B753" s="82">
        <v>300</v>
      </c>
      <c r="C753" s="82">
        <v>0.40899999999999997</v>
      </c>
      <c r="D753" s="82">
        <v>0.24299999999999999</v>
      </c>
      <c r="E753" s="82">
        <v>0.111</v>
      </c>
      <c r="F753" s="82">
        <v>3.6999999999999998E-2</v>
      </c>
      <c r="G753" s="82">
        <v>0.13739999999999999</v>
      </c>
      <c r="H753" s="82">
        <v>0.3</v>
      </c>
      <c r="I753" s="82">
        <v>0.1</v>
      </c>
      <c r="J753" s="82">
        <v>1.4</v>
      </c>
      <c r="K753" s="82">
        <v>5.4179999999999999E-2</v>
      </c>
      <c r="L753" s="82">
        <v>0.1</v>
      </c>
      <c r="M753" s="82">
        <v>35.147392290249435</v>
      </c>
      <c r="N753" s="212">
        <v>0</v>
      </c>
      <c r="P753" s="209"/>
    </row>
    <row r="754" spans="1:16" x14ac:dyDescent="0.25">
      <c r="A754" s="87">
        <v>2</v>
      </c>
      <c r="B754" s="82">
        <v>700</v>
      </c>
      <c r="C754" s="82">
        <v>0.39500000000000002</v>
      </c>
      <c r="D754" s="82">
        <v>0.255</v>
      </c>
      <c r="E754" s="82">
        <v>0.123</v>
      </c>
      <c r="F754" s="82">
        <v>4.1000000000000002E-2</v>
      </c>
      <c r="G754" s="82">
        <v>0.14940000000000001</v>
      </c>
      <c r="H754" s="82">
        <v>0.3</v>
      </c>
      <c r="I754" s="82">
        <v>0.1</v>
      </c>
      <c r="J754" s="82">
        <v>1.38</v>
      </c>
      <c r="K754" s="82">
        <v>3.6979999999999999E-2</v>
      </c>
      <c r="L754" s="82">
        <v>0.1</v>
      </c>
      <c r="M754" s="82">
        <v>7.6407374544020525</v>
      </c>
      <c r="N754" s="212">
        <v>0</v>
      </c>
      <c r="P754" s="209" t="s">
        <v>966</v>
      </c>
    </row>
    <row r="755" spans="1:16" x14ac:dyDescent="0.25">
      <c r="A755" s="87">
        <v>3</v>
      </c>
      <c r="B755" s="82"/>
      <c r="C755" s="82"/>
      <c r="D755" s="82"/>
      <c r="E755" s="82"/>
      <c r="F755" s="82"/>
      <c r="G755" s="82"/>
      <c r="H755" s="82"/>
      <c r="I755" s="82"/>
      <c r="J755" s="82"/>
      <c r="K755" s="82"/>
      <c r="L755" s="82"/>
      <c r="M755" s="82"/>
      <c r="N755" s="212"/>
      <c r="P755" s="209"/>
    </row>
    <row r="756" spans="1:16" x14ac:dyDescent="0.25">
      <c r="A756" s="87">
        <v>4</v>
      </c>
      <c r="B756" s="82"/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2"/>
      <c r="N756" s="212"/>
      <c r="P756" s="209"/>
    </row>
    <row r="757" spans="1:16" x14ac:dyDescent="0.25">
      <c r="A757" s="87">
        <v>5</v>
      </c>
      <c r="B757" s="82"/>
      <c r="C757" s="82"/>
      <c r="D757" s="82"/>
      <c r="E757" s="82"/>
      <c r="F757" s="82"/>
      <c r="G757" s="82"/>
      <c r="H757" s="82"/>
      <c r="I757" s="82"/>
      <c r="J757" s="82"/>
      <c r="K757" s="82"/>
      <c r="L757" s="82"/>
      <c r="M757" s="82"/>
      <c r="N757" s="212"/>
      <c r="P757" s="209"/>
    </row>
    <row r="758" spans="1:16" x14ac:dyDescent="0.25">
      <c r="A758" s="87">
        <v>6</v>
      </c>
      <c r="B758" s="82"/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2"/>
      <c r="N758" s="212"/>
      <c r="P758" s="209"/>
    </row>
    <row r="759" spans="1:16" x14ac:dyDescent="0.25">
      <c r="A759" s="87">
        <v>7</v>
      </c>
      <c r="B759" s="82"/>
      <c r="C759" s="82"/>
      <c r="D759" s="82"/>
      <c r="E759" s="82"/>
      <c r="F759" s="82"/>
      <c r="G759" s="82"/>
      <c r="H759" s="82"/>
      <c r="I759" s="82"/>
      <c r="J759" s="82"/>
      <c r="K759" s="82"/>
      <c r="L759" s="82"/>
      <c r="M759" s="82"/>
      <c r="N759" s="212"/>
      <c r="P759" s="209"/>
    </row>
    <row r="760" spans="1:16" x14ac:dyDescent="0.25">
      <c r="A760" s="87">
        <v>8</v>
      </c>
      <c r="B760" s="82"/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2"/>
      <c r="N760" s="212"/>
      <c r="P760" s="209"/>
    </row>
    <row r="761" spans="1:16" x14ac:dyDescent="0.25">
      <c r="A761" s="87">
        <v>9</v>
      </c>
      <c r="B761" s="82"/>
      <c r="C761" s="82"/>
      <c r="D761" s="82"/>
      <c r="E761" s="82"/>
      <c r="F761" s="82"/>
      <c r="G761" s="82"/>
      <c r="H761" s="82"/>
      <c r="I761" s="82"/>
      <c r="J761" s="82"/>
      <c r="K761" s="82"/>
      <c r="L761" s="82"/>
      <c r="M761" s="82"/>
      <c r="N761" s="212"/>
      <c r="P761" s="209"/>
    </row>
    <row r="762" spans="1:16" ht="13" thickBot="1" x14ac:dyDescent="0.3">
      <c r="A762" s="218">
        <v>10</v>
      </c>
      <c r="B762" s="104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213"/>
      <c r="P762" s="209"/>
    </row>
    <row r="763" spans="1:16" x14ac:dyDescent="0.25">
      <c r="A763" s="3"/>
      <c r="C763" s="3"/>
      <c r="D763" s="3"/>
      <c r="E763" s="3"/>
      <c r="F763" s="3"/>
      <c r="P763" s="209"/>
    </row>
    <row r="764" spans="1:16" ht="13" thickBot="1" x14ac:dyDescent="0.3">
      <c r="A764" s="3"/>
      <c r="C764" s="3"/>
      <c r="D764" s="3"/>
      <c r="E764" s="3"/>
      <c r="F764" s="3"/>
      <c r="P764" s="209"/>
    </row>
    <row r="765" spans="1:16" ht="13" x14ac:dyDescent="0.3">
      <c r="A765" s="74" t="s">
        <v>677</v>
      </c>
      <c r="B765" s="75"/>
      <c r="C765" s="76"/>
      <c r="D765" s="76"/>
      <c r="E765" s="76"/>
      <c r="F765" s="75"/>
      <c r="G765" s="75"/>
      <c r="H765" s="76"/>
      <c r="I765" s="76"/>
      <c r="J765" s="76"/>
      <c r="K765" s="76"/>
      <c r="L765" s="76"/>
      <c r="M765" s="76"/>
      <c r="N765" s="211">
        <v>42</v>
      </c>
      <c r="P765" s="209"/>
    </row>
    <row r="766" spans="1:16" ht="13" x14ac:dyDescent="0.3">
      <c r="A766" s="77" t="s">
        <v>672</v>
      </c>
      <c r="B766" s="41"/>
      <c r="C766" s="41" t="s">
        <v>673</v>
      </c>
      <c r="D766" s="46"/>
      <c r="E766" s="46"/>
      <c r="F766" s="78"/>
      <c r="G766" s="78"/>
      <c r="H766" s="46"/>
      <c r="I766" s="46"/>
      <c r="J766" s="46"/>
      <c r="K766" s="46"/>
      <c r="L766" s="46"/>
      <c r="M766" s="46"/>
      <c r="N766" s="79"/>
      <c r="P766" s="209"/>
    </row>
    <row r="767" spans="1:16" x14ac:dyDescent="0.25">
      <c r="A767" s="80" t="s">
        <v>908</v>
      </c>
      <c r="B767" s="46"/>
      <c r="C767" s="81">
        <v>1315</v>
      </c>
      <c r="D767" s="46"/>
      <c r="E767" s="46"/>
      <c r="F767" s="78"/>
      <c r="G767" s="78"/>
      <c r="H767" s="46"/>
      <c r="I767" s="46"/>
      <c r="J767" s="46"/>
      <c r="K767" s="46"/>
      <c r="L767" s="46"/>
      <c r="M767" s="46"/>
      <c r="N767" s="79"/>
      <c r="P767" s="209">
        <v>765</v>
      </c>
    </row>
    <row r="768" spans="1:16" ht="13" x14ac:dyDescent="0.3">
      <c r="A768" s="77" t="s">
        <v>681</v>
      </c>
      <c r="B768" s="41" t="s">
        <v>680</v>
      </c>
      <c r="C768" s="41" t="s">
        <v>678</v>
      </c>
      <c r="D768" s="41" t="s">
        <v>695</v>
      </c>
      <c r="E768" s="41" t="s">
        <v>679</v>
      </c>
      <c r="F768" s="41" t="s">
        <v>1186</v>
      </c>
      <c r="G768" s="78"/>
      <c r="H768" s="46"/>
      <c r="I768" s="46"/>
      <c r="J768" s="46"/>
      <c r="K768" s="46"/>
      <c r="L768" s="46"/>
      <c r="M768" s="46"/>
      <c r="N768" s="79"/>
      <c r="P768" s="209"/>
    </row>
    <row r="769" spans="1:16" x14ac:dyDescent="0.25">
      <c r="A769" s="80">
        <v>2</v>
      </c>
      <c r="B769" s="78">
        <v>2</v>
      </c>
      <c r="C769" s="82">
        <v>0.12</v>
      </c>
      <c r="D769" s="78">
        <v>44</v>
      </c>
      <c r="E769" s="78">
        <v>81</v>
      </c>
      <c r="F769" s="78">
        <v>1</v>
      </c>
      <c r="G769" s="78"/>
      <c r="H769" s="46"/>
      <c r="I769" s="46"/>
      <c r="J769" s="46"/>
      <c r="K769" s="46"/>
      <c r="L769" s="46"/>
      <c r="M769" s="78" t="s">
        <v>65</v>
      </c>
      <c r="N769" s="83" t="s">
        <v>65</v>
      </c>
      <c r="P769" s="209"/>
    </row>
    <row r="770" spans="1:16" ht="13" x14ac:dyDescent="0.3">
      <c r="A770" s="84"/>
      <c r="B770" s="13"/>
      <c r="C770" s="78" t="s">
        <v>20</v>
      </c>
      <c r="D770" s="78" t="s">
        <v>20</v>
      </c>
      <c r="E770" s="78" t="s">
        <v>20</v>
      </c>
      <c r="F770" s="78"/>
      <c r="G770" s="78" t="s">
        <v>39</v>
      </c>
      <c r="H770" s="78" t="s">
        <v>39</v>
      </c>
      <c r="I770" s="78" t="s">
        <v>39</v>
      </c>
      <c r="J770" s="78" t="s">
        <v>63</v>
      </c>
      <c r="K770" s="78" t="s">
        <v>62</v>
      </c>
      <c r="L770" s="78" t="s">
        <v>39</v>
      </c>
      <c r="M770" s="78" t="s">
        <v>64</v>
      </c>
      <c r="N770" s="83" t="s">
        <v>64</v>
      </c>
      <c r="P770" s="209"/>
    </row>
    <row r="771" spans="1:16" ht="13" x14ac:dyDescent="0.3">
      <c r="A771" s="85" t="s">
        <v>32</v>
      </c>
      <c r="B771" s="5" t="s">
        <v>33</v>
      </c>
      <c r="C771" s="5" t="s">
        <v>34</v>
      </c>
      <c r="D771" s="5" t="s">
        <v>35</v>
      </c>
      <c r="E771" s="5" t="s">
        <v>814</v>
      </c>
      <c r="F771" s="5" t="s">
        <v>816</v>
      </c>
      <c r="G771" s="5" t="s">
        <v>815</v>
      </c>
      <c r="H771" s="5" t="s">
        <v>36</v>
      </c>
      <c r="I771" s="5" t="s">
        <v>66</v>
      </c>
      <c r="J771" s="5" t="s">
        <v>56</v>
      </c>
      <c r="K771" s="5" t="s">
        <v>57</v>
      </c>
      <c r="L771" s="5" t="s">
        <v>58</v>
      </c>
      <c r="M771" s="5" t="s">
        <v>59</v>
      </c>
      <c r="N771" s="86" t="s">
        <v>60</v>
      </c>
      <c r="P771" s="209"/>
    </row>
    <row r="772" spans="1:16" x14ac:dyDescent="0.25">
      <c r="A772" s="87">
        <v>1</v>
      </c>
      <c r="B772" s="82">
        <v>100</v>
      </c>
      <c r="C772" s="82">
        <v>0.45600000000000002</v>
      </c>
      <c r="D772" s="82">
        <v>0.221</v>
      </c>
      <c r="E772" s="82">
        <v>0.09</v>
      </c>
      <c r="F772" s="82">
        <v>0.03</v>
      </c>
      <c r="G772" s="82">
        <v>0.1162</v>
      </c>
      <c r="H772" s="82">
        <v>0.3</v>
      </c>
      <c r="I772" s="82">
        <v>0.26</v>
      </c>
      <c r="J772" s="82">
        <v>1.39</v>
      </c>
      <c r="K772" s="82">
        <v>0.12039999999999998</v>
      </c>
      <c r="L772" s="82">
        <v>0.1</v>
      </c>
      <c r="M772" s="82">
        <v>106.20075368276807</v>
      </c>
      <c r="N772" s="212">
        <v>0</v>
      </c>
      <c r="P772" s="209"/>
    </row>
    <row r="773" spans="1:16" x14ac:dyDescent="0.25">
      <c r="A773" s="87">
        <v>2</v>
      </c>
      <c r="B773" s="82">
        <v>0</v>
      </c>
      <c r="C773" s="82" t="s">
        <v>39</v>
      </c>
      <c r="D773" s="82" t="s">
        <v>39</v>
      </c>
      <c r="E773" s="82" t="s">
        <v>39</v>
      </c>
      <c r="F773" s="82" t="e">
        <v>#VALUE!</v>
      </c>
      <c r="G773" s="82" t="e">
        <v>#VALUE!</v>
      </c>
      <c r="H773" s="82" t="s">
        <v>39</v>
      </c>
      <c r="I773" s="82" t="e">
        <v>#VALUE!</v>
      </c>
      <c r="J773" s="82" t="s">
        <v>39</v>
      </c>
      <c r="K773" s="82" t="s">
        <v>39</v>
      </c>
      <c r="L773" s="82">
        <v>0.1</v>
      </c>
      <c r="M773" s="82" t="e">
        <v>#VALUE!</v>
      </c>
      <c r="N773" s="212">
        <v>0</v>
      </c>
      <c r="P773" s="209" t="s">
        <v>966</v>
      </c>
    </row>
    <row r="774" spans="1:16" x14ac:dyDescent="0.25">
      <c r="A774" s="87">
        <v>3</v>
      </c>
      <c r="B774" s="82"/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2"/>
      <c r="N774" s="212"/>
      <c r="P774" s="209"/>
    </row>
    <row r="775" spans="1:16" x14ac:dyDescent="0.25">
      <c r="A775" s="87">
        <v>4</v>
      </c>
      <c r="B775" s="82"/>
      <c r="C775" s="82"/>
      <c r="D775" s="82"/>
      <c r="E775" s="82"/>
      <c r="F775" s="82"/>
      <c r="G775" s="82"/>
      <c r="H775" s="82"/>
      <c r="I775" s="82"/>
      <c r="J775" s="82"/>
      <c r="K775" s="82"/>
      <c r="L775" s="82"/>
      <c r="M775" s="82"/>
      <c r="N775" s="212"/>
      <c r="P775" s="209"/>
    </row>
    <row r="776" spans="1:16" x14ac:dyDescent="0.25">
      <c r="A776" s="87">
        <v>5</v>
      </c>
      <c r="B776" s="82"/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2"/>
      <c r="N776" s="212"/>
      <c r="P776" s="209"/>
    </row>
    <row r="777" spans="1:16" x14ac:dyDescent="0.25">
      <c r="A777" s="87">
        <v>6</v>
      </c>
      <c r="B777" s="82"/>
      <c r="C777" s="82"/>
      <c r="D777" s="82"/>
      <c r="E777" s="82"/>
      <c r="F777" s="82"/>
      <c r="G777" s="82"/>
      <c r="H777" s="82"/>
      <c r="I777" s="82"/>
      <c r="J777" s="82"/>
      <c r="K777" s="82"/>
      <c r="L777" s="82"/>
      <c r="M777" s="82"/>
      <c r="N777" s="212"/>
      <c r="P777" s="209"/>
    </row>
    <row r="778" spans="1:16" x14ac:dyDescent="0.25">
      <c r="A778" s="87">
        <v>7</v>
      </c>
      <c r="B778" s="82"/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2"/>
      <c r="N778" s="212"/>
      <c r="P778" s="209"/>
    </row>
    <row r="779" spans="1:16" x14ac:dyDescent="0.25">
      <c r="A779" s="87">
        <v>8</v>
      </c>
      <c r="B779" s="82"/>
      <c r="C779" s="82"/>
      <c r="D779" s="82"/>
      <c r="E779" s="82"/>
      <c r="F779" s="82"/>
      <c r="G779" s="82"/>
      <c r="H779" s="82"/>
      <c r="I779" s="82"/>
      <c r="J779" s="82"/>
      <c r="K779" s="82"/>
      <c r="L779" s="82"/>
      <c r="M779" s="82"/>
      <c r="N779" s="212"/>
      <c r="P779" s="209"/>
    </row>
    <row r="780" spans="1:16" x14ac:dyDescent="0.25">
      <c r="A780" s="87">
        <v>9</v>
      </c>
      <c r="B780" s="82"/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2"/>
      <c r="N780" s="212"/>
      <c r="P780" s="209"/>
    </row>
    <row r="781" spans="1:16" ht="13" thickBot="1" x14ac:dyDescent="0.3">
      <c r="A781" s="218">
        <v>10</v>
      </c>
      <c r="B781" s="104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213"/>
      <c r="P781" s="209"/>
    </row>
    <row r="782" spans="1:16" x14ac:dyDescent="0.25">
      <c r="A782" s="3"/>
      <c r="C782" s="3"/>
      <c r="D782" s="3"/>
      <c r="E782" s="3"/>
      <c r="F782" s="3"/>
      <c r="P782" s="209"/>
    </row>
    <row r="783" spans="1:16" ht="13" thickBot="1" x14ac:dyDescent="0.3">
      <c r="A783" s="3"/>
      <c r="C783" s="3"/>
      <c r="D783" s="3"/>
      <c r="E783" s="3"/>
      <c r="F783" s="3"/>
      <c r="P783" s="209"/>
    </row>
    <row r="784" spans="1:16" ht="13" x14ac:dyDescent="0.3">
      <c r="A784" s="74" t="s">
        <v>677</v>
      </c>
      <c r="B784" s="75"/>
      <c r="C784" s="76"/>
      <c r="D784" s="76"/>
      <c r="E784" s="76"/>
      <c r="F784" s="75"/>
      <c r="G784" s="75"/>
      <c r="H784" s="76"/>
      <c r="I784" s="76"/>
      <c r="J784" s="76"/>
      <c r="K784" s="76"/>
      <c r="L784" s="76"/>
      <c r="M784" s="76"/>
      <c r="N784" s="211">
        <v>43</v>
      </c>
      <c r="P784" s="209"/>
    </row>
    <row r="785" spans="1:16" ht="13" x14ac:dyDescent="0.3">
      <c r="A785" s="77" t="s">
        <v>672</v>
      </c>
      <c r="B785" s="41"/>
      <c r="C785" s="41" t="s">
        <v>673</v>
      </c>
      <c r="D785" s="46"/>
      <c r="E785" s="46"/>
      <c r="F785" s="78"/>
      <c r="G785" s="78"/>
      <c r="H785" s="46"/>
      <c r="I785" s="46"/>
      <c r="J785" s="46"/>
      <c r="K785" s="46"/>
      <c r="L785" s="46"/>
      <c r="M785" s="46"/>
      <c r="N785" s="79"/>
      <c r="P785" s="209"/>
    </row>
    <row r="786" spans="1:16" x14ac:dyDescent="0.25">
      <c r="A786" s="80" t="s">
        <v>910</v>
      </c>
      <c r="B786" s="46"/>
      <c r="C786" s="81">
        <v>1800</v>
      </c>
      <c r="D786" s="46"/>
      <c r="E786" s="46"/>
      <c r="F786" s="78"/>
      <c r="G786" s="78"/>
      <c r="H786" s="46"/>
      <c r="I786" s="46"/>
      <c r="J786" s="46"/>
      <c r="K786" s="46"/>
      <c r="L786" s="46"/>
      <c r="M786" s="46"/>
      <c r="N786" s="79"/>
      <c r="P786" s="209">
        <v>784</v>
      </c>
    </row>
    <row r="787" spans="1:16" ht="13" x14ac:dyDescent="0.3">
      <c r="A787" s="77" t="s">
        <v>681</v>
      </c>
      <c r="B787" s="41" t="s">
        <v>680</v>
      </c>
      <c r="C787" s="41" t="s">
        <v>678</v>
      </c>
      <c r="D787" s="41" t="s">
        <v>695</v>
      </c>
      <c r="E787" s="41" t="s">
        <v>679</v>
      </c>
      <c r="F787" s="41" t="s">
        <v>1186</v>
      </c>
      <c r="G787" s="78"/>
      <c r="H787" s="46"/>
      <c r="I787" s="46"/>
      <c r="J787" s="46"/>
      <c r="K787" s="46"/>
      <c r="L787" s="46"/>
      <c r="M787" s="46"/>
      <c r="N787" s="79"/>
      <c r="P787" s="209"/>
    </row>
    <row r="788" spans="1:16" x14ac:dyDescent="0.25">
      <c r="A788" s="80">
        <v>2</v>
      </c>
      <c r="B788" s="78">
        <v>2</v>
      </c>
      <c r="C788" s="82">
        <v>0.12</v>
      </c>
      <c r="D788" s="78">
        <v>43</v>
      </c>
      <c r="E788" s="78">
        <v>81</v>
      </c>
      <c r="F788" s="78">
        <v>1</v>
      </c>
      <c r="G788" s="78"/>
      <c r="H788" s="46"/>
      <c r="I788" s="46"/>
      <c r="J788" s="46"/>
      <c r="K788" s="46"/>
      <c r="L788" s="46"/>
      <c r="M788" s="78" t="s">
        <v>65</v>
      </c>
      <c r="N788" s="83" t="s">
        <v>65</v>
      </c>
      <c r="P788" s="209"/>
    </row>
    <row r="789" spans="1:16" ht="13" x14ac:dyDescent="0.3">
      <c r="A789" s="84"/>
      <c r="B789" s="13"/>
      <c r="C789" s="78" t="s">
        <v>20</v>
      </c>
      <c r="D789" s="78" t="s">
        <v>20</v>
      </c>
      <c r="E789" s="78" t="s">
        <v>20</v>
      </c>
      <c r="F789" s="78"/>
      <c r="G789" s="78" t="s">
        <v>39</v>
      </c>
      <c r="H789" s="78" t="s">
        <v>39</v>
      </c>
      <c r="I789" s="78" t="s">
        <v>39</v>
      </c>
      <c r="J789" s="78" t="s">
        <v>63</v>
      </c>
      <c r="K789" s="78" t="s">
        <v>62</v>
      </c>
      <c r="L789" s="78" t="s">
        <v>39</v>
      </c>
      <c r="M789" s="78" t="s">
        <v>64</v>
      </c>
      <c r="N789" s="83" t="s">
        <v>64</v>
      </c>
      <c r="P789" s="209"/>
    </row>
    <row r="790" spans="1:16" ht="13" x14ac:dyDescent="0.3">
      <c r="A790" s="85" t="s">
        <v>32</v>
      </c>
      <c r="B790" s="5" t="s">
        <v>33</v>
      </c>
      <c r="C790" s="5" t="s">
        <v>34</v>
      </c>
      <c r="D790" s="5" t="s">
        <v>35</v>
      </c>
      <c r="E790" s="5" t="s">
        <v>814</v>
      </c>
      <c r="F790" s="5" t="s">
        <v>816</v>
      </c>
      <c r="G790" s="5" t="s">
        <v>815</v>
      </c>
      <c r="H790" s="5" t="s">
        <v>36</v>
      </c>
      <c r="I790" s="5" t="s">
        <v>66</v>
      </c>
      <c r="J790" s="5" t="s">
        <v>56</v>
      </c>
      <c r="K790" s="5" t="s">
        <v>57</v>
      </c>
      <c r="L790" s="5" t="s">
        <v>58</v>
      </c>
      <c r="M790" s="5" t="s">
        <v>59</v>
      </c>
      <c r="N790" s="86" t="s">
        <v>60</v>
      </c>
      <c r="P790" s="209"/>
    </row>
    <row r="791" spans="1:16" x14ac:dyDescent="0.25">
      <c r="A791" s="87">
        <v>1</v>
      </c>
      <c r="B791" s="82">
        <v>300</v>
      </c>
      <c r="C791" s="82">
        <v>0.378</v>
      </c>
      <c r="D791" s="82">
        <v>0.255</v>
      </c>
      <c r="E791" s="82">
        <v>0.123</v>
      </c>
      <c r="F791" s="82">
        <v>4.1000000000000002E-2</v>
      </c>
      <c r="G791" s="82">
        <v>0.14940000000000001</v>
      </c>
      <c r="H791" s="82">
        <v>0.3</v>
      </c>
      <c r="I791" s="82">
        <v>0.2</v>
      </c>
      <c r="J791" s="82">
        <v>1.4</v>
      </c>
      <c r="K791" s="82">
        <v>3.5259999999999993E-2</v>
      </c>
      <c r="L791" s="82">
        <v>0.1</v>
      </c>
      <c r="M791" s="82">
        <v>35.147392290249435</v>
      </c>
      <c r="N791" s="212">
        <v>0</v>
      </c>
      <c r="P791" s="209"/>
    </row>
    <row r="792" spans="1:16" x14ac:dyDescent="0.25">
      <c r="A792" s="87">
        <v>2</v>
      </c>
      <c r="B792" s="82">
        <v>700</v>
      </c>
      <c r="C792" s="82">
        <v>0.39500000000000002</v>
      </c>
      <c r="D792" s="82">
        <v>0.26200000000000001</v>
      </c>
      <c r="E792" s="82">
        <v>0.13</v>
      </c>
      <c r="F792" s="82">
        <v>4.3333333333333335E-2</v>
      </c>
      <c r="G792" s="82">
        <v>0.15640000000000001</v>
      </c>
      <c r="H792" s="82">
        <v>0.3</v>
      </c>
      <c r="I792" s="82">
        <v>0.27</v>
      </c>
      <c r="J792" s="82">
        <v>1.36</v>
      </c>
      <c r="K792" s="82">
        <v>1.9779999999999999E-2</v>
      </c>
      <c r="L792" s="82">
        <v>0.1</v>
      </c>
      <c r="M792" s="82">
        <v>7.7531012404961972</v>
      </c>
      <c r="N792" s="212">
        <v>0</v>
      </c>
      <c r="P792" s="209" t="s">
        <v>966</v>
      </c>
    </row>
    <row r="793" spans="1:16" x14ac:dyDescent="0.25">
      <c r="A793" s="87">
        <v>3</v>
      </c>
      <c r="B793" s="82"/>
      <c r="C793" s="82"/>
      <c r="D793" s="82"/>
      <c r="E793" s="82"/>
      <c r="F793" s="82"/>
      <c r="G793" s="82"/>
      <c r="H793" s="82"/>
      <c r="I793" s="82"/>
      <c r="J793" s="82"/>
      <c r="K793" s="82"/>
      <c r="L793" s="82"/>
      <c r="M793" s="82"/>
      <c r="N793" s="212"/>
      <c r="P793" s="209"/>
    </row>
    <row r="794" spans="1:16" x14ac:dyDescent="0.25">
      <c r="A794" s="87">
        <v>4</v>
      </c>
      <c r="B794" s="82"/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2"/>
      <c r="N794" s="212"/>
      <c r="P794" s="209"/>
    </row>
    <row r="795" spans="1:16" x14ac:dyDescent="0.25">
      <c r="A795" s="87">
        <v>5</v>
      </c>
      <c r="B795" s="82"/>
      <c r="C795" s="82"/>
      <c r="D795" s="82"/>
      <c r="E795" s="82"/>
      <c r="F795" s="82"/>
      <c r="G795" s="82"/>
      <c r="H795" s="82"/>
      <c r="I795" s="82"/>
      <c r="J795" s="82"/>
      <c r="K795" s="82"/>
      <c r="L795" s="82"/>
      <c r="M795" s="82"/>
      <c r="N795" s="212"/>
      <c r="P795" s="209"/>
    </row>
    <row r="796" spans="1:16" x14ac:dyDescent="0.25">
      <c r="A796" s="87">
        <v>6</v>
      </c>
      <c r="B796" s="82"/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2"/>
      <c r="N796" s="212"/>
      <c r="P796" s="209"/>
    </row>
    <row r="797" spans="1:16" x14ac:dyDescent="0.25">
      <c r="A797" s="87">
        <v>7</v>
      </c>
      <c r="B797" s="82"/>
      <c r="C797" s="82"/>
      <c r="D797" s="82"/>
      <c r="E797" s="82"/>
      <c r="F797" s="82"/>
      <c r="G797" s="82"/>
      <c r="H797" s="82"/>
      <c r="I797" s="82"/>
      <c r="J797" s="82"/>
      <c r="K797" s="82"/>
      <c r="L797" s="82"/>
      <c r="M797" s="82"/>
      <c r="N797" s="212"/>
      <c r="P797" s="209"/>
    </row>
    <row r="798" spans="1:16" x14ac:dyDescent="0.25">
      <c r="A798" s="87">
        <v>8</v>
      </c>
      <c r="B798" s="82"/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2"/>
      <c r="N798" s="212"/>
      <c r="P798" s="209"/>
    </row>
    <row r="799" spans="1:16" x14ac:dyDescent="0.25">
      <c r="A799" s="87">
        <v>9</v>
      </c>
      <c r="B799" s="82"/>
      <c r="C799" s="82"/>
      <c r="D799" s="82"/>
      <c r="E799" s="82"/>
      <c r="F799" s="82"/>
      <c r="G799" s="82"/>
      <c r="H799" s="82"/>
      <c r="I799" s="82"/>
      <c r="J799" s="82"/>
      <c r="K799" s="82"/>
      <c r="L799" s="82"/>
      <c r="M799" s="82"/>
      <c r="N799" s="212"/>
      <c r="P799" s="209"/>
    </row>
    <row r="800" spans="1:16" ht="13" thickBot="1" x14ac:dyDescent="0.3">
      <c r="A800" s="218">
        <v>10</v>
      </c>
      <c r="B800" s="104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213"/>
      <c r="P800" s="209"/>
    </row>
    <row r="801" spans="1:16" x14ac:dyDescent="0.25">
      <c r="A801" s="3"/>
      <c r="C801" s="3"/>
      <c r="D801" s="3"/>
      <c r="E801" s="3"/>
      <c r="F801" s="3"/>
      <c r="P801" s="209"/>
    </row>
    <row r="802" spans="1:16" ht="13" thickBot="1" x14ac:dyDescent="0.3">
      <c r="A802" s="3"/>
      <c r="C802" s="3"/>
      <c r="D802" s="3"/>
      <c r="E802" s="3"/>
      <c r="F802" s="3"/>
      <c r="P802" s="209"/>
    </row>
    <row r="803" spans="1:16" ht="13" x14ac:dyDescent="0.3">
      <c r="A803" s="74" t="s">
        <v>677</v>
      </c>
      <c r="B803" s="75"/>
      <c r="C803" s="76"/>
      <c r="D803" s="76"/>
      <c r="E803" s="76"/>
      <c r="F803" s="75"/>
      <c r="G803" s="75"/>
      <c r="H803" s="76"/>
      <c r="I803" s="76"/>
      <c r="J803" s="76"/>
      <c r="K803" s="76"/>
      <c r="L803" s="76"/>
      <c r="M803" s="76"/>
      <c r="N803" s="211">
        <v>44</v>
      </c>
      <c r="P803" s="209"/>
    </row>
    <row r="804" spans="1:16" ht="13" x14ac:dyDescent="0.3">
      <c r="A804" s="77" t="s">
        <v>672</v>
      </c>
      <c r="B804" s="41"/>
      <c r="C804" s="41" t="s">
        <v>673</v>
      </c>
      <c r="D804" s="46"/>
      <c r="E804" s="46"/>
      <c r="F804" s="78"/>
      <c r="G804" s="78"/>
      <c r="H804" s="46"/>
      <c r="I804" s="46"/>
      <c r="J804" s="46"/>
      <c r="K804" s="46"/>
      <c r="L804" s="46"/>
      <c r="M804" s="46"/>
      <c r="N804" s="79"/>
      <c r="P804" s="209"/>
    </row>
    <row r="805" spans="1:16" x14ac:dyDescent="0.25">
      <c r="A805" s="80" t="s">
        <v>912</v>
      </c>
      <c r="B805" s="46"/>
      <c r="C805" s="81">
        <v>1316</v>
      </c>
      <c r="D805" s="46"/>
      <c r="E805" s="46"/>
      <c r="F805" s="78"/>
      <c r="G805" s="78"/>
      <c r="H805" s="46"/>
      <c r="I805" s="46"/>
      <c r="J805" s="46"/>
      <c r="K805" s="46"/>
      <c r="L805" s="46"/>
      <c r="M805" s="46"/>
      <c r="N805" s="79"/>
      <c r="P805" s="209">
        <v>803</v>
      </c>
    </row>
    <row r="806" spans="1:16" ht="13" x14ac:dyDescent="0.3">
      <c r="A806" s="77" t="s">
        <v>681</v>
      </c>
      <c r="B806" s="41" t="s">
        <v>680</v>
      </c>
      <c r="C806" s="41" t="s">
        <v>678</v>
      </c>
      <c r="D806" s="41" t="s">
        <v>695</v>
      </c>
      <c r="E806" s="41" t="s">
        <v>679</v>
      </c>
      <c r="F806" s="41" t="s">
        <v>1186</v>
      </c>
      <c r="G806" s="78"/>
      <c r="H806" s="46"/>
      <c r="I806" s="46"/>
      <c r="J806" s="46"/>
      <c r="K806" s="46"/>
      <c r="L806" s="46"/>
      <c r="M806" s="46"/>
      <c r="N806" s="79"/>
      <c r="P806" s="209"/>
    </row>
    <row r="807" spans="1:16" x14ac:dyDescent="0.25">
      <c r="A807" s="80">
        <v>2</v>
      </c>
      <c r="B807" s="78">
        <v>2</v>
      </c>
      <c r="C807" s="82">
        <v>0.12</v>
      </c>
      <c r="D807" s="78">
        <v>42</v>
      </c>
      <c r="E807" s="78">
        <v>81</v>
      </c>
      <c r="F807" s="78">
        <v>1</v>
      </c>
      <c r="G807" s="78"/>
      <c r="H807" s="46"/>
      <c r="I807" s="46"/>
      <c r="J807" s="46"/>
      <c r="K807" s="46"/>
      <c r="L807" s="46"/>
      <c r="M807" s="78" t="s">
        <v>65</v>
      </c>
      <c r="N807" s="83" t="s">
        <v>65</v>
      </c>
      <c r="P807" s="209"/>
    </row>
    <row r="808" spans="1:16" ht="13" x14ac:dyDescent="0.3">
      <c r="A808" s="84"/>
      <c r="B808" s="13"/>
      <c r="C808" s="78" t="s">
        <v>20</v>
      </c>
      <c r="D808" s="78" t="s">
        <v>20</v>
      </c>
      <c r="E808" s="78" t="s">
        <v>20</v>
      </c>
      <c r="F808" s="78"/>
      <c r="G808" s="78" t="s">
        <v>39</v>
      </c>
      <c r="H808" s="78" t="s">
        <v>39</v>
      </c>
      <c r="I808" s="78" t="s">
        <v>39</v>
      </c>
      <c r="J808" s="78" t="s">
        <v>63</v>
      </c>
      <c r="K808" s="78" t="s">
        <v>62</v>
      </c>
      <c r="L808" s="78" t="s">
        <v>39</v>
      </c>
      <c r="M808" s="78" t="s">
        <v>64</v>
      </c>
      <c r="N808" s="83" t="s">
        <v>64</v>
      </c>
      <c r="P808" s="209"/>
    </row>
    <row r="809" spans="1:16" ht="13" x14ac:dyDescent="0.3">
      <c r="A809" s="85" t="s">
        <v>32</v>
      </c>
      <c r="B809" s="5" t="s">
        <v>33</v>
      </c>
      <c r="C809" s="5" t="s">
        <v>34</v>
      </c>
      <c r="D809" s="5" t="s">
        <v>35</v>
      </c>
      <c r="E809" s="5" t="s">
        <v>814</v>
      </c>
      <c r="F809" s="5" t="s">
        <v>816</v>
      </c>
      <c r="G809" s="5" t="s">
        <v>815</v>
      </c>
      <c r="H809" s="5" t="s">
        <v>36</v>
      </c>
      <c r="I809" s="5" t="s">
        <v>66</v>
      </c>
      <c r="J809" s="5" t="s">
        <v>56</v>
      </c>
      <c r="K809" s="5" t="s">
        <v>57</v>
      </c>
      <c r="L809" s="5" t="s">
        <v>58</v>
      </c>
      <c r="M809" s="5" t="s">
        <v>59</v>
      </c>
      <c r="N809" s="86" t="s">
        <v>60</v>
      </c>
      <c r="P809" s="209"/>
    </row>
    <row r="810" spans="1:16" x14ac:dyDescent="0.25">
      <c r="A810" s="87">
        <v>1</v>
      </c>
      <c r="B810" s="82">
        <v>100</v>
      </c>
      <c r="C810" s="82">
        <v>0.45600000000000002</v>
      </c>
      <c r="D810" s="82">
        <v>0.221</v>
      </c>
      <c r="E810" s="82">
        <v>0.09</v>
      </c>
      <c r="F810" s="82">
        <v>0.03</v>
      </c>
      <c r="G810" s="82">
        <v>0.1162</v>
      </c>
      <c r="H810" s="82">
        <v>0.3</v>
      </c>
      <c r="I810" s="82">
        <v>0.26</v>
      </c>
      <c r="J810" s="82">
        <v>1.39</v>
      </c>
      <c r="K810" s="82">
        <v>0.12039999999999998</v>
      </c>
      <c r="L810" s="82">
        <v>0.1</v>
      </c>
      <c r="M810" s="82">
        <v>106.20075368276807</v>
      </c>
      <c r="N810" s="212">
        <v>0</v>
      </c>
      <c r="P810" s="209"/>
    </row>
    <row r="811" spans="1:16" x14ac:dyDescent="0.25">
      <c r="A811" s="87">
        <v>2</v>
      </c>
      <c r="B811" s="82">
        <v>0</v>
      </c>
      <c r="C811" s="82" t="s">
        <v>39</v>
      </c>
      <c r="D811" s="82" t="s">
        <v>39</v>
      </c>
      <c r="E811" s="82" t="s">
        <v>39</v>
      </c>
      <c r="F811" s="82" t="e">
        <v>#VALUE!</v>
      </c>
      <c r="G811" s="82" t="e">
        <v>#VALUE!</v>
      </c>
      <c r="H811" s="82" t="s">
        <v>39</v>
      </c>
      <c r="I811" s="82" t="e">
        <v>#VALUE!</v>
      </c>
      <c r="J811" s="82" t="s">
        <v>39</v>
      </c>
      <c r="K811" s="82" t="s">
        <v>39</v>
      </c>
      <c r="L811" s="82">
        <v>0.1</v>
      </c>
      <c r="M811" s="82" t="e">
        <v>#VALUE!</v>
      </c>
      <c r="N811" s="212">
        <v>0</v>
      </c>
      <c r="P811" s="209" t="s">
        <v>966</v>
      </c>
    </row>
    <row r="812" spans="1:16" x14ac:dyDescent="0.25">
      <c r="A812" s="87">
        <v>3</v>
      </c>
      <c r="B812" s="82"/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2"/>
      <c r="N812" s="212"/>
      <c r="P812" s="209"/>
    </row>
    <row r="813" spans="1:16" x14ac:dyDescent="0.25">
      <c r="A813" s="87">
        <v>4</v>
      </c>
      <c r="B813" s="82"/>
      <c r="C813" s="82"/>
      <c r="D813" s="82"/>
      <c r="E813" s="82"/>
      <c r="F813" s="82"/>
      <c r="G813" s="82"/>
      <c r="H813" s="82"/>
      <c r="I813" s="82"/>
      <c r="J813" s="82"/>
      <c r="K813" s="82"/>
      <c r="L813" s="82"/>
      <c r="M813" s="82"/>
      <c r="N813" s="212"/>
      <c r="P813" s="209"/>
    </row>
    <row r="814" spans="1:16" x14ac:dyDescent="0.25">
      <c r="A814" s="87">
        <v>5</v>
      </c>
      <c r="B814" s="82"/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2"/>
      <c r="N814" s="212"/>
      <c r="P814" s="209"/>
    </row>
    <row r="815" spans="1:16" x14ac:dyDescent="0.25">
      <c r="A815" s="87">
        <v>6</v>
      </c>
      <c r="B815" s="82"/>
      <c r="C815" s="82"/>
      <c r="D815" s="82"/>
      <c r="E815" s="82"/>
      <c r="F815" s="82"/>
      <c r="G815" s="82"/>
      <c r="H815" s="82"/>
      <c r="I815" s="82"/>
      <c r="J815" s="82"/>
      <c r="K815" s="82"/>
      <c r="L815" s="82"/>
      <c r="M815" s="82"/>
      <c r="N815" s="212"/>
      <c r="P815" s="209"/>
    </row>
    <row r="816" spans="1:16" x14ac:dyDescent="0.25">
      <c r="A816" s="87">
        <v>7</v>
      </c>
      <c r="B816" s="82"/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2"/>
      <c r="N816" s="212"/>
      <c r="P816" s="209"/>
    </row>
    <row r="817" spans="1:16" x14ac:dyDescent="0.25">
      <c r="A817" s="87">
        <v>8</v>
      </c>
      <c r="B817" s="82"/>
      <c r="C817" s="82"/>
      <c r="D817" s="82"/>
      <c r="E817" s="82"/>
      <c r="F817" s="82"/>
      <c r="G817" s="82"/>
      <c r="H817" s="82"/>
      <c r="I817" s="82"/>
      <c r="J817" s="82"/>
      <c r="K817" s="82"/>
      <c r="L817" s="82"/>
      <c r="M817" s="82"/>
      <c r="N817" s="212"/>
      <c r="P817" s="209"/>
    </row>
    <row r="818" spans="1:16" x14ac:dyDescent="0.25">
      <c r="A818" s="87">
        <v>9</v>
      </c>
      <c r="B818" s="82"/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2"/>
      <c r="N818" s="212"/>
      <c r="P818" s="209"/>
    </row>
    <row r="819" spans="1:16" ht="13" thickBot="1" x14ac:dyDescent="0.3">
      <c r="A819" s="218">
        <v>10</v>
      </c>
      <c r="B819" s="104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213"/>
      <c r="P819" s="209"/>
    </row>
    <row r="820" spans="1:16" x14ac:dyDescent="0.25">
      <c r="A820" s="3"/>
      <c r="C820" s="3"/>
      <c r="D820" s="3"/>
      <c r="E820" s="3"/>
      <c r="F820" s="3"/>
      <c r="P820" s="209"/>
    </row>
    <row r="821" spans="1:16" ht="13" thickBot="1" x14ac:dyDescent="0.3">
      <c r="A821" s="3"/>
      <c r="C821" s="3"/>
      <c r="D821" s="3"/>
      <c r="E821" s="3"/>
      <c r="F821" s="3"/>
      <c r="P821" s="209"/>
    </row>
    <row r="822" spans="1:16" ht="13" x14ac:dyDescent="0.3">
      <c r="A822" s="74" t="s">
        <v>677</v>
      </c>
      <c r="B822" s="75"/>
      <c r="C822" s="76"/>
      <c r="D822" s="76"/>
      <c r="E822" s="76"/>
      <c r="F822" s="75"/>
      <c r="G822" s="75"/>
      <c r="H822" s="76"/>
      <c r="I822" s="76"/>
      <c r="J822" s="76"/>
      <c r="K822" s="76"/>
      <c r="L822" s="76"/>
      <c r="M822" s="76"/>
      <c r="N822" s="211">
        <v>45</v>
      </c>
      <c r="P822" s="209"/>
    </row>
    <row r="823" spans="1:16" ht="13" x14ac:dyDescent="0.3">
      <c r="A823" s="77" t="s">
        <v>672</v>
      </c>
      <c r="B823" s="41"/>
      <c r="C823" s="41" t="s">
        <v>673</v>
      </c>
      <c r="D823" s="46"/>
      <c r="E823" s="46"/>
      <c r="F823" s="78"/>
      <c r="G823" s="78"/>
      <c r="H823" s="46"/>
      <c r="I823" s="46"/>
      <c r="J823" s="46"/>
      <c r="K823" s="46"/>
      <c r="L823" s="46"/>
      <c r="M823" s="46"/>
      <c r="N823" s="79"/>
      <c r="P823" s="209"/>
    </row>
    <row r="824" spans="1:16" x14ac:dyDescent="0.25">
      <c r="A824" s="80" t="s">
        <v>914</v>
      </c>
      <c r="B824" s="46"/>
      <c r="C824" s="81">
        <v>1800</v>
      </c>
      <c r="D824" s="46"/>
      <c r="E824" s="46"/>
      <c r="F824" s="78"/>
      <c r="G824" s="78"/>
      <c r="H824" s="46"/>
      <c r="I824" s="46"/>
      <c r="J824" s="46"/>
      <c r="K824" s="46"/>
      <c r="L824" s="46"/>
      <c r="M824" s="46"/>
      <c r="N824" s="79"/>
      <c r="P824" s="209">
        <v>822</v>
      </c>
    </row>
    <row r="825" spans="1:16" ht="13" x14ac:dyDescent="0.3">
      <c r="A825" s="77" t="s">
        <v>681</v>
      </c>
      <c r="B825" s="41" t="s">
        <v>680</v>
      </c>
      <c r="C825" s="41" t="s">
        <v>678</v>
      </c>
      <c r="D825" s="41" t="s">
        <v>695</v>
      </c>
      <c r="E825" s="41" t="s">
        <v>679</v>
      </c>
      <c r="F825" s="41" t="s">
        <v>1186</v>
      </c>
      <c r="G825" s="78"/>
      <c r="H825" s="46"/>
      <c r="I825" s="46"/>
      <c r="J825" s="46"/>
      <c r="K825" s="46"/>
      <c r="L825" s="46"/>
      <c r="M825" s="46"/>
      <c r="N825" s="79"/>
      <c r="P825" s="209"/>
    </row>
    <row r="826" spans="1:16" x14ac:dyDescent="0.25">
      <c r="A826" s="80">
        <v>2</v>
      </c>
      <c r="B826" s="78">
        <v>2</v>
      </c>
      <c r="C826" s="82">
        <v>0.12</v>
      </c>
      <c r="D826" s="78">
        <v>41</v>
      </c>
      <c r="E826" s="78">
        <v>81</v>
      </c>
      <c r="F826" s="78">
        <v>1</v>
      </c>
      <c r="G826" s="78"/>
      <c r="H826" s="46"/>
      <c r="I826" s="46"/>
      <c r="J826" s="46"/>
      <c r="K826" s="46"/>
      <c r="L826" s="46"/>
      <c r="M826" s="78" t="s">
        <v>65</v>
      </c>
      <c r="N826" s="83" t="s">
        <v>65</v>
      </c>
      <c r="P826" s="209"/>
    </row>
    <row r="827" spans="1:16" ht="13" x14ac:dyDescent="0.3">
      <c r="A827" s="84"/>
      <c r="B827" s="13"/>
      <c r="C827" s="78" t="s">
        <v>20</v>
      </c>
      <c r="D827" s="78" t="s">
        <v>20</v>
      </c>
      <c r="E827" s="78" t="s">
        <v>20</v>
      </c>
      <c r="F827" s="78"/>
      <c r="G827" s="78" t="s">
        <v>39</v>
      </c>
      <c r="H827" s="78" t="s">
        <v>39</v>
      </c>
      <c r="I827" s="78" t="s">
        <v>39</v>
      </c>
      <c r="J827" s="78" t="s">
        <v>63</v>
      </c>
      <c r="K827" s="78" t="s">
        <v>62</v>
      </c>
      <c r="L827" s="78" t="s">
        <v>39</v>
      </c>
      <c r="M827" s="78" t="s">
        <v>64</v>
      </c>
      <c r="N827" s="83" t="s">
        <v>64</v>
      </c>
      <c r="P827" s="209"/>
    </row>
    <row r="828" spans="1:16" ht="13" x14ac:dyDescent="0.3">
      <c r="A828" s="85" t="s">
        <v>32</v>
      </c>
      <c r="B828" s="5" t="s">
        <v>33</v>
      </c>
      <c r="C828" s="5" t="s">
        <v>34</v>
      </c>
      <c r="D828" s="5" t="s">
        <v>35</v>
      </c>
      <c r="E828" s="5" t="s">
        <v>814</v>
      </c>
      <c r="F828" s="5" t="s">
        <v>816</v>
      </c>
      <c r="G828" s="5" t="s">
        <v>815</v>
      </c>
      <c r="H828" s="5" t="s">
        <v>36</v>
      </c>
      <c r="I828" s="5" t="s">
        <v>66</v>
      </c>
      <c r="J828" s="5" t="s">
        <v>56</v>
      </c>
      <c r="K828" s="5" t="s">
        <v>57</v>
      </c>
      <c r="L828" s="5" t="s">
        <v>58</v>
      </c>
      <c r="M828" s="5" t="s">
        <v>59</v>
      </c>
      <c r="N828" s="86" t="s">
        <v>60</v>
      </c>
      <c r="P828" s="209"/>
    </row>
    <row r="829" spans="1:16" x14ac:dyDescent="0.25">
      <c r="A829" s="87">
        <v>1</v>
      </c>
      <c r="B829" s="82">
        <v>300</v>
      </c>
      <c r="C829" s="82">
        <v>0.378</v>
      </c>
      <c r="D829" s="82">
        <v>0.255</v>
      </c>
      <c r="E829" s="82">
        <v>0.123</v>
      </c>
      <c r="F829" s="82">
        <v>4.1000000000000002E-2</v>
      </c>
      <c r="G829" s="82">
        <v>0.14940000000000001</v>
      </c>
      <c r="H829" s="82">
        <v>0.3</v>
      </c>
      <c r="I829" s="82">
        <v>0.2</v>
      </c>
      <c r="J829" s="82">
        <v>1.4</v>
      </c>
      <c r="K829" s="82">
        <v>3.5259999999999993E-2</v>
      </c>
      <c r="L829" s="82">
        <v>0.1</v>
      </c>
      <c r="M829" s="82">
        <v>35.147392290249435</v>
      </c>
      <c r="N829" s="212">
        <v>0</v>
      </c>
      <c r="P829" s="209"/>
    </row>
    <row r="830" spans="1:16" x14ac:dyDescent="0.25">
      <c r="A830" s="87">
        <v>2</v>
      </c>
      <c r="B830" s="82">
        <v>700</v>
      </c>
      <c r="C830" s="82">
        <v>0.39500000000000002</v>
      </c>
      <c r="D830" s="82">
        <v>0.26200000000000001</v>
      </c>
      <c r="E830" s="82">
        <v>0.13</v>
      </c>
      <c r="F830" s="82">
        <v>4.3333333333333335E-2</v>
      </c>
      <c r="G830" s="82">
        <v>0.15640000000000001</v>
      </c>
      <c r="H830" s="82">
        <v>0.3</v>
      </c>
      <c r="I830" s="82">
        <v>0.27</v>
      </c>
      <c r="J830" s="82">
        <v>1.36</v>
      </c>
      <c r="K830" s="82">
        <v>1.9779999999999999E-2</v>
      </c>
      <c r="L830" s="82">
        <v>0.1</v>
      </c>
      <c r="M830" s="82">
        <v>7.7531012404961972</v>
      </c>
      <c r="N830" s="212">
        <v>0</v>
      </c>
      <c r="P830" s="209" t="s">
        <v>966</v>
      </c>
    </row>
    <row r="831" spans="1:16" x14ac:dyDescent="0.25">
      <c r="A831" s="87">
        <v>3</v>
      </c>
      <c r="B831" s="82"/>
      <c r="C831" s="82"/>
      <c r="D831" s="82"/>
      <c r="E831" s="82"/>
      <c r="F831" s="82"/>
      <c r="G831" s="82"/>
      <c r="H831" s="82"/>
      <c r="I831" s="82"/>
      <c r="J831" s="82"/>
      <c r="K831" s="82"/>
      <c r="L831" s="82"/>
      <c r="M831" s="82"/>
      <c r="N831" s="212"/>
      <c r="P831" s="209"/>
    </row>
    <row r="832" spans="1:16" x14ac:dyDescent="0.25">
      <c r="A832" s="87">
        <v>4</v>
      </c>
      <c r="B832" s="82"/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2"/>
      <c r="N832" s="212"/>
      <c r="P832" s="209"/>
    </row>
    <row r="833" spans="1:16" x14ac:dyDescent="0.25">
      <c r="A833" s="87">
        <v>5</v>
      </c>
      <c r="B833" s="82"/>
      <c r="C833" s="82"/>
      <c r="D833" s="82"/>
      <c r="E833" s="82"/>
      <c r="F833" s="82"/>
      <c r="G833" s="82"/>
      <c r="H833" s="82"/>
      <c r="I833" s="82"/>
      <c r="J833" s="82"/>
      <c r="K833" s="82"/>
      <c r="L833" s="82"/>
      <c r="M833" s="82"/>
      <c r="N833" s="212"/>
      <c r="P833" s="209"/>
    </row>
    <row r="834" spans="1:16" x14ac:dyDescent="0.25">
      <c r="A834" s="87">
        <v>6</v>
      </c>
      <c r="B834" s="82"/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2"/>
      <c r="N834" s="212"/>
      <c r="P834" s="209"/>
    </row>
    <row r="835" spans="1:16" x14ac:dyDescent="0.25">
      <c r="A835" s="87">
        <v>7</v>
      </c>
      <c r="B835" s="82"/>
      <c r="C835" s="82"/>
      <c r="D835" s="82"/>
      <c r="E835" s="82"/>
      <c r="F835" s="82"/>
      <c r="G835" s="82"/>
      <c r="H835" s="82"/>
      <c r="I835" s="82"/>
      <c r="J835" s="82"/>
      <c r="K835" s="82"/>
      <c r="L835" s="82"/>
      <c r="M835" s="82"/>
      <c r="N835" s="212"/>
      <c r="P835" s="209"/>
    </row>
    <row r="836" spans="1:16" x14ac:dyDescent="0.25">
      <c r="A836" s="87">
        <v>8</v>
      </c>
      <c r="B836" s="82"/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2"/>
      <c r="N836" s="212"/>
      <c r="P836" s="209"/>
    </row>
    <row r="837" spans="1:16" x14ac:dyDescent="0.25">
      <c r="A837" s="87">
        <v>9</v>
      </c>
      <c r="B837" s="82"/>
      <c r="C837" s="82"/>
      <c r="D837" s="82"/>
      <c r="E837" s="82"/>
      <c r="F837" s="82"/>
      <c r="G837" s="82"/>
      <c r="H837" s="82"/>
      <c r="I837" s="82"/>
      <c r="J837" s="82"/>
      <c r="K837" s="82"/>
      <c r="L837" s="82"/>
      <c r="M837" s="82"/>
      <c r="N837" s="212"/>
      <c r="P837" s="209"/>
    </row>
    <row r="838" spans="1:16" ht="13" thickBot="1" x14ac:dyDescent="0.3">
      <c r="A838" s="218">
        <v>10</v>
      </c>
      <c r="B838" s="104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213"/>
      <c r="P838" s="209"/>
    </row>
    <row r="839" spans="1:16" x14ac:dyDescent="0.25">
      <c r="A839" s="3"/>
      <c r="C839" s="3"/>
      <c r="D839" s="3"/>
      <c r="E839" s="3"/>
      <c r="F839" s="3"/>
      <c r="P839" s="209"/>
    </row>
    <row r="840" spans="1:16" ht="13" thickBot="1" x14ac:dyDescent="0.3">
      <c r="A840" s="3"/>
      <c r="C840" s="3"/>
      <c r="D840" s="3"/>
      <c r="E840" s="3"/>
      <c r="F840" s="3"/>
      <c r="P840" s="209"/>
    </row>
    <row r="841" spans="1:16" ht="13" x14ac:dyDescent="0.3">
      <c r="A841" s="74" t="s">
        <v>677</v>
      </c>
      <c r="B841" s="75"/>
      <c r="C841" s="76"/>
      <c r="D841" s="76"/>
      <c r="E841" s="76"/>
      <c r="F841" s="75"/>
      <c r="G841" s="75"/>
      <c r="H841" s="76"/>
      <c r="I841" s="76"/>
      <c r="J841" s="76"/>
      <c r="K841" s="76"/>
      <c r="L841" s="76"/>
      <c r="M841" s="76"/>
      <c r="N841" s="211">
        <v>46</v>
      </c>
      <c r="P841" s="209"/>
    </row>
    <row r="842" spans="1:16" ht="13" x14ac:dyDescent="0.3">
      <c r="A842" s="77" t="s">
        <v>672</v>
      </c>
      <c r="B842" s="41"/>
      <c r="C842" s="41" t="s">
        <v>673</v>
      </c>
      <c r="D842" s="46"/>
      <c r="E842" s="46"/>
      <c r="F842" s="78"/>
      <c r="G842" s="78"/>
      <c r="H842" s="46"/>
      <c r="I842" s="46"/>
      <c r="J842" s="46"/>
      <c r="K842" s="46"/>
      <c r="L842" s="46"/>
      <c r="M842" s="46"/>
      <c r="N842" s="79"/>
      <c r="P842" s="209"/>
    </row>
    <row r="843" spans="1:16" x14ac:dyDescent="0.25">
      <c r="A843" s="80" t="s">
        <v>916</v>
      </c>
      <c r="B843" s="46"/>
      <c r="C843" s="81">
        <v>1237</v>
      </c>
      <c r="D843" s="46"/>
      <c r="E843" s="46"/>
      <c r="F843" s="78"/>
      <c r="G843" s="78"/>
      <c r="H843" s="46"/>
      <c r="I843" s="46"/>
      <c r="J843" s="46"/>
      <c r="K843" s="46"/>
      <c r="L843" s="46"/>
      <c r="M843" s="46"/>
      <c r="N843" s="79"/>
      <c r="P843" s="209">
        <v>841</v>
      </c>
    </row>
    <row r="844" spans="1:16" ht="13" x14ac:dyDescent="0.3">
      <c r="A844" s="77" t="s">
        <v>681</v>
      </c>
      <c r="B844" s="41" t="s">
        <v>680</v>
      </c>
      <c r="C844" s="41" t="s">
        <v>678</v>
      </c>
      <c r="D844" s="41" t="s">
        <v>695</v>
      </c>
      <c r="E844" s="41" t="s">
        <v>679</v>
      </c>
      <c r="F844" s="41" t="s">
        <v>1186</v>
      </c>
      <c r="G844" s="78"/>
      <c r="H844" s="46"/>
      <c r="I844" s="46"/>
      <c r="J844" s="46"/>
      <c r="K844" s="46"/>
      <c r="L844" s="46"/>
      <c r="M844" s="46"/>
      <c r="N844" s="79"/>
      <c r="P844" s="209"/>
    </row>
    <row r="845" spans="1:16" x14ac:dyDescent="0.25">
      <c r="A845" s="80">
        <v>2</v>
      </c>
      <c r="B845" s="78">
        <v>2</v>
      </c>
      <c r="C845" s="82">
        <v>0.12</v>
      </c>
      <c r="D845" s="78">
        <v>40</v>
      </c>
      <c r="E845" s="78">
        <v>81</v>
      </c>
      <c r="F845" s="78">
        <v>1</v>
      </c>
      <c r="G845" s="78"/>
      <c r="H845" s="46"/>
      <c r="I845" s="46"/>
      <c r="J845" s="46"/>
      <c r="K845" s="46"/>
      <c r="L845" s="46"/>
      <c r="M845" s="78" t="s">
        <v>65</v>
      </c>
      <c r="N845" s="83" t="s">
        <v>65</v>
      </c>
      <c r="P845" s="209"/>
    </row>
    <row r="846" spans="1:16" ht="13" x14ac:dyDescent="0.3">
      <c r="A846" s="84"/>
      <c r="B846" s="13"/>
      <c r="C846" s="78" t="s">
        <v>20</v>
      </c>
      <c r="D846" s="78" t="s">
        <v>20</v>
      </c>
      <c r="E846" s="78" t="s">
        <v>20</v>
      </c>
      <c r="F846" s="78"/>
      <c r="G846" s="78" t="s">
        <v>39</v>
      </c>
      <c r="H846" s="78" t="s">
        <v>39</v>
      </c>
      <c r="I846" s="78" t="s">
        <v>39</v>
      </c>
      <c r="J846" s="78" t="s">
        <v>63</v>
      </c>
      <c r="K846" s="78" t="s">
        <v>62</v>
      </c>
      <c r="L846" s="78" t="s">
        <v>39</v>
      </c>
      <c r="M846" s="78" t="s">
        <v>64</v>
      </c>
      <c r="N846" s="83" t="s">
        <v>64</v>
      </c>
      <c r="P846" s="209"/>
    </row>
    <row r="847" spans="1:16" ht="13" x14ac:dyDescent="0.3">
      <c r="A847" s="85" t="s">
        <v>32</v>
      </c>
      <c r="B847" s="5" t="s">
        <v>33</v>
      </c>
      <c r="C847" s="5" t="s">
        <v>34</v>
      </c>
      <c r="D847" s="5" t="s">
        <v>35</v>
      </c>
      <c r="E847" s="5" t="s">
        <v>814</v>
      </c>
      <c r="F847" s="5" t="s">
        <v>816</v>
      </c>
      <c r="G847" s="5" t="s">
        <v>815</v>
      </c>
      <c r="H847" s="5" t="s">
        <v>36</v>
      </c>
      <c r="I847" s="5" t="s">
        <v>66</v>
      </c>
      <c r="J847" s="5" t="s">
        <v>56</v>
      </c>
      <c r="K847" s="5" t="s">
        <v>57</v>
      </c>
      <c r="L847" s="5" t="s">
        <v>58</v>
      </c>
      <c r="M847" s="5" t="s">
        <v>59</v>
      </c>
      <c r="N847" s="86" t="s">
        <v>60</v>
      </c>
      <c r="P847" s="209"/>
    </row>
    <row r="848" spans="1:16" x14ac:dyDescent="0.25">
      <c r="A848" s="87">
        <v>1</v>
      </c>
      <c r="B848" s="82">
        <v>100</v>
      </c>
      <c r="C848" s="82">
        <v>0.45600000000000002</v>
      </c>
      <c r="D848" s="82">
        <v>0.221</v>
      </c>
      <c r="E848" s="82">
        <v>0.09</v>
      </c>
      <c r="F848" s="82">
        <v>0.03</v>
      </c>
      <c r="G848" s="82">
        <v>0.1162</v>
      </c>
      <c r="H848" s="82">
        <v>0.3</v>
      </c>
      <c r="I848" s="82">
        <v>0.26</v>
      </c>
      <c r="J848" s="82">
        <v>1.39</v>
      </c>
      <c r="K848" s="82">
        <v>0.12039999999999998</v>
      </c>
      <c r="L848" s="82">
        <v>0.1</v>
      </c>
      <c r="M848" s="82">
        <v>106.20075368276807</v>
      </c>
      <c r="N848" s="212">
        <v>0</v>
      </c>
      <c r="P848" s="209"/>
    </row>
    <row r="849" spans="1:16" x14ac:dyDescent="0.25">
      <c r="A849" s="87">
        <v>2</v>
      </c>
      <c r="B849" s="82">
        <v>0</v>
      </c>
      <c r="C849" s="82" t="s">
        <v>39</v>
      </c>
      <c r="D849" s="82" t="s">
        <v>39</v>
      </c>
      <c r="E849" s="82" t="s">
        <v>39</v>
      </c>
      <c r="F849" s="82" t="e">
        <v>#VALUE!</v>
      </c>
      <c r="G849" s="82" t="e">
        <v>#VALUE!</v>
      </c>
      <c r="H849" s="82" t="s">
        <v>39</v>
      </c>
      <c r="I849" s="82" t="e">
        <v>#VALUE!</v>
      </c>
      <c r="J849" s="82" t="s">
        <v>39</v>
      </c>
      <c r="K849" s="82" t="s">
        <v>39</v>
      </c>
      <c r="L849" s="82">
        <v>0.1</v>
      </c>
      <c r="M849" s="82" t="e">
        <v>#VALUE!</v>
      </c>
      <c r="N849" s="212">
        <v>0</v>
      </c>
      <c r="P849" s="209" t="s">
        <v>966</v>
      </c>
    </row>
    <row r="850" spans="1:16" x14ac:dyDescent="0.25">
      <c r="A850" s="87">
        <v>3</v>
      </c>
      <c r="B850" s="82"/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2"/>
      <c r="N850" s="212"/>
      <c r="P850" s="209"/>
    </row>
    <row r="851" spans="1:16" x14ac:dyDescent="0.25">
      <c r="A851" s="87">
        <v>4</v>
      </c>
      <c r="B851" s="82"/>
      <c r="C851" s="82"/>
      <c r="D851" s="82"/>
      <c r="E851" s="82"/>
      <c r="F851" s="82"/>
      <c r="G851" s="82"/>
      <c r="H851" s="82"/>
      <c r="I851" s="82"/>
      <c r="J851" s="82"/>
      <c r="K851" s="82"/>
      <c r="L851" s="82"/>
      <c r="M851" s="82"/>
      <c r="N851" s="212"/>
      <c r="P851" s="209"/>
    </row>
    <row r="852" spans="1:16" x14ac:dyDescent="0.25">
      <c r="A852" s="87">
        <v>5</v>
      </c>
      <c r="B852" s="82"/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2"/>
      <c r="N852" s="212"/>
      <c r="P852" s="209"/>
    </row>
    <row r="853" spans="1:16" x14ac:dyDescent="0.25">
      <c r="A853" s="87">
        <v>6</v>
      </c>
      <c r="B853" s="82"/>
      <c r="C853" s="82"/>
      <c r="D853" s="82"/>
      <c r="E853" s="82"/>
      <c r="F853" s="82"/>
      <c r="G853" s="82"/>
      <c r="H853" s="82"/>
      <c r="I853" s="82"/>
      <c r="J853" s="82"/>
      <c r="K853" s="82"/>
      <c r="L853" s="82"/>
      <c r="M853" s="82"/>
      <c r="N853" s="212"/>
      <c r="P853" s="209"/>
    </row>
    <row r="854" spans="1:16" x14ac:dyDescent="0.25">
      <c r="A854" s="87">
        <v>7</v>
      </c>
      <c r="B854" s="82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2"/>
      <c r="N854" s="212"/>
      <c r="P854" s="209"/>
    </row>
    <row r="855" spans="1:16" x14ac:dyDescent="0.25">
      <c r="A855" s="87">
        <v>8</v>
      </c>
      <c r="B855" s="82"/>
      <c r="C855" s="82"/>
      <c r="D855" s="82"/>
      <c r="E855" s="82"/>
      <c r="F855" s="82"/>
      <c r="G855" s="82"/>
      <c r="H855" s="82"/>
      <c r="I855" s="82"/>
      <c r="J855" s="82"/>
      <c r="K855" s="82"/>
      <c r="L855" s="82"/>
      <c r="M855" s="82"/>
      <c r="N855" s="212"/>
      <c r="P855" s="209"/>
    </row>
    <row r="856" spans="1:16" x14ac:dyDescent="0.25">
      <c r="A856" s="87">
        <v>9</v>
      </c>
      <c r="B856" s="82"/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2"/>
      <c r="N856" s="212"/>
      <c r="P856" s="209"/>
    </row>
    <row r="857" spans="1:16" ht="13" thickBot="1" x14ac:dyDescent="0.3">
      <c r="A857" s="218">
        <v>10</v>
      </c>
      <c r="B857" s="104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213"/>
      <c r="P857" s="209"/>
    </row>
    <row r="858" spans="1:16" x14ac:dyDescent="0.25">
      <c r="A858" s="3"/>
      <c r="C858" s="3"/>
      <c r="D858" s="3"/>
      <c r="E858" s="3"/>
      <c r="F858" s="3"/>
      <c r="P858" s="209"/>
    </row>
    <row r="859" spans="1:16" ht="13" thickBot="1" x14ac:dyDescent="0.3">
      <c r="A859" s="3"/>
      <c r="C859" s="3"/>
      <c r="D859" s="3"/>
      <c r="E859" s="3"/>
      <c r="F859" s="3"/>
      <c r="P859" s="209"/>
    </row>
    <row r="860" spans="1:16" ht="13" x14ac:dyDescent="0.3">
      <c r="A860" s="74" t="s">
        <v>677</v>
      </c>
      <c r="B860" s="75"/>
      <c r="C860" s="76"/>
      <c r="D860" s="76"/>
      <c r="E860" s="76"/>
      <c r="F860" s="75"/>
      <c r="G860" s="75"/>
      <c r="H860" s="76"/>
      <c r="I860" s="76"/>
      <c r="J860" s="76"/>
      <c r="K860" s="76"/>
      <c r="L860" s="76"/>
      <c r="M860" s="76"/>
      <c r="N860" s="211">
        <v>47</v>
      </c>
      <c r="P860" s="209"/>
    </row>
    <row r="861" spans="1:16" ht="13" x14ac:dyDescent="0.3">
      <c r="A861" s="77" t="s">
        <v>672</v>
      </c>
      <c r="B861" s="41"/>
      <c r="C861" s="41" t="s">
        <v>673</v>
      </c>
      <c r="D861" s="46"/>
      <c r="E861" s="46"/>
      <c r="F861" s="78"/>
      <c r="G861" s="78"/>
      <c r="H861" s="46"/>
      <c r="I861" s="46"/>
      <c r="J861" s="46"/>
      <c r="K861" s="46"/>
      <c r="L861" s="46"/>
      <c r="M861" s="46"/>
      <c r="N861" s="79"/>
      <c r="P861" s="209"/>
    </row>
    <row r="862" spans="1:16" x14ac:dyDescent="0.25">
      <c r="A862" s="80" t="s">
        <v>918</v>
      </c>
      <c r="B862" s="46"/>
      <c r="C862" s="81">
        <v>1152</v>
      </c>
      <c r="D862" s="46"/>
      <c r="E862" s="46"/>
      <c r="F862" s="78"/>
      <c r="G862" s="78"/>
      <c r="H862" s="46"/>
      <c r="I862" s="46"/>
      <c r="J862" s="46"/>
      <c r="K862" s="46"/>
      <c r="L862" s="46"/>
      <c r="M862" s="46"/>
      <c r="N862" s="79"/>
      <c r="P862" s="209">
        <v>860</v>
      </c>
    </row>
    <row r="863" spans="1:16" ht="13" x14ac:dyDescent="0.3">
      <c r="A863" s="77" t="s">
        <v>681</v>
      </c>
      <c r="B863" s="41" t="s">
        <v>680</v>
      </c>
      <c r="C863" s="41" t="s">
        <v>678</v>
      </c>
      <c r="D863" s="41" t="s">
        <v>695</v>
      </c>
      <c r="E863" s="41" t="s">
        <v>679</v>
      </c>
      <c r="F863" s="41" t="s">
        <v>1186</v>
      </c>
      <c r="G863" s="78"/>
      <c r="H863" s="46"/>
      <c r="I863" s="46"/>
      <c r="J863" s="46"/>
      <c r="K863" s="46"/>
      <c r="L863" s="46"/>
      <c r="M863" s="46"/>
      <c r="N863" s="79"/>
      <c r="P863" s="209"/>
    </row>
    <row r="864" spans="1:16" x14ac:dyDescent="0.25">
      <c r="A864" s="80">
        <v>2</v>
      </c>
      <c r="B864" s="78">
        <v>2</v>
      </c>
      <c r="C864" s="82">
        <v>0.12</v>
      </c>
      <c r="D864" s="78">
        <v>39</v>
      </c>
      <c r="E864" s="78">
        <v>81</v>
      </c>
      <c r="F864" s="78">
        <v>1</v>
      </c>
      <c r="G864" s="78"/>
      <c r="H864" s="46"/>
      <c r="I864" s="46"/>
      <c r="J864" s="46"/>
      <c r="K864" s="46"/>
      <c r="L864" s="46"/>
      <c r="M864" s="78" t="s">
        <v>65</v>
      </c>
      <c r="N864" s="83" t="s">
        <v>65</v>
      </c>
      <c r="P864" s="209"/>
    </row>
    <row r="865" spans="1:16" ht="13" x14ac:dyDescent="0.3">
      <c r="A865" s="84"/>
      <c r="B865" s="13"/>
      <c r="C865" s="78" t="s">
        <v>20</v>
      </c>
      <c r="D865" s="78" t="s">
        <v>20</v>
      </c>
      <c r="E865" s="78" t="s">
        <v>20</v>
      </c>
      <c r="F865" s="78"/>
      <c r="G865" s="78" t="s">
        <v>39</v>
      </c>
      <c r="H865" s="78" t="s">
        <v>39</v>
      </c>
      <c r="I865" s="78" t="s">
        <v>39</v>
      </c>
      <c r="J865" s="78" t="s">
        <v>63</v>
      </c>
      <c r="K865" s="78" t="s">
        <v>62</v>
      </c>
      <c r="L865" s="78" t="s">
        <v>39</v>
      </c>
      <c r="M865" s="78" t="s">
        <v>64</v>
      </c>
      <c r="N865" s="83" t="s">
        <v>64</v>
      </c>
      <c r="P865" s="209"/>
    </row>
    <row r="866" spans="1:16" ht="13" x14ac:dyDescent="0.3">
      <c r="A866" s="85" t="s">
        <v>32</v>
      </c>
      <c r="B866" s="5" t="s">
        <v>33</v>
      </c>
      <c r="C866" s="5" t="s">
        <v>34</v>
      </c>
      <c r="D866" s="5" t="s">
        <v>35</v>
      </c>
      <c r="E866" s="5" t="s">
        <v>814</v>
      </c>
      <c r="F866" s="5" t="s">
        <v>816</v>
      </c>
      <c r="G866" s="5" t="s">
        <v>815</v>
      </c>
      <c r="H866" s="5" t="s">
        <v>36</v>
      </c>
      <c r="I866" s="5" t="s">
        <v>66</v>
      </c>
      <c r="J866" s="5" t="s">
        <v>56</v>
      </c>
      <c r="K866" s="5" t="s">
        <v>57</v>
      </c>
      <c r="L866" s="5" t="s">
        <v>58</v>
      </c>
      <c r="M866" s="5" t="s">
        <v>59</v>
      </c>
      <c r="N866" s="86" t="s">
        <v>60</v>
      </c>
      <c r="P866" s="209"/>
    </row>
    <row r="867" spans="1:16" x14ac:dyDescent="0.25">
      <c r="A867" s="87">
        <v>1</v>
      </c>
      <c r="B867" s="82">
        <v>300</v>
      </c>
      <c r="C867" s="82">
        <v>0.45300000000000001</v>
      </c>
      <c r="D867" s="82">
        <v>0.218</v>
      </c>
      <c r="E867" s="82">
        <v>8.5999999999999993E-2</v>
      </c>
      <c r="F867" s="82">
        <v>2.8666666666666663E-2</v>
      </c>
      <c r="G867" s="82">
        <v>0.1124</v>
      </c>
      <c r="H867" s="82">
        <v>0.3</v>
      </c>
      <c r="I867" s="82">
        <v>0.1</v>
      </c>
      <c r="J867" s="82">
        <v>1.41</v>
      </c>
      <c r="K867" s="82">
        <v>0.16855999999999999</v>
      </c>
      <c r="L867" s="82">
        <v>0.1</v>
      </c>
      <c r="M867" s="82">
        <v>34.898120004502985</v>
      </c>
      <c r="N867" s="212">
        <v>0</v>
      </c>
      <c r="P867" s="209"/>
    </row>
    <row r="868" spans="1:16" x14ac:dyDescent="0.25">
      <c r="A868" s="87">
        <v>2</v>
      </c>
      <c r="B868" s="82">
        <v>0</v>
      </c>
      <c r="C868" s="82" t="s">
        <v>39</v>
      </c>
      <c r="D868" s="82" t="s">
        <v>39</v>
      </c>
      <c r="E868" s="82" t="s">
        <v>39</v>
      </c>
      <c r="F868" s="82" t="e">
        <v>#VALUE!</v>
      </c>
      <c r="G868" s="82" t="e">
        <v>#VALUE!</v>
      </c>
      <c r="H868" s="82" t="s">
        <v>39</v>
      </c>
      <c r="I868" s="82" t="e">
        <v>#VALUE!</v>
      </c>
      <c r="J868" s="82" t="s">
        <v>39</v>
      </c>
      <c r="K868" s="82" t="s">
        <v>39</v>
      </c>
      <c r="L868" s="82">
        <v>0.1</v>
      </c>
      <c r="M868" s="82" t="e">
        <v>#VALUE!</v>
      </c>
      <c r="N868" s="212">
        <v>0</v>
      </c>
      <c r="P868" s="209" t="s">
        <v>966</v>
      </c>
    </row>
    <row r="869" spans="1:16" x14ac:dyDescent="0.25">
      <c r="A869" s="87">
        <v>3</v>
      </c>
      <c r="B869" s="82"/>
      <c r="C869" s="82"/>
      <c r="D869" s="82"/>
      <c r="E869" s="82"/>
      <c r="F869" s="82"/>
      <c r="G869" s="82"/>
      <c r="H869" s="82"/>
      <c r="I869" s="82"/>
      <c r="J869" s="82"/>
      <c r="K869" s="82"/>
      <c r="L869" s="82"/>
      <c r="M869" s="82"/>
      <c r="N869" s="212"/>
      <c r="P869" s="209"/>
    </row>
    <row r="870" spans="1:16" x14ac:dyDescent="0.25">
      <c r="A870" s="87">
        <v>4</v>
      </c>
      <c r="B870" s="82"/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2"/>
      <c r="N870" s="212"/>
      <c r="P870" s="209"/>
    </row>
    <row r="871" spans="1:16" x14ac:dyDescent="0.25">
      <c r="A871" s="87">
        <v>5</v>
      </c>
      <c r="B871" s="82"/>
      <c r="C871" s="82"/>
      <c r="D871" s="82"/>
      <c r="E871" s="82"/>
      <c r="F871" s="82"/>
      <c r="G871" s="82"/>
      <c r="H871" s="82"/>
      <c r="I871" s="82"/>
      <c r="J871" s="82"/>
      <c r="K871" s="82"/>
      <c r="L871" s="82"/>
      <c r="M871" s="82"/>
      <c r="N871" s="212"/>
      <c r="P871" s="209"/>
    </row>
    <row r="872" spans="1:16" x14ac:dyDescent="0.25">
      <c r="A872" s="87">
        <v>6</v>
      </c>
      <c r="B872" s="82"/>
      <c r="C872" s="82"/>
      <c r="D872" s="82"/>
      <c r="E872" s="82"/>
      <c r="F872" s="82"/>
      <c r="G872" s="82"/>
      <c r="H872" s="82"/>
      <c r="I872" s="82"/>
      <c r="J872" s="82"/>
      <c r="K872" s="82"/>
      <c r="L872" s="82"/>
      <c r="M872" s="82"/>
      <c r="N872" s="212"/>
      <c r="P872" s="209"/>
    </row>
    <row r="873" spans="1:16" x14ac:dyDescent="0.25">
      <c r="A873" s="87">
        <v>7</v>
      </c>
      <c r="B873" s="82"/>
      <c r="C873" s="82"/>
      <c r="D873" s="82"/>
      <c r="E873" s="82"/>
      <c r="F873" s="82"/>
      <c r="G873" s="82"/>
      <c r="H873" s="82"/>
      <c r="I873" s="82"/>
      <c r="J873" s="82"/>
      <c r="K873" s="82"/>
      <c r="L873" s="82"/>
      <c r="M873" s="82"/>
      <c r="N873" s="212"/>
      <c r="P873" s="209"/>
    </row>
    <row r="874" spans="1:16" x14ac:dyDescent="0.25">
      <c r="A874" s="87">
        <v>8</v>
      </c>
      <c r="B874" s="82"/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2"/>
      <c r="N874" s="212"/>
      <c r="P874" s="209"/>
    </row>
    <row r="875" spans="1:16" x14ac:dyDescent="0.25">
      <c r="A875" s="87">
        <v>9</v>
      </c>
      <c r="B875" s="82"/>
      <c r="C875" s="82"/>
      <c r="D875" s="82"/>
      <c r="E875" s="82"/>
      <c r="F875" s="82"/>
      <c r="G875" s="82"/>
      <c r="H875" s="82"/>
      <c r="I875" s="82"/>
      <c r="J875" s="82"/>
      <c r="K875" s="82"/>
      <c r="L875" s="82"/>
      <c r="M875" s="82"/>
      <c r="N875" s="212"/>
      <c r="P875" s="209"/>
    </row>
    <row r="876" spans="1:16" ht="13" thickBot="1" x14ac:dyDescent="0.3">
      <c r="A876" s="218">
        <v>10</v>
      </c>
      <c r="B876" s="104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213"/>
      <c r="P876" s="209"/>
    </row>
    <row r="877" spans="1:16" x14ac:dyDescent="0.25">
      <c r="A877" s="3"/>
      <c r="C877" s="3"/>
      <c r="D877" s="3"/>
      <c r="E877" s="3"/>
      <c r="F877" s="3"/>
      <c r="P877" s="209"/>
    </row>
    <row r="878" spans="1:16" ht="13" thickBot="1" x14ac:dyDescent="0.3">
      <c r="A878" s="3"/>
      <c r="C878" s="3"/>
      <c r="D878" s="3"/>
      <c r="E878" s="3"/>
      <c r="F878" s="3"/>
      <c r="P878" s="209"/>
    </row>
    <row r="879" spans="1:16" ht="13" x14ac:dyDescent="0.3">
      <c r="A879" s="74" t="s">
        <v>677</v>
      </c>
      <c r="B879" s="75"/>
      <c r="C879" s="76"/>
      <c r="D879" s="76"/>
      <c r="E879" s="76"/>
      <c r="F879" s="75"/>
      <c r="G879" s="75"/>
      <c r="H879" s="76"/>
      <c r="I879" s="76"/>
      <c r="J879" s="76"/>
      <c r="K879" s="76"/>
      <c r="L879" s="76"/>
      <c r="M879" s="76"/>
      <c r="N879" s="211">
        <v>48</v>
      </c>
      <c r="P879" s="209"/>
    </row>
    <row r="880" spans="1:16" ht="13" x14ac:dyDescent="0.3">
      <c r="A880" s="77" t="s">
        <v>672</v>
      </c>
      <c r="B880" s="41"/>
      <c r="C880" s="41" t="s">
        <v>673</v>
      </c>
      <c r="D880" s="46"/>
      <c r="E880" s="46"/>
      <c r="F880" s="78"/>
      <c r="G880" s="78"/>
      <c r="H880" s="46"/>
      <c r="I880" s="46"/>
      <c r="J880" s="46"/>
      <c r="K880" s="46"/>
      <c r="L880" s="46"/>
      <c r="M880" s="46"/>
      <c r="N880" s="79"/>
      <c r="P880" s="209"/>
    </row>
    <row r="881" spans="1:16" x14ac:dyDescent="0.25">
      <c r="A881" s="80" t="s">
        <v>920</v>
      </c>
      <c r="B881" s="46"/>
      <c r="C881" s="81">
        <v>1947</v>
      </c>
      <c r="D881" s="46"/>
      <c r="E881" s="46"/>
      <c r="F881" s="78"/>
      <c r="G881" s="78"/>
      <c r="H881" s="46"/>
      <c r="I881" s="46"/>
      <c r="J881" s="46"/>
      <c r="K881" s="46"/>
      <c r="L881" s="46"/>
      <c r="M881" s="46"/>
      <c r="N881" s="79"/>
      <c r="P881" s="209">
        <v>879</v>
      </c>
    </row>
    <row r="882" spans="1:16" ht="13" x14ac:dyDescent="0.3">
      <c r="A882" s="77" t="s">
        <v>681</v>
      </c>
      <c r="B882" s="41" t="s">
        <v>680</v>
      </c>
      <c r="C882" s="41" t="s">
        <v>678</v>
      </c>
      <c r="D882" s="41" t="s">
        <v>695</v>
      </c>
      <c r="E882" s="41" t="s">
        <v>679</v>
      </c>
      <c r="F882" s="41" t="s">
        <v>1186</v>
      </c>
      <c r="G882" s="78"/>
      <c r="H882" s="46"/>
      <c r="I882" s="46"/>
      <c r="J882" s="46"/>
      <c r="K882" s="46"/>
      <c r="L882" s="46"/>
      <c r="M882" s="46"/>
      <c r="N882" s="79"/>
      <c r="P882" s="209"/>
    </row>
    <row r="883" spans="1:16" x14ac:dyDescent="0.25">
      <c r="A883" s="80">
        <v>2</v>
      </c>
      <c r="B883" s="78">
        <v>2</v>
      </c>
      <c r="C883" s="82">
        <v>0.12</v>
      </c>
      <c r="D883" s="78">
        <v>38</v>
      </c>
      <c r="E883" s="78">
        <v>81</v>
      </c>
      <c r="F883" s="78">
        <v>1</v>
      </c>
      <c r="G883" s="78"/>
      <c r="H883" s="46"/>
      <c r="I883" s="46"/>
      <c r="J883" s="46"/>
      <c r="K883" s="46"/>
      <c r="L883" s="46"/>
      <c r="M883" s="78" t="s">
        <v>65</v>
      </c>
      <c r="N883" s="83" t="s">
        <v>65</v>
      </c>
      <c r="P883" s="209"/>
    </row>
    <row r="884" spans="1:16" ht="13" x14ac:dyDescent="0.3">
      <c r="A884" s="84"/>
      <c r="B884" s="13"/>
      <c r="C884" s="78" t="s">
        <v>20</v>
      </c>
      <c r="D884" s="78" t="s">
        <v>20</v>
      </c>
      <c r="E884" s="78" t="s">
        <v>20</v>
      </c>
      <c r="F884" s="78"/>
      <c r="G884" s="78" t="s">
        <v>39</v>
      </c>
      <c r="H884" s="78" t="s">
        <v>39</v>
      </c>
      <c r="I884" s="78" t="s">
        <v>39</v>
      </c>
      <c r="J884" s="78" t="s">
        <v>63</v>
      </c>
      <c r="K884" s="78" t="s">
        <v>62</v>
      </c>
      <c r="L884" s="78" t="s">
        <v>39</v>
      </c>
      <c r="M884" s="78" t="s">
        <v>64</v>
      </c>
      <c r="N884" s="83" t="s">
        <v>64</v>
      </c>
      <c r="P884" s="209"/>
    </row>
    <row r="885" spans="1:16" ht="13" x14ac:dyDescent="0.3">
      <c r="A885" s="85" t="s">
        <v>32</v>
      </c>
      <c r="B885" s="5" t="s">
        <v>33</v>
      </c>
      <c r="C885" s="5" t="s">
        <v>34</v>
      </c>
      <c r="D885" s="5" t="s">
        <v>35</v>
      </c>
      <c r="E885" s="5" t="s">
        <v>814</v>
      </c>
      <c r="F885" s="5" t="s">
        <v>816</v>
      </c>
      <c r="G885" s="5" t="s">
        <v>815</v>
      </c>
      <c r="H885" s="5" t="s">
        <v>36</v>
      </c>
      <c r="I885" s="5" t="s">
        <v>66</v>
      </c>
      <c r="J885" s="5" t="s">
        <v>56</v>
      </c>
      <c r="K885" s="5" t="s">
        <v>57</v>
      </c>
      <c r="L885" s="5" t="s">
        <v>58</v>
      </c>
      <c r="M885" s="5" t="s">
        <v>59</v>
      </c>
      <c r="N885" s="86" t="s">
        <v>60</v>
      </c>
      <c r="P885" s="209"/>
    </row>
    <row r="886" spans="1:16" x14ac:dyDescent="0.25">
      <c r="A886" s="87">
        <v>1</v>
      </c>
      <c r="B886" s="82">
        <v>100</v>
      </c>
      <c r="C886" s="82">
        <v>0.45600000000000002</v>
      </c>
      <c r="D886" s="82">
        <v>0.221</v>
      </c>
      <c r="E886" s="82">
        <v>0.09</v>
      </c>
      <c r="F886" s="82">
        <v>0.03</v>
      </c>
      <c r="G886" s="82">
        <v>0.1162</v>
      </c>
      <c r="H886" s="82">
        <v>0.3</v>
      </c>
      <c r="I886" s="82">
        <v>0.26</v>
      </c>
      <c r="J886" s="82">
        <v>1.39</v>
      </c>
      <c r="K886" s="82">
        <v>0.12039999999999998</v>
      </c>
      <c r="L886" s="82">
        <v>0.1</v>
      </c>
      <c r="M886" s="82">
        <v>106.20075368276807</v>
      </c>
      <c r="N886" s="212">
        <v>0</v>
      </c>
      <c r="P886" s="209"/>
    </row>
    <row r="887" spans="1:16" x14ac:dyDescent="0.25">
      <c r="A887" s="87">
        <v>2</v>
      </c>
      <c r="B887" s="82">
        <v>0</v>
      </c>
      <c r="C887" s="82" t="s">
        <v>39</v>
      </c>
      <c r="D887" s="82" t="s">
        <v>39</v>
      </c>
      <c r="E887" s="82" t="s">
        <v>39</v>
      </c>
      <c r="F887" s="82" t="e">
        <v>#VALUE!</v>
      </c>
      <c r="G887" s="82" t="e">
        <v>#VALUE!</v>
      </c>
      <c r="H887" s="82" t="s">
        <v>39</v>
      </c>
      <c r="I887" s="82" t="e">
        <v>#VALUE!</v>
      </c>
      <c r="J887" s="82" t="s">
        <v>39</v>
      </c>
      <c r="K887" s="82" t="s">
        <v>39</v>
      </c>
      <c r="L887" s="82">
        <v>0.1</v>
      </c>
      <c r="M887" s="82" t="e">
        <v>#VALUE!</v>
      </c>
      <c r="N887" s="212">
        <v>0</v>
      </c>
      <c r="P887" s="209" t="s">
        <v>966</v>
      </c>
    </row>
    <row r="888" spans="1:16" x14ac:dyDescent="0.25">
      <c r="A888" s="87">
        <v>3</v>
      </c>
      <c r="B888" s="82"/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2"/>
      <c r="N888" s="212"/>
      <c r="P888" s="209"/>
    </row>
    <row r="889" spans="1:16" x14ac:dyDescent="0.25">
      <c r="A889" s="87">
        <v>4</v>
      </c>
      <c r="B889" s="82"/>
      <c r="C889" s="82"/>
      <c r="D889" s="82"/>
      <c r="E889" s="82"/>
      <c r="F889" s="82"/>
      <c r="G889" s="82"/>
      <c r="H889" s="82"/>
      <c r="I889" s="82"/>
      <c r="J889" s="82"/>
      <c r="K889" s="82"/>
      <c r="L889" s="82"/>
      <c r="M889" s="82"/>
      <c r="N889" s="212"/>
      <c r="P889" s="209"/>
    </row>
    <row r="890" spans="1:16" x14ac:dyDescent="0.25">
      <c r="A890" s="87">
        <v>5</v>
      </c>
      <c r="B890" s="82"/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2"/>
      <c r="N890" s="212"/>
      <c r="P890" s="209"/>
    </row>
    <row r="891" spans="1:16" x14ac:dyDescent="0.25">
      <c r="A891" s="87">
        <v>6</v>
      </c>
      <c r="B891" s="82"/>
      <c r="C891" s="82"/>
      <c r="D891" s="82"/>
      <c r="E891" s="82"/>
      <c r="F891" s="82"/>
      <c r="G891" s="82"/>
      <c r="H891" s="82"/>
      <c r="I891" s="82"/>
      <c r="J891" s="82"/>
      <c r="K891" s="82"/>
      <c r="L891" s="82"/>
      <c r="M891" s="82"/>
      <c r="N891" s="212"/>
      <c r="P891" s="209"/>
    </row>
    <row r="892" spans="1:16" x14ac:dyDescent="0.25">
      <c r="A892" s="87">
        <v>7</v>
      </c>
      <c r="B892" s="82"/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2"/>
      <c r="N892" s="212"/>
      <c r="P892" s="209"/>
    </row>
    <row r="893" spans="1:16" x14ac:dyDescent="0.25">
      <c r="A893" s="87">
        <v>8</v>
      </c>
      <c r="B893" s="82"/>
      <c r="C893" s="82"/>
      <c r="D893" s="82"/>
      <c r="E893" s="82"/>
      <c r="F893" s="82"/>
      <c r="G893" s="82"/>
      <c r="H893" s="82"/>
      <c r="I893" s="82"/>
      <c r="J893" s="82"/>
      <c r="K893" s="82"/>
      <c r="L893" s="82"/>
      <c r="M893" s="82"/>
      <c r="N893" s="212"/>
      <c r="P893" s="209"/>
    </row>
    <row r="894" spans="1:16" x14ac:dyDescent="0.25">
      <c r="A894" s="87">
        <v>9</v>
      </c>
      <c r="B894" s="82"/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2"/>
      <c r="N894" s="212"/>
      <c r="P894" s="209"/>
    </row>
    <row r="895" spans="1:16" ht="13" thickBot="1" x14ac:dyDescent="0.3">
      <c r="A895" s="218">
        <v>10</v>
      </c>
      <c r="B895" s="104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213"/>
      <c r="P895" s="209"/>
    </row>
    <row r="896" spans="1:16" x14ac:dyDescent="0.25">
      <c r="A896" s="3"/>
      <c r="C896" s="3"/>
      <c r="D896" s="3"/>
      <c r="E896" s="3"/>
      <c r="F896" s="3"/>
      <c r="P896" s="209"/>
    </row>
    <row r="897" spans="1:16" ht="13" thickBot="1" x14ac:dyDescent="0.3">
      <c r="A897" s="3"/>
      <c r="C897" s="3"/>
      <c r="D897" s="3"/>
      <c r="E897" s="3"/>
      <c r="F897" s="3"/>
      <c r="P897" s="209"/>
    </row>
    <row r="898" spans="1:16" ht="13" x14ac:dyDescent="0.3">
      <c r="A898" s="74" t="s">
        <v>677</v>
      </c>
      <c r="B898" s="75"/>
      <c r="C898" s="76"/>
      <c r="D898" s="76"/>
      <c r="E898" s="76"/>
      <c r="F898" s="75"/>
      <c r="G898" s="75"/>
      <c r="H898" s="76"/>
      <c r="I898" s="76"/>
      <c r="J898" s="76"/>
      <c r="K898" s="76"/>
      <c r="L898" s="76"/>
      <c r="M898" s="76"/>
      <c r="N898" s="211">
        <v>49</v>
      </c>
      <c r="P898" s="209"/>
    </row>
    <row r="899" spans="1:16" ht="13" x14ac:dyDescent="0.3">
      <c r="A899" s="77" t="s">
        <v>672</v>
      </c>
      <c r="B899" s="41"/>
      <c r="C899" s="41" t="s">
        <v>673</v>
      </c>
      <c r="D899" s="46"/>
      <c r="E899" s="46"/>
      <c r="F899" s="78"/>
      <c r="G899" s="78"/>
      <c r="H899" s="46"/>
      <c r="I899" s="46"/>
      <c r="J899" s="46"/>
      <c r="K899" s="46"/>
      <c r="L899" s="46"/>
      <c r="M899" s="46"/>
      <c r="N899" s="79"/>
      <c r="P899" s="209"/>
    </row>
    <row r="900" spans="1:16" x14ac:dyDescent="0.25">
      <c r="A900" s="80" t="s">
        <v>922</v>
      </c>
      <c r="B900" s="46"/>
      <c r="C900" s="81">
        <v>1342</v>
      </c>
      <c r="D900" s="46"/>
      <c r="E900" s="46"/>
      <c r="F900" s="78"/>
      <c r="G900" s="78"/>
      <c r="H900" s="46"/>
      <c r="I900" s="46"/>
      <c r="J900" s="46"/>
      <c r="K900" s="46"/>
      <c r="L900" s="46"/>
      <c r="M900" s="46"/>
      <c r="N900" s="79"/>
      <c r="P900" s="209">
        <v>898</v>
      </c>
    </row>
    <row r="901" spans="1:16" ht="13" x14ac:dyDescent="0.3">
      <c r="A901" s="77" t="s">
        <v>681</v>
      </c>
      <c r="B901" s="41" t="s">
        <v>680</v>
      </c>
      <c r="C901" s="41" t="s">
        <v>678</v>
      </c>
      <c r="D901" s="41" t="s">
        <v>695</v>
      </c>
      <c r="E901" s="41" t="s">
        <v>679</v>
      </c>
      <c r="F901" s="41" t="s">
        <v>1186</v>
      </c>
      <c r="G901" s="78"/>
      <c r="H901" s="46"/>
      <c r="I901" s="46"/>
      <c r="J901" s="46"/>
      <c r="K901" s="46"/>
      <c r="L901" s="46"/>
      <c r="M901" s="46"/>
      <c r="N901" s="79"/>
      <c r="P901" s="209"/>
    </row>
    <row r="902" spans="1:16" x14ac:dyDescent="0.25">
      <c r="A902" s="80">
        <v>2</v>
      </c>
      <c r="B902" s="78">
        <v>2</v>
      </c>
      <c r="C902" s="82">
        <v>0.12</v>
      </c>
      <c r="D902" s="78">
        <v>37</v>
      </c>
      <c r="E902" s="78">
        <v>81</v>
      </c>
      <c r="F902" s="78">
        <v>1</v>
      </c>
      <c r="G902" s="78"/>
      <c r="H902" s="46"/>
      <c r="I902" s="46"/>
      <c r="J902" s="46"/>
      <c r="K902" s="46"/>
      <c r="L902" s="46"/>
      <c r="M902" s="78" t="s">
        <v>65</v>
      </c>
      <c r="N902" s="83" t="s">
        <v>65</v>
      </c>
      <c r="P902" s="209"/>
    </row>
    <row r="903" spans="1:16" ht="13" x14ac:dyDescent="0.3">
      <c r="A903" s="84"/>
      <c r="B903" s="13"/>
      <c r="C903" s="78" t="s">
        <v>20</v>
      </c>
      <c r="D903" s="78" t="s">
        <v>20</v>
      </c>
      <c r="E903" s="78" t="s">
        <v>20</v>
      </c>
      <c r="F903" s="78"/>
      <c r="G903" s="78" t="s">
        <v>39</v>
      </c>
      <c r="H903" s="78" t="s">
        <v>39</v>
      </c>
      <c r="I903" s="78" t="s">
        <v>39</v>
      </c>
      <c r="J903" s="78" t="s">
        <v>63</v>
      </c>
      <c r="K903" s="78" t="s">
        <v>62</v>
      </c>
      <c r="L903" s="78" t="s">
        <v>39</v>
      </c>
      <c r="M903" s="78" t="s">
        <v>64</v>
      </c>
      <c r="N903" s="83" t="s">
        <v>64</v>
      </c>
      <c r="P903" s="209"/>
    </row>
    <row r="904" spans="1:16" ht="13" x14ac:dyDescent="0.3">
      <c r="A904" s="85" t="s">
        <v>32</v>
      </c>
      <c r="B904" s="5" t="s">
        <v>33</v>
      </c>
      <c r="C904" s="5" t="s">
        <v>34</v>
      </c>
      <c r="D904" s="5" t="s">
        <v>35</v>
      </c>
      <c r="E904" s="5" t="s">
        <v>814</v>
      </c>
      <c r="F904" s="5" t="s">
        <v>816</v>
      </c>
      <c r="G904" s="5" t="s">
        <v>815</v>
      </c>
      <c r="H904" s="5" t="s">
        <v>36</v>
      </c>
      <c r="I904" s="5" t="s">
        <v>66</v>
      </c>
      <c r="J904" s="5" t="s">
        <v>56</v>
      </c>
      <c r="K904" s="5" t="s">
        <v>57</v>
      </c>
      <c r="L904" s="5" t="s">
        <v>58</v>
      </c>
      <c r="M904" s="5" t="s">
        <v>59</v>
      </c>
      <c r="N904" s="86" t="s">
        <v>60</v>
      </c>
      <c r="P904" s="209"/>
    </row>
    <row r="905" spans="1:16" x14ac:dyDescent="0.25">
      <c r="A905" s="87">
        <v>1</v>
      </c>
      <c r="B905" s="82">
        <v>300</v>
      </c>
      <c r="C905" s="82">
        <v>0.41699999999999998</v>
      </c>
      <c r="D905" s="82">
        <v>0.23499999999999999</v>
      </c>
      <c r="E905" s="82">
        <v>0.10299999999999999</v>
      </c>
      <c r="F905" s="82">
        <v>3.4333333333333334E-2</v>
      </c>
      <c r="G905" s="82">
        <v>0.12939999999999999</v>
      </c>
      <c r="H905" s="82">
        <v>0.3</v>
      </c>
      <c r="I905" s="82">
        <v>0.1</v>
      </c>
      <c r="J905" s="82">
        <v>1.41</v>
      </c>
      <c r="K905" s="82">
        <v>5.1599999999999993E-2</v>
      </c>
      <c r="L905" s="82">
        <v>0.1</v>
      </c>
      <c r="M905" s="82">
        <v>34.898120004502985</v>
      </c>
      <c r="N905" s="212">
        <v>0</v>
      </c>
      <c r="P905" s="209"/>
    </row>
    <row r="906" spans="1:16" x14ac:dyDescent="0.25">
      <c r="A906" s="87">
        <v>2</v>
      </c>
      <c r="B906" s="82">
        <v>700</v>
      </c>
      <c r="C906" s="82">
        <v>0.41</v>
      </c>
      <c r="D906" s="82">
        <v>0.23699999999999999</v>
      </c>
      <c r="E906" s="82">
        <v>0.105</v>
      </c>
      <c r="F906" s="82">
        <v>3.4999999999999996E-2</v>
      </c>
      <c r="G906" s="82">
        <v>0.13139999999999999</v>
      </c>
      <c r="H906" s="82">
        <v>0.3</v>
      </c>
      <c r="I906" s="82">
        <v>0.11</v>
      </c>
      <c r="J906" s="82">
        <v>1.42</v>
      </c>
      <c r="K906" s="82">
        <v>3.44E-2</v>
      </c>
      <c r="L906" s="82">
        <v>0.1</v>
      </c>
      <c r="M906" s="82">
        <v>7.4255054134329788</v>
      </c>
      <c r="N906" s="212">
        <v>0</v>
      </c>
      <c r="P906" s="209" t="s">
        <v>966</v>
      </c>
    </row>
    <row r="907" spans="1:16" x14ac:dyDescent="0.25">
      <c r="A907" s="87">
        <v>3</v>
      </c>
      <c r="B907" s="82"/>
      <c r="C907" s="82"/>
      <c r="D907" s="82"/>
      <c r="E907" s="82"/>
      <c r="F907" s="82"/>
      <c r="G907" s="82"/>
      <c r="H907" s="82"/>
      <c r="I907" s="82"/>
      <c r="J907" s="82"/>
      <c r="K907" s="82"/>
      <c r="L907" s="82"/>
      <c r="M907" s="82"/>
      <c r="N907" s="212"/>
      <c r="P907" s="209"/>
    </row>
    <row r="908" spans="1:16" x14ac:dyDescent="0.25">
      <c r="A908" s="87">
        <v>4</v>
      </c>
      <c r="B908" s="82"/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2"/>
      <c r="N908" s="212"/>
      <c r="P908" s="209"/>
    </row>
    <row r="909" spans="1:16" x14ac:dyDescent="0.25">
      <c r="A909" s="87">
        <v>5</v>
      </c>
      <c r="B909" s="82"/>
      <c r="C909" s="82"/>
      <c r="D909" s="82"/>
      <c r="E909" s="82"/>
      <c r="F909" s="82"/>
      <c r="G909" s="82"/>
      <c r="H909" s="82"/>
      <c r="I909" s="82"/>
      <c r="J909" s="82"/>
      <c r="K909" s="82"/>
      <c r="L909" s="82"/>
      <c r="M909" s="82"/>
      <c r="N909" s="212"/>
      <c r="P909" s="209"/>
    </row>
    <row r="910" spans="1:16" x14ac:dyDescent="0.25">
      <c r="A910" s="87">
        <v>6</v>
      </c>
      <c r="B910" s="82"/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2"/>
      <c r="N910" s="212"/>
      <c r="P910" s="209"/>
    </row>
    <row r="911" spans="1:16" x14ac:dyDescent="0.25">
      <c r="A911" s="87">
        <v>7</v>
      </c>
      <c r="B911" s="82"/>
      <c r="C911" s="82"/>
      <c r="D911" s="82"/>
      <c r="E911" s="82"/>
      <c r="F911" s="82"/>
      <c r="G911" s="82"/>
      <c r="H911" s="82"/>
      <c r="I911" s="82"/>
      <c r="J911" s="82"/>
      <c r="K911" s="82"/>
      <c r="L911" s="82"/>
      <c r="M911" s="82"/>
      <c r="N911" s="212"/>
      <c r="P911" s="209"/>
    </row>
    <row r="912" spans="1:16" x14ac:dyDescent="0.25">
      <c r="A912" s="87">
        <v>8</v>
      </c>
      <c r="B912" s="82"/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2"/>
      <c r="N912" s="212"/>
      <c r="P912" s="209"/>
    </row>
    <row r="913" spans="1:16" x14ac:dyDescent="0.25">
      <c r="A913" s="87">
        <v>9</v>
      </c>
      <c r="B913" s="82"/>
      <c r="C913" s="82"/>
      <c r="D913" s="82"/>
      <c r="E913" s="82"/>
      <c r="F913" s="82"/>
      <c r="G913" s="82"/>
      <c r="H913" s="82"/>
      <c r="I913" s="82"/>
      <c r="J913" s="82"/>
      <c r="K913" s="82"/>
      <c r="L913" s="82"/>
      <c r="M913" s="82"/>
      <c r="N913" s="212"/>
      <c r="P913" s="209"/>
    </row>
    <row r="914" spans="1:16" ht="13" thickBot="1" x14ac:dyDescent="0.3">
      <c r="A914" s="218">
        <v>10</v>
      </c>
      <c r="B914" s="104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213"/>
      <c r="P914" s="209"/>
    </row>
    <row r="915" spans="1:16" x14ac:dyDescent="0.25">
      <c r="A915" s="3"/>
      <c r="C915" s="3"/>
      <c r="D915" s="3"/>
      <c r="E915" s="3"/>
      <c r="F915" s="3"/>
      <c r="P915" s="209"/>
    </row>
    <row r="916" spans="1:16" ht="13" thickBot="1" x14ac:dyDescent="0.3">
      <c r="A916" s="3"/>
      <c r="C916" s="3"/>
      <c r="D916" s="3"/>
      <c r="E916" s="3"/>
      <c r="F916" s="3"/>
      <c r="P916" s="209"/>
    </row>
    <row r="917" spans="1:16" ht="13" x14ac:dyDescent="0.3">
      <c r="A917" s="74" t="s">
        <v>677</v>
      </c>
      <c r="B917" s="75"/>
      <c r="C917" s="76"/>
      <c r="D917" s="76"/>
      <c r="E917" s="76"/>
      <c r="F917" s="75"/>
      <c r="G917" s="75"/>
      <c r="H917" s="76"/>
      <c r="I917" s="76"/>
      <c r="J917" s="76"/>
      <c r="K917" s="76"/>
      <c r="L917" s="76"/>
      <c r="M917" s="76"/>
      <c r="N917" s="211">
        <v>50</v>
      </c>
      <c r="P917" s="209"/>
    </row>
    <row r="918" spans="1:16" ht="13" x14ac:dyDescent="0.3">
      <c r="A918" s="77" t="s">
        <v>672</v>
      </c>
      <c r="B918" s="41"/>
      <c r="C918" s="41" t="s">
        <v>673</v>
      </c>
      <c r="D918" s="46"/>
      <c r="E918" s="46"/>
      <c r="F918" s="78"/>
      <c r="G918" s="78"/>
      <c r="H918" s="46"/>
      <c r="I918" s="46"/>
      <c r="J918" s="46"/>
      <c r="K918" s="46"/>
      <c r="L918" s="46"/>
      <c r="M918" s="46"/>
      <c r="N918" s="79"/>
      <c r="P918" s="209"/>
    </row>
    <row r="919" spans="1:16" x14ac:dyDescent="0.25">
      <c r="A919" s="80" t="s">
        <v>924</v>
      </c>
      <c r="B919" s="46"/>
      <c r="C919" s="81">
        <v>1111</v>
      </c>
      <c r="D919" s="46"/>
      <c r="E919" s="46"/>
      <c r="F919" s="78"/>
      <c r="G919" s="78"/>
      <c r="H919" s="46"/>
      <c r="I919" s="46"/>
      <c r="J919" s="46"/>
      <c r="K919" s="46"/>
      <c r="L919" s="46"/>
      <c r="M919" s="46"/>
      <c r="N919" s="79"/>
      <c r="P919" s="209">
        <v>917</v>
      </c>
    </row>
    <row r="920" spans="1:16" ht="13" x14ac:dyDescent="0.3">
      <c r="A920" s="77" t="s">
        <v>681</v>
      </c>
      <c r="B920" s="41" t="s">
        <v>680</v>
      </c>
      <c r="C920" s="41" t="s">
        <v>678</v>
      </c>
      <c r="D920" s="41" t="s">
        <v>695</v>
      </c>
      <c r="E920" s="41" t="s">
        <v>679</v>
      </c>
      <c r="F920" s="41" t="s">
        <v>1186</v>
      </c>
      <c r="G920" s="78"/>
      <c r="H920" s="46"/>
      <c r="I920" s="46"/>
      <c r="J920" s="46"/>
      <c r="K920" s="46"/>
      <c r="L920" s="46"/>
      <c r="M920" s="46"/>
      <c r="N920" s="79"/>
      <c r="P920" s="209"/>
    </row>
    <row r="921" spans="1:16" x14ac:dyDescent="0.25">
      <c r="A921" s="80">
        <v>2</v>
      </c>
      <c r="B921" s="78">
        <v>2</v>
      </c>
      <c r="C921" s="82">
        <v>0.12</v>
      </c>
      <c r="D921" s="78">
        <v>36</v>
      </c>
      <c r="E921" s="78">
        <v>81</v>
      </c>
      <c r="F921" s="78">
        <v>1</v>
      </c>
      <c r="G921" s="78"/>
      <c r="H921" s="46"/>
      <c r="I921" s="46"/>
      <c r="J921" s="46"/>
      <c r="K921" s="46"/>
      <c r="L921" s="46"/>
      <c r="M921" s="78" t="s">
        <v>65</v>
      </c>
      <c r="N921" s="83" t="s">
        <v>65</v>
      </c>
      <c r="P921" s="209"/>
    </row>
    <row r="922" spans="1:16" ht="13" x14ac:dyDescent="0.3">
      <c r="A922" s="84"/>
      <c r="B922" s="13"/>
      <c r="C922" s="78" t="s">
        <v>20</v>
      </c>
      <c r="D922" s="78" t="s">
        <v>20</v>
      </c>
      <c r="E922" s="78" t="s">
        <v>20</v>
      </c>
      <c r="F922" s="78"/>
      <c r="G922" s="78" t="s">
        <v>39</v>
      </c>
      <c r="H922" s="78" t="s">
        <v>39</v>
      </c>
      <c r="I922" s="78" t="s">
        <v>39</v>
      </c>
      <c r="J922" s="78" t="s">
        <v>63</v>
      </c>
      <c r="K922" s="78" t="s">
        <v>62</v>
      </c>
      <c r="L922" s="78" t="s">
        <v>39</v>
      </c>
      <c r="M922" s="78" t="s">
        <v>64</v>
      </c>
      <c r="N922" s="83" t="s">
        <v>64</v>
      </c>
      <c r="P922" s="209"/>
    </row>
    <row r="923" spans="1:16" ht="13" x14ac:dyDescent="0.3">
      <c r="A923" s="85" t="s">
        <v>32</v>
      </c>
      <c r="B923" s="5" t="s">
        <v>33</v>
      </c>
      <c r="C923" s="5" t="s">
        <v>34</v>
      </c>
      <c r="D923" s="5" t="s">
        <v>35</v>
      </c>
      <c r="E923" s="5" t="s">
        <v>814</v>
      </c>
      <c r="F923" s="5" t="s">
        <v>816</v>
      </c>
      <c r="G923" s="5" t="s">
        <v>815</v>
      </c>
      <c r="H923" s="5" t="s">
        <v>36</v>
      </c>
      <c r="I923" s="5" t="s">
        <v>66</v>
      </c>
      <c r="J923" s="5" t="s">
        <v>56</v>
      </c>
      <c r="K923" s="5" t="s">
        <v>57</v>
      </c>
      <c r="L923" s="5" t="s">
        <v>58</v>
      </c>
      <c r="M923" s="5" t="s">
        <v>59</v>
      </c>
      <c r="N923" s="86" t="s">
        <v>60</v>
      </c>
      <c r="P923" s="209"/>
    </row>
    <row r="924" spans="1:16" x14ac:dyDescent="0.25">
      <c r="A924" s="87">
        <v>1</v>
      </c>
      <c r="B924" s="82">
        <v>300</v>
      </c>
      <c r="C924" s="82">
        <v>0.40899999999999997</v>
      </c>
      <c r="D924" s="82">
        <v>0.24299999999999999</v>
      </c>
      <c r="E924" s="82">
        <v>0.111</v>
      </c>
      <c r="F924" s="82">
        <v>3.6999999999999998E-2</v>
      </c>
      <c r="G924" s="82">
        <v>0.13739999999999999</v>
      </c>
      <c r="H924" s="82">
        <v>0.3</v>
      </c>
      <c r="I924" s="82">
        <v>0.1</v>
      </c>
      <c r="J924" s="82">
        <v>1.4</v>
      </c>
      <c r="K924" s="82">
        <v>5.4179999999999999E-2</v>
      </c>
      <c r="L924" s="82">
        <v>0.1</v>
      </c>
      <c r="M924" s="82">
        <v>35.147392290249435</v>
      </c>
      <c r="N924" s="212">
        <v>0</v>
      </c>
      <c r="P924" s="209"/>
    </row>
    <row r="925" spans="1:16" x14ac:dyDescent="0.25">
      <c r="A925" s="87">
        <v>2</v>
      </c>
      <c r="B925" s="82">
        <v>700</v>
      </c>
      <c r="C925" s="82">
        <v>0.39500000000000002</v>
      </c>
      <c r="D925" s="82">
        <v>0.255</v>
      </c>
      <c r="E925" s="82">
        <v>0.123</v>
      </c>
      <c r="F925" s="82">
        <v>4.1000000000000002E-2</v>
      </c>
      <c r="G925" s="82">
        <v>0.14940000000000001</v>
      </c>
      <c r="H925" s="82">
        <v>0.3</v>
      </c>
      <c r="I925" s="82">
        <v>0.1</v>
      </c>
      <c r="J925" s="82">
        <v>1.38</v>
      </c>
      <c r="K925" s="82">
        <v>3.6979999999999999E-2</v>
      </c>
      <c r="L925" s="82">
        <v>0.1</v>
      </c>
      <c r="M925" s="82">
        <v>7.6407374544020525</v>
      </c>
      <c r="N925" s="212">
        <v>0</v>
      </c>
      <c r="P925" s="209" t="s">
        <v>966</v>
      </c>
    </row>
    <row r="926" spans="1:16" x14ac:dyDescent="0.25">
      <c r="A926" s="87">
        <v>3</v>
      </c>
      <c r="B926" s="82"/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2"/>
      <c r="N926" s="212"/>
      <c r="P926" s="209"/>
    </row>
    <row r="927" spans="1:16" x14ac:dyDescent="0.25">
      <c r="A927" s="87">
        <v>4</v>
      </c>
      <c r="B927" s="82"/>
      <c r="C927" s="82"/>
      <c r="D927" s="82"/>
      <c r="E927" s="82"/>
      <c r="F927" s="82"/>
      <c r="G927" s="82"/>
      <c r="H927" s="82"/>
      <c r="I927" s="82"/>
      <c r="J927" s="82"/>
      <c r="K927" s="82"/>
      <c r="L927" s="82"/>
      <c r="M927" s="82"/>
      <c r="N927" s="212"/>
      <c r="P927" s="209"/>
    </row>
    <row r="928" spans="1:16" x14ac:dyDescent="0.25">
      <c r="A928" s="87">
        <v>5</v>
      </c>
      <c r="B928" s="82"/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2"/>
      <c r="N928" s="212"/>
      <c r="P928" s="209"/>
    </row>
    <row r="929" spans="1:16" x14ac:dyDescent="0.25">
      <c r="A929" s="87">
        <v>6</v>
      </c>
      <c r="B929" s="82"/>
      <c r="C929" s="82"/>
      <c r="D929" s="82"/>
      <c r="E929" s="82"/>
      <c r="F929" s="82"/>
      <c r="G929" s="82"/>
      <c r="H929" s="82"/>
      <c r="I929" s="82"/>
      <c r="J929" s="82"/>
      <c r="K929" s="82"/>
      <c r="L929" s="82"/>
      <c r="M929" s="82"/>
      <c r="N929" s="212"/>
      <c r="P929" s="209"/>
    </row>
    <row r="930" spans="1:16" x14ac:dyDescent="0.25">
      <c r="A930" s="87">
        <v>7</v>
      </c>
      <c r="B930" s="82"/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2"/>
      <c r="N930" s="212"/>
      <c r="P930" s="209"/>
    </row>
    <row r="931" spans="1:16" x14ac:dyDescent="0.25">
      <c r="A931" s="87">
        <v>8</v>
      </c>
      <c r="B931" s="82"/>
      <c r="C931" s="82"/>
      <c r="D931" s="82"/>
      <c r="E931" s="82"/>
      <c r="F931" s="82"/>
      <c r="G931" s="82"/>
      <c r="H931" s="82"/>
      <c r="I931" s="82"/>
      <c r="J931" s="82"/>
      <c r="K931" s="82"/>
      <c r="L931" s="82"/>
      <c r="M931" s="82"/>
      <c r="N931" s="212"/>
      <c r="P931" s="209"/>
    </row>
    <row r="932" spans="1:16" x14ac:dyDescent="0.25">
      <c r="A932" s="87">
        <v>9</v>
      </c>
      <c r="B932" s="82"/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2"/>
      <c r="N932" s="212"/>
      <c r="P932" s="209"/>
    </row>
    <row r="933" spans="1:16" ht="13" thickBot="1" x14ac:dyDescent="0.3">
      <c r="A933" s="218">
        <v>10</v>
      </c>
      <c r="B933" s="104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213"/>
      <c r="P933" s="209"/>
    </row>
    <row r="934" spans="1:16" x14ac:dyDescent="0.25">
      <c r="A934" s="3"/>
      <c r="C934" s="3"/>
      <c r="D934" s="3"/>
      <c r="E934" s="3"/>
      <c r="F934" s="3"/>
      <c r="P934" s="209"/>
    </row>
    <row r="935" spans="1:16" ht="13" thickBot="1" x14ac:dyDescent="0.3">
      <c r="A935" s="3"/>
      <c r="C935" s="3"/>
      <c r="D935" s="3"/>
      <c r="E935" s="3"/>
      <c r="F935" s="3"/>
      <c r="P935" s="209"/>
    </row>
    <row r="936" spans="1:16" ht="13" x14ac:dyDescent="0.3">
      <c r="A936" s="74" t="s">
        <v>677</v>
      </c>
      <c r="B936" s="75"/>
      <c r="C936" s="76"/>
      <c r="D936" s="76"/>
      <c r="E936" s="76"/>
      <c r="F936" s="75"/>
      <c r="G936" s="75"/>
      <c r="H936" s="76"/>
      <c r="I936" s="76"/>
      <c r="J936" s="76"/>
      <c r="K936" s="76"/>
      <c r="L936" s="76"/>
      <c r="M936" s="76"/>
      <c r="N936" s="211">
        <v>51</v>
      </c>
      <c r="P936" s="209"/>
    </row>
    <row r="937" spans="1:16" ht="13" x14ac:dyDescent="0.3">
      <c r="A937" s="77" t="s">
        <v>672</v>
      </c>
      <c r="B937" s="41"/>
      <c r="C937" s="41" t="s">
        <v>673</v>
      </c>
      <c r="D937" s="46"/>
      <c r="E937" s="46"/>
      <c r="F937" s="78"/>
      <c r="G937" s="78"/>
      <c r="H937" s="46"/>
      <c r="I937" s="46"/>
      <c r="J937" s="46"/>
      <c r="K937" s="46"/>
      <c r="L937" s="46"/>
      <c r="M937" s="46"/>
      <c r="N937" s="79"/>
      <c r="P937" s="209"/>
    </row>
    <row r="938" spans="1:16" x14ac:dyDescent="0.25">
      <c r="A938" s="80" t="s">
        <v>926</v>
      </c>
      <c r="B938" s="46"/>
      <c r="C938" s="81">
        <v>1807</v>
      </c>
      <c r="D938" s="46"/>
      <c r="E938" s="46"/>
      <c r="F938" s="78"/>
      <c r="G938" s="78"/>
      <c r="H938" s="46"/>
      <c r="I938" s="46"/>
      <c r="J938" s="46"/>
      <c r="K938" s="46"/>
      <c r="L938" s="46"/>
      <c r="M938" s="46"/>
      <c r="N938" s="79"/>
      <c r="P938" s="209">
        <v>936</v>
      </c>
    </row>
    <row r="939" spans="1:16" ht="13" x14ac:dyDescent="0.3">
      <c r="A939" s="77" t="s">
        <v>681</v>
      </c>
      <c r="B939" s="41" t="s">
        <v>680</v>
      </c>
      <c r="C939" s="41" t="s">
        <v>678</v>
      </c>
      <c r="D939" s="41" t="s">
        <v>695</v>
      </c>
      <c r="E939" s="41" t="s">
        <v>679</v>
      </c>
      <c r="F939" s="41" t="s">
        <v>1186</v>
      </c>
      <c r="G939" s="78"/>
      <c r="H939" s="46"/>
      <c r="I939" s="46"/>
      <c r="J939" s="46"/>
      <c r="K939" s="46"/>
      <c r="L939" s="46"/>
      <c r="M939" s="46"/>
      <c r="N939" s="79"/>
      <c r="P939" s="209"/>
    </row>
    <row r="940" spans="1:16" x14ac:dyDescent="0.25">
      <c r="A940" s="80">
        <v>2</v>
      </c>
      <c r="B940" s="78">
        <v>2</v>
      </c>
      <c r="C940" s="82">
        <v>0.12</v>
      </c>
      <c r="D940" s="78">
        <v>33</v>
      </c>
      <c r="E940" s="78">
        <v>81</v>
      </c>
      <c r="F940" s="78">
        <v>1</v>
      </c>
      <c r="G940" s="78"/>
      <c r="H940" s="46"/>
      <c r="I940" s="46"/>
      <c r="J940" s="46"/>
      <c r="K940" s="46"/>
      <c r="L940" s="46"/>
      <c r="M940" s="78" t="s">
        <v>65</v>
      </c>
      <c r="N940" s="83" t="s">
        <v>65</v>
      </c>
      <c r="P940" s="209"/>
    </row>
    <row r="941" spans="1:16" ht="13" x14ac:dyDescent="0.3">
      <c r="A941" s="84"/>
      <c r="B941" s="13"/>
      <c r="C941" s="78" t="s">
        <v>20</v>
      </c>
      <c r="D941" s="78" t="s">
        <v>20</v>
      </c>
      <c r="E941" s="78" t="s">
        <v>20</v>
      </c>
      <c r="F941" s="78"/>
      <c r="G941" s="78" t="s">
        <v>39</v>
      </c>
      <c r="H941" s="78" t="s">
        <v>39</v>
      </c>
      <c r="I941" s="78" t="s">
        <v>39</v>
      </c>
      <c r="J941" s="78" t="s">
        <v>63</v>
      </c>
      <c r="K941" s="78" t="s">
        <v>62</v>
      </c>
      <c r="L941" s="78" t="s">
        <v>39</v>
      </c>
      <c r="M941" s="78" t="s">
        <v>64</v>
      </c>
      <c r="N941" s="83" t="s">
        <v>64</v>
      </c>
      <c r="P941" s="209"/>
    </row>
    <row r="942" spans="1:16" ht="13" x14ac:dyDescent="0.3">
      <c r="A942" s="85" t="s">
        <v>32</v>
      </c>
      <c r="B942" s="5" t="s">
        <v>33</v>
      </c>
      <c r="C942" s="5" t="s">
        <v>34</v>
      </c>
      <c r="D942" s="5" t="s">
        <v>35</v>
      </c>
      <c r="E942" s="5" t="s">
        <v>814</v>
      </c>
      <c r="F942" s="5" t="s">
        <v>816</v>
      </c>
      <c r="G942" s="5" t="s">
        <v>815</v>
      </c>
      <c r="H942" s="5" t="s">
        <v>36</v>
      </c>
      <c r="I942" s="5" t="s">
        <v>66</v>
      </c>
      <c r="J942" s="5" t="s">
        <v>56</v>
      </c>
      <c r="K942" s="5" t="s">
        <v>57</v>
      </c>
      <c r="L942" s="5" t="s">
        <v>58</v>
      </c>
      <c r="M942" s="5" t="s">
        <v>59</v>
      </c>
      <c r="N942" s="86" t="s">
        <v>60</v>
      </c>
      <c r="P942" s="209"/>
    </row>
    <row r="943" spans="1:16" x14ac:dyDescent="0.25">
      <c r="A943" s="87">
        <v>1</v>
      </c>
      <c r="B943" s="82">
        <v>300</v>
      </c>
      <c r="C943" s="82">
        <v>0.378</v>
      </c>
      <c r="D943" s="82">
        <v>0.255</v>
      </c>
      <c r="E943" s="82">
        <v>0.123</v>
      </c>
      <c r="F943" s="82">
        <v>4.1000000000000002E-2</v>
      </c>
      <c r="G943" s="82">
        <v>0.14940000000000001</v>
      </c>
      <c r="H943" s="82">
        <v>0.3</v>
      </c>
      <c r="I943" s="82">
        <v>0.2</v>
      </c>
      <c r="J943" s="82">
        <v>1.4</v>
      </c>
      <c r="K943" s="82">
        <v>3.5259999999999993E-2</v>
      </c>
      <c r="L943" s="82">
        <v>0.1</v>
      </c>
      <c r="M943" s="82">
        <v>35.147392290249435</v>
      </c>
      <c r="N943" s="212">
        <v>0</v>
      </c>
      <c r="P943" s="209"/>
    </row>
    <row r="944" spans="1:16" x14ac:dyDescent="0.25">
      <c r="A944" s="87">
        <v>2</v>
      </c>
      <c r="B944" s="82">
        <v>700</v>
      </c>
      <c r="C944" s="82">
        <v>0.39500000000000002</v>
      </c>
      <c r="D944" s="82">
        <v>0.26200000000000001</v>
      </c>
      <c r="E944" s="82">
        <v>0.13</v>
      </c>
      <c r="F944" s="82">
        <v>4.3333333333333335E-2</v>
      </c>
      <c r="G944" s="82">
        <v>0.15640000000000001</v>
      </c>
      <c r="H944" s="82">
        <v>0.3</v>
      </c>
      <c r="I944" s="82">
        <v>0.27</v>
      </c>
      <c r="J944" s="82">
        <v>1.36</v>
      </c>
      <c r="K944" s="82">
        <v>1.9779999999999999E-2</v>
      </c>
      <c r="L944" s="82">
        <v>0.1</v>
      </c>
      <c r="M944" s="82">
        <v>7.7531012404961972</v>
      </c>
      <c r="N944" s="212">
        <v>0</v>
      </c>
      <c r="P944" s="209" t="s">
        <v>966</v>
      </c>
    </row>
    <row r="945" spans="1:16" x14ac:dyDescent="0.25">
      <c r="A945" s="87">
        <v>3</v>
      </c>
      <c r="B945" s="82"/>
      <c r="C945" s="82"/>
      <c r="D945" s="82"/>
      <c r="E945" s="82"/>
      <c r="F945" s="82"/>
      <c r="G945" s="82"/>
      <c r="H945" s="82"/>
      <c r="I945" s="82"/>
      <c r="J945" s="82"/>
      <c r="K945" s="82"/>
      <c r="L945" s="82"/>
      <c r="M945" s="82"/>
      <c r="N945" s="212"/>
      <c r="P945" s="209"/>
    </row>
    <row r="946" spans="1:16" x14ac:dyDescent="0.25">
      <c r="A946" s="87">
        <v>4</v>
      </c>
      <c r="B946" s="82"/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2"/>
      <c r="N946" s="212"/>
      <c r="P946" s="209"/>
    </row>
    <row r="947" spans="1:16" x14ac:dyDescent="0.25">
      <c r="A947" s="87">
        <v>5</v>
      </c>
      <c r="B947" s="82"/>
      <c r="C947" s="82"/>
      <c r="D947" s="82"/>
      <c r="E947" s="82"/>
      <c r="F947" s="82"/>
      <c r="G947" s="82"/>
      <c r="H947" s="82"/>
      <c r="I947" s="82"/>
      <c r="J947" s="82"/>
      <c r="K947" s="82"/>
      <c r="L947" s="82"/>
      <c r="M947" s="82"/>
      <c r="N947" s="212"/>
      <c r="P947" s="209"/>
    </row>
    <row r="948" spans="1:16" x14ac:dyDescent="0.25">
      <c r="A948" s="87">
        <v>6</v>
      </c>
      <c r="B948" s="82"/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2"/>
      <c r="N948" s="212"/>
      <c r="P948" s="209"/>
    </row>
    <row r="949" spans="1:16" x14ac:dyDescent="0.25">
      <c r="A949" s="87">
        <v>7</v>
      </c>
      <c r="B949" s="82"/>
      <c r="C949" s="82"/>
      <c r="D949" s="82"/>
      <c r="E949" s="82"/>
      <c r="F949" s="82"/>
      <c r="G949" s="82"/>
      <c r="H949" s="82"/>
      <c r="I949" s="82"/>
      <c r="J949" s="82"/>
      <c r="K949" s="82"/>
      <c r="L949" s="82"/>
      <c r="M949" s="82"/>
      <c r="N949" s="212"/>
      <c r="P949" s="209"/>
    </row>
    <row r="950" spans="1:16" x14ac:dyDescent="0.25">
      <c r="A950" s="87">
        <v>8</v>
      </c>
      <c r="B950" s="82"/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2"/>
      <c r="N950" s="212"/>
      <c r="P950" s="209"/>
    </row>
    <row r="951" spans="1:16" x14ac:dyDescent="0.25">
      <c r="A951" s="87">
        <v>9</v>
      </c>
      <c r="B951" s="82"/>
      <c r="C951" s="82"/>
      <c r="D951" s="82"/>
      <c r="E951" s="82"/>
      <c r="F951" s="82"/>
      <c r="G951" s="82"/>
      <c r="H951" s="82"/>
      <c r="I951" s="82"/>
      <c r="J951" s="82"/>
      <c r="K951" s="82"/>
      <c r="L951" s="82"/>
      <c r="M951" s="82"/>
      <c r="N951" s="212"/>
      <c r="P951" s="209"/>
    </row>
    <row r="952" spans="1:16" ht="13" thickBot="1" x14ac:dyDescent="0.3">
      <c r="A952" s="218">
        <v>10</v>
      </c>
      <c r="B952" s="104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213"/>
      <c r="P952" s="209"/>
    </row>
    <row r="953" spans="1:16" x14ac:dyDescent="0.25">
      <c r="A953" s="3"/>
      <c r="C953" s="3"/>
      <c r="D953" s="3"/>
      <c r="E953" s="3"/>
      <c r="F953" s="3"/>
      <c r="P953" s="209"/>
    </row>
    <row r="954" spans="1:16" ht="13" thickBot="1" x14ac:dyDescent="0.3">
      <c r="A954" s="3"/>
      <c r="C954" s="3"/>
      <c r="D954" s="3"/>
      <c r="E954" s="3"/>
      <c r="F954" s="3"/>
      <c r="P954" s="209"/>
    </row>
    <row r="955" spans="1:16" ht="13" x14ac:dyDescent="0.3">
      <c r="A955" s="74" t="s">
        <v>677</v>
      </c>
      <c r="B955" s="75"/>
      <c r="C955" s="76"/>
      <c r="D955" s="76"/>
      <c r="E955" s="76"/>
      <c r="F955" s="75"/>
      <c r="G955" s="75"/>
      <c r="H955" s="76"/>
      <c r="I955" s="76"/>
      <c r="J955" s="76"/>
      <c r="K955" s="76"/>
      <c r="L955" s="76"/>
      <c r="M955" s="76"/>
      <c r="N955" s="211">
        <v>52</v>
      </c>
      <c r="P955" s="209"/>
    </row>
    <row r="956" spans="1:16" ht="13" x14ac:dyDescent="0.3">
      <c r="A956" s="77" t="s">
        <v>672</v>
      </c>
      <c r="B956" s="41"/>
      <c r="C956" s="41" t="s">
        <v>673</v>
      </c>
      <c r="D956" s="46"/>
      <c r="E956" s="46"/>
      <c r="F956" s="78"/>
      <c r="G956" s="78"/>
      <c r="H956" s="46"/>
      <c r="I956" s="46"/>
      <c r="J956" s="46"/>
      <c r="K956" s="46"/>
      <c r="L956" s="46"/>
      <c r="M956" s="46"/>
      <c r="N956" s="79"/>
      <c r="P956" s="209"/>
    </row>
    <row r="957" spans="1:16" x14ac:dyDescent="0.25">
      <c r="A957" s="80" t="s">
        <v>928</v>
      </c>
      <c r="B957" s="46"/>
      <c r="C957" s="81">
        <v>1807</v>
      </c>
      <c r="D957" s="46"/>
      <c r="E957" s="46"/>
      <c r="F957" s="78"/>
      <c r="G957" s="78"/>
      <c r="H957" s="46"/>
      <c r="I957" s="46"/>
      <c r="J957" s="46"/>
      <c r="K957" s="46"/>
      <c r="L957" s="46"/>
      <c r="M957" s="46"/>
      <c r="N957" s="79"/>
      <c r="P957" s="209">
        <v>955</v>
      </c>
    </row>
    <row r="958" spans="1:16" ht="13" x14ac:dyDescent="0.3">
      <c r="A958" s="77" t="s">
        <v>681</v>
      </c>
      <c r="B958" s="41" t="s">
        <v>680</v>
      </c>
      <c r="C958" s="41" t="s">
        <v>678</v>
      </c>
      <c r="D958" s="41" t="s">
        <v>695</v>
      </c>
      <c r="E958" s="41" t="s">
        <v>679</v>
      </c>
      <c r="F958" s="41" t="s">
        <v>1186</v>
      </c>
      <c r="G958" s="78"/>
      <c r="H958" s="46"/>
      <c r="I958" s="46"/>
      <c r="J958" s="46"/>
      <c r="K958" s="46"/>
      <c r="L958" s="46"/>
      <c r="M958" s="46"/>
      <c r="N958" s="79"/>
      <c r="P958" s="209"/>
    </row>
    <row r="959" spans="1:16" x14ac:dyDescent="0.25">
      <c r="A959" s="80">
        <v>2</v>
      </c>
      <c r="B959" s="78">
        <v>2</v>
      </c>
      <c r="C959" s="82">
        <v>0.12</v>
      </c>
      <c r="D959" s="78">
        <v>32</v>
      </c>
      <c r="E959" s="78">
        <v>81</v>
      </c>
      <c r="F959" s="78">
        <v>1</v>
      </c>
      <c r="G959" s="78"/>
      <c r="H959" s="46"/>
      <c r="I959" s="46"/>
      <c r="J959" s="46"/>
      <c r="K959" s="46"/>
      <c r="L959" s="46"/>
      <c r="M959" s="78" t="s">
        <v>65</v>
      </c>
      <c r="N959" s="83" t="s">
        <v>65</v>
      </c>
      <c r="P959" s="209"/>
    </row>
    <row r="960" spans="1:16" ht="13" x14ac:dyDescent="0.3">
      <c r="A960" s="84"/>
      <c r="B960" s="13"/>
      <c r="C960" s="78" t="s">
        <v>20</v>
      </c>
      <c r="D960" s="78" t="s">
        <v>20</v>
      </c>
      <c r="E960" s="78" t="s">
        <v>20</v>
      </c>
      <c r="F960" s="78"/>
      <c r="G960" s="78" t="s">
        <v>39</v>
      </c>
      <c r="H960" s="78" t="s">
        <v>39</v>
      </c>
      <c r="I960" s="78" t="s">
        <v>39</v>
      </c>
      <c r="J960" s="78" t="s">
        <v>63</v>
      </c>
      <c r="K960" s="78" t="s">
        <v>62</v>
      </c>
      <c r="L960" s="78" t="s">
        <v>39</v>
      </c>
      <c r="M960" s="78" t="s">
        <v>64</v>
      </c>
      <c r="N960" s="83" t="s">
        <v>64</v>
      </c>
      <c r="P960" s="209"/>
    </row>
    <row r="961" spans="1:16" ht="13" x14ac:dyDescent="0.3">
      <c r="A961" s="85" t="s">
        <v>32</v>
      </c>
      <c r="B961" s="5" t="s">
        <v>33</v>
      </c>
      <c r="C961" s="5" t="s">
        <v>34</v>
      </c>
      <c r="D961" s="5" t="s">
        <v>35</v>
      </c>
      <c r="E961" s="5" t="s">
        <v>814</v>
      </c>
      <c r="F961" s="5" t="s">
        <v>816</v>
      </c>
      <c r="G961" s="5" t="s">
        <v>815</v>
      </c>
      <c r="H961" s="5" t="s">
        <v>36</v>
      </c>
      <c r="I961" s="5" t="s">
        <v>66</v>
      </c>
      <c r="J961" s="5" t="s">
        <v>56</v>
      </c>
      <c r="K961" s="5" t="s">
        <v>57</v>
      </c>
      <c r="L961" s="5" t="s">
        <v>58</v>
      </c>
      <c r="M961" s="5" t="s">
        <v>59</v>
      </c>
      <c r="N961" s="86" t="s">
        <v>60</v>
      </c>
      <c r="P961" s="209"/>
    </row>
    <row r="962" spans="1:16" x14ac:dyDescent="0.25">
      <c r="A962" s="87">
        <v>1</v>
      </c>
      <c r="B962" s="82">
        <v>300</v>
      </c>
      <c r="C962" s="82">
        <v>0.378</v>
      </c>
      <c r="D962" s="82">
        <v>0.255</v>
      </c>
      <c r="E962" s="82">
        <v>0.123</v>
      </c>
      <c r="F962" s="82">
        <v>4.1000000000000002E-2</v>
      </c>
      <c r="G962" s="82">
        <v>0.14940000000000001</v>
      </c>
      <c r="H962" s="82">
        <v>0.3</v>
      </c>
      <c r="I962" s="82">
        <v>0.2</v>
      </c>
      <c r="J962" s="82">
        <v>1.4</v>
      </c>
      <c r="K962" s="82">
        <v>3.5259999999999993E-2</v>
      </c>
      <c r="L962" s="82">
        <v>0.1</v>
      </c>
      <c r="M962" s="82">
        <v>35.147392290249435</v>
      </c>
      <c r="N962" s="212">
        <v>0</v>
      </c>
      <c r="P962" s="209"/>
    </row>
    <row r="963" spans="1:16" x14ac:dyDescent="0.25">
      <c r="A963" s="87">
        <v>2</v>
      </c>
      <c r="B963" s="82">
        <v>700</v>
      </c>
      <c r="C963" s="82">
        <v>0.39500000000000002</v>
      </c>
      <c r="D963" s="82">
        <v>0.26200000000000001</v>
      </c>
      <c r="E963" s="82">
        <v>0.13</v>
      </c>
      <c r="F963" s="82">
        <v>4.3333333333333335E-2</v>
      </c>
      <c r="G963" s="82">
        <v>0.15640000000000001</v>
      </c>
      <c r="H963" s="82">
        <v>0.3</v>
      </c>
      <c r="I963" s="82">
        <v>0.27</v>
      </c>
      <c r="J963" s="82">
        <v>1.36</v>
      </c>
      <c r="K963" s="82">
        <v>1.9779999999999999E-2</v>
      </c>
      <c r="L963" s="82">
        <v>0.1</v>
      </c>
      <c r="M963" s="82">
        <v>7.7531012404961972</v>
      </c>
      <c r="N963" s="212">
        <v>0</v>
      </c>
      <c r="P963" s="209" t="s">
        <v>966</v>
      </c>
    </row>
    <row r="964" spans="1:16" x14ac:dyDescent="0.25">
      <c r="A964" s="87">
        <v>3</v>
      </c>
      <c r="B964" s="82"/>
      <c r="C964" s="82"/>
      <c r="D964" s="82"/>
      <c r="E964" s="82"/>
      <c r="F964" s="82"/>
      <c r="G964" s="82"/>
      <c r="H964" s="82"/>
      <c r="I964" s="82"/>
      <c r="J964" s="82"/>
      <c r="K964" s="82"/>
      <c r="L964" s="82"/>
      <c r="M964" s="82"/>
      <c r="N964" s="212"/>
      <c r="P964" s="209"/>
    </row>
    <row r="965" spans="1:16" x14ac:dyDescent="0.25">
      <c r="A965" s="87">
        <v>4</v>
      </c>
      <c r="B965" s="82"/>
      <c r="C965" s="82"/>
      <c r="D965" s="82"/>
      <c r="E965" s="82"/>
      <c r="F965" s="82"/>
      <c r="G965" s="82"/>
      <c r="H965" s="82"/>
      <c r="I965" s="82"/>
      <c r="J965" s="82"/>
      <c r="K965" s="82"/>
      <c r="L965" s="82"/>
      <c r="M965" s="82"/>
      <c r="N965" s="212"/>
      <c r="P965" s="209"/>
    </row>
    <row r="966" spans="1:16" x14ac:dyDescent="0.25">
      <c r="A966" s="87">
        <v>5</v>
      </c>
      <c r="B966" s="82"/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2"/>
      <c r="N966" s="212"/>
      <c r="P966" s="209"/>
    </row>
    <row r="967" spans="1:16" x14ac:dyDescent="0.25">
      <c r="A967" s="87">
        <v>6</v>
      </c>
      <c r="B967" s="82"/>
      <c r="C967" s="82"/>
      <c r="D967" s="82"/>
      <c r="E967" s="82"/>
      <c r="F967" s="82"/>
      <c r="G967" s="82"/>
      <c r="H967" s="82"/>
      <c r="I967" s="82"/>
      <c r="J967" s="82"/>
      <c r="K967" s="82"/>
      <c r="L967" s="82"/>
      <c r="M967" s="82"/>
      <c r="N967" s="212"/>
      <c r="P967" s="209"/>
    </row>
    <row r="968" spans="1:16" x14ac:dyDescent="0.25">
      <c r="A968" s="87">
        <v>7</v>
      </c>
      <c r="B968" s="82"/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2"/>
      <c r="N968" s="212"/>
      <c r="P968" s="209"/>
    </row>
    <row r="969" spans="1:16" x14ac:dyDescent="0.25">
      <c r="A969" s="87">
        <v>8</v>
      </c>
      <c r="B969" s="82"/>
      <c r="C969" s="82"/>
      <c r="D969" s="82"/>
      <c r="E969" s="82"/>
      <c r="F969" s="82"/>
      <c r="G969" s="82"/>
      <c r="H969" s="82"/>
      <c r="I969" s="82"/>
      <c r="J969" s="82"/>
      <c r="K969" s="82"/>
      <c r="L969" s="82"/>
      <c r="M969" s="82"/>
      <c r="N969" s="212"/>
      <c r="P969" s="209"/>
    </row>
    <row r="970" spans="1:16" x14ac:dyDescent="0.25">
      <c r="A970" s="87">
        <v>9</v>
      </c>
      <c r="B970" s="82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2"/>
      <c r="N970" s="212"/>
      <c r="P970" s="209"/>
    </row>
    <row r="971" spans="1:16" ht="13" thickBot="1" x14ac:dyDescent="0.3">
      <c r="A971" s="218">
        <v>10</v>
      </c>
      <c r="B971" s="104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213"/>
      <c r="P971" s="209"/>
    </row>
    <row r="972" spans="1:16" x14ac:dyDescent="0.25">
      <c r="A972" s="3"/>
      <c r="C972" s="3"/>
      <c r="D972" s="3"/>
      <c r="E972" s="3"/>
      <c r="F972" s="3"/>
      <c r="P972" s="209"/>
    </row>
    <row r="973" spans="1:16" ht="13" thickBot="1" x14ac:dyDescent="0.3">
      <c r="A973" s="3"/>
      <c r="C973" s="3"/>
      <c r="D973" s="3"/>
      <c r="E973" s="3"/>
      <c r="F973" s="3"/>
      <c r="P973" s="209"/>
    </row>
    <row r="974" spans="1:16" ht="13" x14ac:dyDescent="0.3">
      <c r="A974" s="74" t="s">
        <v>677</v>
      </c>
      <c r="B974" s="75"/>
      <c r="C974" s="76"/>
      <c r="D974" s="76"/>
      <c r="E974" s="76"/>
      <c r="F974" s="75"/>
      <c r="G974" s="75"/>
      <c r="H974" s="76"/>
      <c r="I974" s="76"/>
      <c r="J974" s="76"/>
      <c r="K974" s="76"/>
      <c r="L974" s="76"/>
      <c r="M974" s="76"/>
      <c r="N974" s="211">
        <v>53</v>
      </c>
      <c r="P974" s="209"/>
    </row>
    <row r="975" spans="1:16" ht="13" x14ac:dyDescent="0.3">
      <c r="A975" s="77" t="s">
        <v>672</v>
      </c>
      <c r="B975" s="41"/>
      <c r="C975" s="41" t="s">
        <v>673</v>
      </c>
      <c r="D975" s="46"/>
      <c r="E975" s="46"/>
      <c r="F975" s="78"/>
      <c r="G975" s="78"/>
      <c r="H975" s="46"/>
      <c r="I975" s="46"/>
      <c r="J975" s="46"/>
      <c r="K975" s="46"/>
      <c r="L975" s="46"/>
      <c r="M975" s="46"/>
      <c r="N975" s="79"/>
      <c r="P975" s="209"/>
    </row>
    <row r="976" spans="1:16" x14ac:dyDescent="0.25">
      <c r="A976" s="80" t="s">
        <v>930</v>
      </c>
      <c r="B976" s="46"/>
      <c r="C976" s="81">
        <v>1766</v>
      </c>
      <c r="D976" s="46"/>
      <c r="E976" s="46"/>
      <c r="F976" s="78"/>
      <c r="G976" s="78"/>
      <c r="H976" s="46"/>
      <c r="I976" s="46"/>
      <c r="J976" s="46"/>
      <c r="K976" s="46"/>
      <c r="L976" s="46"/>
      <c r="M976" s="46"/>
      <c r="N976" s="79"/>
      <c r="P976" s="209">
        <v>974</v>
      </c>
    </row>
    <row r="977" spans="1:16" ht="13" x14ac:dyDescent="0.3">
      <c r="A977" s="77" t="s">
        <v>681</v>
      </c>
      <c r="B977" s="41" t="s">
        <v>680</v>
      </c>
      <c r="C977" s="41" t="s">
        <v>678</v>
      </c>
      <c r="D977" s="41" t="s">
        <v>695</v>
      </c>
      <c r="E977" s="41" t="s">
        <v>679</v>
      </c>
      <c r="F977" s="41" t="s">
        <v>1186</v>
      </c>
      <c r="G977" s="78"/>
      <c r="H977" s="46"/>
      <c r="I977" s="46"/>
      <c r="J977" s="46"/>
      <c r="K977" s="46"/>
      <c r="L977" s="46"/>
      <c r="M977" s="46"/>
      <c r="N977" s="79"/>
      <c r="P977" s="209"/>
    </row>
    <row r="978" spans="1:16" x14ac:dyDescent="0.25">
      <c r="A978" s="80">
        <v>2</v>
      </c>
      <c r="B978" s="78">
        <v>2</v>
      </c>
      <c r="C978" s="82">
        <v>0.12</v>
      </c>
      <c r="D978" s="78">
        <v>31</v>
      </c>
      <c r="E978" s="78">
        <v>81</v>
      </c>
      <c r="F978" s="78">
        <v>1</v>
      </c>
      <c r="G978" s="78"/>
      <c r="H978" s="46"/>
      <c r="I978" s="46"/>
      <c r="J978" s="46"/>
      <c r="K978" s="46"/>
      <c r="L978" s="46"/>
      <c r="M978" s="78" t="s">
        <v>65</v>
      </c>
      <c r="N978" s="83" t="s">
        <v>65</v>
      </c>
      <c r="P978" s="209"/>
    </row>
    <row r="979" spans="1:16" ht="13" x14ac:dyDescent="0.3">
      <c r="A979" s="84"/>
      <c r="B979" s="13"/>
      <c r="C979" s="78" t="s">
        <v>20</v>
      </c>
      <c r="D979" s="78" t="s">
        <v>20</v>
      </c>
      <c r="E979" s="78" t="s">
        <v>20</v>
      </c>
      <c r="F979" s="78"/>
      <c r="G979" s="78" t="s">
        <v>39</v>
      </c>
      <c r="H979" s="78" t="s">
        <v>39</v>
      </c>
      <c r="I979" s="78" t="s">
        <v>39</v>
      </c>
      <c r="J979" s="78" t="s">
        <v>63</v>
      </c>
      <c r="K979" s="78" t="s">
        <v>62</v>
      </c>
      <c r="L979" s="78" t="s">
        <v>39</v>
      </c>
      <c r="M979" s="78" t="s">
        <v>64</v>
      </c>
      <c r="N979" s="83" t="s">
        <v>64</v>
      </c>
      <c r="P979" s="209"/>
    </row>
    <row r="980" spans="1:16" ht="13" x14ac:dyDescent="0.3">
      <c r="A980" s="85" t="s">
        <v>32</v>
      </c>
      <c r="B980" s="5" t="s">
        <v>33</v>
      </c>
      <c r="C980" s="5" t="s">
        <v>34</v>
      </c>
      <c r="D980" s="5" t="s">
        <v>35</v>
      </c>
      <c r="E980" s="5" t="s">
        <v>814</v>
      </c>
      <c r="F980" s="5" t="s">
        <v>816</v>
      </c>
      <c r="G980" s="5" t="s">
        <v>815</v>
      </c>
      <c r="H980" s="5" t="s">
        <v>36</v>
      </c>
      <c r="I980" s="5" t="s">
        <v>66</v>
      </c>
      <c r="J980" s="5" t="s">
        <v>56</v>
      </c>
      <c r="K980" s="5" t="s">
        <v>57</v>
      </c>
      <c r="L980" s="5" t="s">
        <v>58</v>
      </c>
      <c r="M980" s="5" t="s">
        <v>59</v>
      </c>
      <c r="N980" s="86" t="s">
        <v>60</v>
      </c>
      <c r="P980" s="209"/>
    </row>
    <row r="981" spans="1:16" x14ac:dyDescent="0.25">
      <c r="A981" s="87">
        <v>1</v>
      </c>
      <c r="B981" s="82">
        <v>300</v>
      </c>
      <c r="C981" s="82">
        <v>0.44400000000000001</v>
      </c>
      <c r="D981" s="82">
        <v>0.22500000000000001</v>
      </c>
      <c r="E981" s="82">
        <v>9.2999999999999999E-2</v>
      </c>
      <c r="F981" s="82">
        <v>3.1E-2</v>
      </c>
      <c r="G981" s="82">
        <v>0.11940000000000001</v>
      </c>
      <c r="H981" s="82">
        <v>0.3</v>
      </c>
      <c r="I981" s="82">
        <v>0.04</v>
      </c>
      <c r="J981" s="82">
        <v>1.4</v>
      </c>
      <c r="K981" s="82">
        <v>4.4719999999999996E-2</v>
      </c>
      <c r="L981" s="82">
        <v>0.1</v>
      </c>
      <c r="M981" s="82">
        <v>35.147392290249435</v>
      </c>
      <c r="N981" s="212">
        <v>0</v>
      </c>
      <c r="P981" s="209"/>
    </row>
    <row r="982" spans="1:16" x14ac:dyDescent="0.25">
      <c r="A982" s="87">
        <v>2</v>
      </c>
      <c r="B982" s="82">
        <v>700</v>
      </c>
      <c r="C982" s="82">
        <v>0.434</v>
      </c>
      <c r="D982" s="82">
        <v>0.24099999999999999</v>
      </c>
      <c r="E982" s="82">
        <v>0.109</v>
      </c>
      <c r="F982" s="82">
        <v>3.6333333333333336E-2</v>
      </c>
      <c r="G982" s="82">
        <v>0.13539999999999999</v>
      </c>
      <c r="H982" s="82">
        <v>0.3</v>
      </c>
      <c r="I982" s="82">
        <v>0.03</v>
      </c>
      <c r="J982" s="82">
        <v>1.36</v>
      </c>
      <c r="K982" s="82">
        <v>2.5799999999999997E-2</v>
      </c>
      <c r="L982" s="82">
        <v>0.1</v>
      </c>
      <c r="M982" s="82">
        <v>7.7531012404961972</v>
      </c>
      <c r="N982" s="212">
        <v>0</v>
      </c>
      <c r="P982" s="209" t="s">
        <v>966</v>
      </c>
    </row>
    <row r="983" spans="1:16" x14ac:dyDescent="0.25">
      <c r="A983" s="87">
        <v>3</v>
      </c>
      <c r="B983" s="82"/>
      <c r="C983" s="82"/>
      <c r="D983" s="82"/>
      <c r="E983" s="82"/>
      <c r="F983" s="82"/>
      <c r="G983" s="82"/>
      <c r="H983" s="82"/>
      <c r="I983" s="82"/>
      <c r="J983" s="82"/>
      <c r="K983" s="82"/>
      <c r="L983" s="82"/>
      <c r="M983" s="82"/>
      <c r="N983" s="212"/>
      <c r="P983" s="209"/>
    </row>
    <row r="984" spans="1:16" x14ac:dyDescent="0.25">
      <c r="A984" s="87">
        <v>4</v>
      </c>
      <c r="B984" s="82"/>
      <c r="C984" s="82"/>
      <c r="D984" s="82"/>
      <c r="E984" s="82"/>
      <c r="F984" s="82"/>
      <c r="G984" s="82"/>
      <c r="H984" s="82"/>
      <c r="I984" s="82"/>
      <c r="J984" s="82"/>
      <c r="K984" s="82"/>
      <c r="L984" s="82"/>
      <c r="M984" s="82"/>
      <c r="N984" s="212"/>
      <c r="P984" s="209"/>
    </row>
    <row r="985" spans="1:16" x14ac:dyDescent="0.25">
      <c r="A985" s="87">
        <v>5</v>
      </c>
      <c r="B985" s="82"/>
      <c r="C985" s="82"/>
      <c r="D985" s="82"/>
      <c r="E985" s="82"/>
      <c r="F985" s="82"/>
      <c r="G985" s="82"/>
      <c r="H985" s="82"/>
      <c r="I985" s="82"/>
      <c r="J985" s="82"/>
      <c r="K985" s="82"/>
      <c r="L985" s="82"/>
      <c r="M985" s="82"/>
      <c r="N985" s="212"/>
      <c r="P985" s="209"/>
    </row>
    <row r="986" spans="1:16" x14ac:dyDescent="0.25">
      <c r="A986" s="87">
        <v>6</v>
      </c>
      <c r="B986" s="82"/>
      <c r="C986" s="82"/>
      <c r="D986" s="82"/>
      <c r="E986" s="82"/>
      <c r="F986" s="82"/>
      <c r="G986" s="82"/>
      <c r="H986" s="82"/>
      <c r="I986" s="82"/>
      <c r="J986" s="82"/>
      <c r="K986" s="82"/>
      <c r="L986" s="82"/>
      <c r="M986" s="82"/>
      <c r="N986" s="212"/>
      <c r="P986" s="209"/>
    </row>
    <row r="987" spans="1:16" x14ac:dyDescent="0.25">
      <c r="A987" s="87">
        <v>7</v>
      </c>
      <c r="B987" s="82"/>
      <c r="C987" s="82"/>
      <c r="D987" s="82"/>
      <c r="E987" s="82"/>
      <c r="F987" s="82"/>
      <c r="G987" s="82"/>
      <c r="H987" s="82"/>
      <c r="I987" s="82"/>
      <c r="J987" s="82"/>
      <c r="K987" s="82"/>
      <c r="L987" s="82"/>
      <c r="M987" s="82"/>
      <c r="N987" s="212"/>
      <c r="P987" s="209"/>
    </row>
    <row r="988" spans="1:16" x14ac:dyDescent="0.25">
      <c r="A988" s="87">
        <v>8</v>
      </c>
      <c r="B988" s="82"/>
      <c r="C988" s="82"/>
      <c r="D988" s="82"/>
      <c r="E988" s="82"/>
      <c r="F988" s="82"/>
      <c r="G988" s="82"/>
      <c r="H988" s="82"/>
      <c r="I988" s="82"/>
      <c r="J988" s="82"/>
      <c r="K988" s="82"/>
      <c r="L988" s="82"/>
      <c r="M988" s="82"/>
      <c r="N988" s="212"/>
      <c r="P988" s="209"/>
    </row>
    <row r="989" spans="1:16" x14ac:dyDescent="0.25">
      <c r="A989" s="87">
        <v>9</v>
      </c>
      <c r="B989" s="82"/>
      <c r="C989" s="82"/>
      <c r="D989" s="82"/>
      <c r="E989" s="82"/>
      <c r="F989" s="82"/>
      <c r="G989" s="82"/>
      <c r="H989" s="82"/>
      <c r="I989" s="82"/>
      <c r="J989" s="82"/>
      <c r="K989" s="82"/>
      <c r="L989" s="82"/>
      <c r="M989" s="82"/>
      <c r="N989" s="212"/>
      <c r="P989" s="209"/>
    </row>
    <row r="990" spans="1:16" ht="13" thickBot="1" x14ac:dyDescent="0.3">
      <c r="A990" s="218">
        <v>10</v>
      </c>
      <c r="B990" s="104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213"/>
      <c r="P990" s="209"/>
    </row>
    <row r="991" spans="1:16" x14ac:dyDescent="0.25">
      <c r="A991" s="3"/>
      <c r="C991" s="3"/>
      <c r="D991" s="3"/>
      <c r="E991" s="3"/>
      <c r="F991" s="3"/>
      <c r="P991" s="209"/>
    </row>
    <row r="992" spans="1:16" ht="13" thickBot="1" x14ac:dyDescent="0.3">
      <c r="A992" s="3"/>
      <c r="C992" s="3"/>
      <c r="D992" s="3"/>
      <c r="E992" s="3"/>
      <c r="F992" s="3"/>
      <c r="P992" s="209"/>
    </row>
    <row r="993" spans="1:16" ht="13" x14ac:dyDescent="0.3">
      <c r="A993" s="74" t="s">
        <v>677</v>
      </c>
      <c r="B993" s="75"/>
      <c r="C993" s="76"/>
      <c r="D993" s="76"/>
      <c r="E993" s="76"/>
      <c r="F993" s="75"/>
      <c r="G993" s="75"/>
      <c r="H993" s="76"/>
      <c r="I993" s="76"/>
      <c r="J993" s="76"/>
      <c r="K993" s="76"/>
      <c r="L993" s="76"/>
      <c r="M993" s="76"/>
      <c r="N993" s="211">
        <v>54</v>
      </c>
      <c r="P993" s="209"/>
    </row>
    <row r="994" spans="1:16" ht="13" x14ac:dyDescent="0.3">
      <c r="A994" s="77" t="s">
        <v>672</v>
      </c>
      <c r="B994" s="41"/>
      <c r="C994" s="41" t="s">
        <v>673</v>
      </c>
      <c r="D994" s="46"/>
      <c r="E994" s="46"/>
      <c r="F994" s="78"/>
      <c r="G994" s="78"/>
      <c r="H994" s="46"/>
      <c r="I994" s="46"/>
      <c r="J994" s="46"/>
      <c r="K994" s="46"/>
      <c r="L994" s="46"/>
      <c r="M994" s="46"/>
      <c r="N994" s="79"/>
      <c r="P994" s="209"/>
    </row>
    <row r="995" spans="1:16" x14ac:dyDescent="0.25">
      <c r="A995" s="80" t="s">
        <v>932</v>
      </c>
      <c r="B995" s="46"/>
      <c r="C995" s="81">
        <v>1237</v>
      </c>
      <c r="D995" s="46"/>
      <c r="E995" s="46"/>
      <c r="F995" s="78"/>
      <c r="G995" s="78"/>
      <c r="H995" s="46"/>
      <c r="I995" s="46"/>
      <c r="J995" s="46"/>
      <c r="K995" s="46"/>
      <c r="L995" s="46"/>
      <c r="M995" s="46"/>
      <c r="N995" s="79"/>
      <c r="P995" s="209">
        <v>993</v>
      </c>
    </row>
    <row r="996" spans="1:16" ht="13" x14ac:dyDescent="0.3">
      <c r="A996" s="77" t="s">
        <v>681</v>
      </c>
      <c r="B996" s="41" t="s">
        <v>680</v>
      </c>
      <c r="C996" s="41" t="s">
        <v>678</v>
      </c>
      <c r="D996" s="41" t="s">
        <v>695</v>
      </c>
      <c r="E996" s="41" t="s">
        <v>679</v>
      </c>
      <c r="F996" s="41" t="s">
        <v>1186</v>
      </c>
      <c r="G996" s="78"/>
      <c r="H996" s="46"/>
      <c r="I996" s="46"/>
      <c r="J996" s="46"/>
      <c r="K996" s="46"/>
      <c r="L996" s="46"/>
      <c r="M996" s="46"/>
      <c r="N996" s="79"/>
      <c r="P996" s="209"/>
    </row>
    <row r="997" spans="1:16" x14ac:dyDescent="0.25">
      <c r="A997" s="80">
        <v>2</v>
      </c>
      <c r="B997" s="78">
        <v>2</v>
      </c>
      <c r="C997" s="82">
        <v>0.12</v>
      </c>
      <c r="D997" s="78">
        <v>30</v>
      </c>
      <c r="E997" s="78">
        <v>81</v>
      </c>
      <c r="F997" s="78">
        <v>1</v>
      </c>
      <c r="G997" s="78"/>
      <c r="H997" s="46"/>
      <c r="I997" s="46"/>
      <c r="J997" s="46"/>
      <c r="K997" s="46"/>
      <c r="L997" s="46"/>
      <c r="M997" s="78" t="s">
        <v>65</v>
      </c>
      <c r="N997" s="83" t="s">
        <v>65</v>
      </c>
      <c r="P997" s="209"/>
    </row>
    <row r="998" spans="1:16" ht="13" x14ac:dyDescent="0.3">
      <c r="A998" s="84"/>
      <c r="B998" s="13"/>
      <c r="C998" s="78" t="s">
        <v>20</v>
      </c>
      <c r="D998" s="78" t="s">
        <v>20</v>
      </c>
      <c r="E998" s="78" t="s">
        <v>20</v>
      </c>
      <c r="F998" s="78"/>
      <c r="G998" s="78" t="s">
        <v>39</v>
      </c>
      <c r="H998" s="78" t="s">
        <v>39</v>
      </c>
      <c r="I998" s="78" t="s">
        <v>39</v>
      </c>
      <c r="J998" s="78" t="s">
        <v>63</v>
      </c>
      <c r="K998" s="78" t="s">
        <v>62</v>
      </c>
      <c r="L998" s="78" t="s">
        <v>39</v>
      </c>
      <c r="M998" s="78" t="s">
        <v>64</v>
      </c>
      <c r="N998" s="83" t="s">
        <v>64</v>
      </c>
      <c r="P998" s="209"/>
    </row>
    <row r="999" spans="1:16" ht="13" x14ac:dyDescent="0.3">
      <c r="A999" s="85" t="s">
        <v>32</v>
      </c>
      <c r="B999" s="5" t="s">
        <v>33</v>
      </c>
      <c r="C999" s="5" t="s">
        <v>34</v>
      </c>
      <c r="D999" s="5" t="s">
        <v>35</v>
      </c>
      <c r="E999" s="5" t="s">
        <v>814</v>
      </c>
      <c r="F999" s="5" t="s">
        <v>816</v>
      </c>
      <c r="G999" s="5" t="s">
        <v>815</v>
      </c>
      <c r="H999" s="5" t="s">
        <v>36</v>
      </c>
      <c r="I999" s="5" t="s">
        <v>66</v>
      </c>
      <c r="J999" s="5" t="s">
        <v>56</v>
      </c>
      <c r="K999" s="5" t="s">
        <v>57</v>
      </c>
      <c r="L999" s="5" t="s">
        <v>58</v>
      </c>
      <c r="M999" s="5" t="s">
        <v>59</v>
      </c>
      <c r="N999" s="86" t="s">
        <v>60</v>
      </c>
      <c r="P999" s="209"/>
    </row>
    <row r="1000" spans="1:16" x14ac:dyDescent="0.25">
      <c r="A1000" s="87">
        <v>1</v>
      </c>
      <c r="B1000" s="82">
        <v>100</v>
      </c>
      <c r="C1000" s="82">
        <v>0.45600000000000002</v>
      </c>
      <c r="D1000" s="82">
        <v>0.221</v>
      </c>
      <c r="E1000" s="82">
        <v>0.09</v>
      </c>
      <c r="F1000" s="82">
        <v>0.03</v>
      </c>
      <c r="G1000" s="82">
        <v>0.1162</v>
      </c>
      <c r="H1000" s="82">
        <v>0.3</v>
      </c>
      <c r="I1000" s="82">
        <v>0.26</v>
      </c>
      <c r="J1000" s="82">
        <v>1.39</v>
      </c>
      <c r="K1000" s="82">
        <v>0.12039999999999998</v>
      </c>
      <c r="L1000" s="82">
        <v>0.1</v>
      </c>
      <c r="M1000" s="82">
        <v>106.20075368276807</v>
      </c>
      <c r="N1000" s="212">
        <v>0</v>
      </c>
      <c r="P1000" s="209"/>
    </row>
    <row r="1001" spans="1:16" x14ac:dyDescent="0.25">
      <c r="A1001" s="87">
        <v>2</v>
      </c>
      <c r="B1001" s="82">
        <v>0</v>
      </c>
      <c r="C1001" s="82" t="s">
        <v>39</v>
      </c>
      <c r="D1001" s="82" t="s">
        <v>39</v>
      </c>
      <c r="E1001" s="82" t="s">
        <v>39</v>
      </c>
      <c r="F1001" s="82" t="e">
        <v>#VALUE!</v>
      </c>
      <c r="G1001" s="82" t="e">
        <v>#VALUE!</v>
      </c>
      <c r="H1001" s="82" t="s">
        <v>39</v>
      </c>
      <c r="I1001" s="82" t="e">
        <v>#VALUE!</v>
      </c>
      <c r="J1001" s="82" t="s">
        <v>39</v>
      </c>
      <c r="K1001" s="82" t="s">
        <v>39</v>
      </c>
      <c r="L1001" s="82">
        <v>0.1</v>
      </c>
      <c r="M1001" s="82" t="e">
        <v>#VALUE!</v>
      </c>
      <c r="N1001" s="212">
        <v>0</v>
      </c>
      <c r="P1001" s="209" t="s">
        <v>966</v>
      </c>
    </row>
    <row r="1002" spans="1:16" x14ac:dyDescent="0.25">
      <c r="A1002" s="87">
        <v>3</v>
      </c>
      <c r="B1002" s="82"/>
      <c r="C1002" s="82"/>
      <c r="D1002" s="82"/>
      <c r="E1002" s="82"/>
      <c r="F1002" s="82"/>
      <c r="G1002" s="82"/>
      <c r="H1002" s="82"/>
      <c r="I1002" s="82"/>
      <c r="J1002" s="82"/>
      <c r="K1002" s="82"/>
      <c r="L1002" s="82"/>
      <c r="M1002" s="82"/>
      <c r="N1002" s="212"/>
      <c r="P1002" s="209"/>
    </row>
    <row r="1003" spans="1:16" x14ac:dyDescent="0.25">
      <c r="A1003" s="87">
        <v>4</v>
      </c>
      <c r="B1003" s="82"/>
      <c r="C1003" s="82"/>
      <c r="D1003" s="82"/>
      <c r="E1003" s="82"/>
      <c r="F1003" s="82"/>
      <c r="G1003" s="82"/>
      <c r="H1003" s="82"/>
      <c r="I1003" s="82"/>
      <c r="J1003" s="82"/>
      <c r="K1003" s="82"/>
      <c r="L1003" s="82"/>
      <c r="M1003" s="82"/>
      <c r="N1003" s="212"/>
      <c r="P1003" s="209"/>
    </row>
    <row r="1004" spans="1:16" x14ac:dyDescent="0.25">
      <c r="A1004" s="87">
        <v>5</v>
      </c>
      <c r="B1004" s="82"/>
      <c r="C1004" s="82"/>
      <c r="D1004" s="82"/>
      <c r="E1004" s="82"/>
      <c r="F1004" s="82"/>
      <c r="G1004" s="82"/>
      <c r="H1004" s="82"/>
      <c r="I1004" s="82"/>
      <c r="J1004" s="82"/>
      <c r="K1004" s="82"/>
      <c r="L1004" s="82"/>
      <c r="M1004" s="82"/>
      <c r="N1004" s="212"/>
      <c r="P1004" s="209"/>
    </row>
    <row r="1005" spans="1:16" x14ac:dyDescent="0.25">
      <c r="A1005" s="87">
        <v>6</v>
      </c>
      <c r="B1005" s="82"/>
      <c r="C1005" s="82"/>
      <c r="D1005" s="82"/>
      <c r="E1005" s="82"/>
      <c r="F1005" s="82"/>
      <c r="G1005" s="82"/>
      <c r="H1005" s="82"/>
      <c r="I1005" s="82"/>
      <c r="J1005" s="82"/>
      <c r="K1005" s="82"/>
      <c r="L1005" s="82"/>
      <c r="M1005" s="82"/>
      <c r="N1005" s="212"/>
      <c r="P1005" s="209"/>
    </row>
    <row r="1006" spans="1:16" x14ac:dyDescent="0.25">
      <c r="A1006" s="87">
        <v>7</v>
      </c>
      <c r="B1006" s="82"/>
      <c r="C1006" s="82"/>
      <c r="D1006" s="82"/>
      <c r="E1006" s="82"/>
      <c r="F1006" s="82"/>
      <c r="G1006" s="82"/>
      <c r="H1006" s="82"/>
      <c r="I1006" s="82"/>
      <c r="J1006" s="82"/>
      <c r="K1006" s="82"/>
      <c r="L1006" s="82"/>
      <c r="M1006" s="82"/>
      <c r="N1006" s="212"/>
      <c r="P1006" s="209"/>
    </row>
    <row r="1007" spans="1:16" x14ac:dyDescent="0.25">
      <c r="A1007" s="87">
        <v>8</v>
      </c>
      <c r="B1007" s="82"/>
      <c r="C1007" s="82"/>
      <c r="D1007" s="82"/>
      <c r="E1007" s="82"/>
      <c r="F1007" s="82"/>
      <c r="G1007" s="82"/>
      <c r="H1007" s="82"/>
      <c r="I1007" s="82"/>
      <c r="J1007" s="82"/>
      <c r="K1007" s="82"/>
      <c r="L1007" s="82"/>
      <c r="M1007" s="82"/>
      <c r="N1007" s="212"/>
      <c r="P1007" s="209"/>
    </row>
    <row r="1008" spans="1:16" x14ac:dyDescent="0.25">
      <c r="A1008" s="87">
        <v>9</v>
      </c>
      <c r="B1008" s="82"/>
      <c r="C1008" s="82"/>
      <c r="D1008" s="82"/>
      <c r="E1008" s="82"/>
      <c r="F1008" s="82"/>
      <c r="G1008" s="82"/>
      <c r="H1008" s="82"/>
      <c r="I1008" s="82"/>
      <c r="J1008" s="82"/>
      <c r="K1008" s="82"/>
      <c r="L1008" s="82"/>
      <c r="M1008" s="82"/>
      <c r="N1008" s="212"/>
      <c r="P1008" s="209"/>
    </row>
    <row r="1009" spans="1:16" ht="13" thickBot="1" x14ac:dyDescent="0.3">
      <c r="A1009" s="218">
        <v>10</v>
      </c>
      <c r="B1009" s="104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213"/>
      <c r="P1009" s="209"/>
    </row>
    <row r="1010" spans="1:16" x14ac:dyDescent="0.25">
      <c r="A1010" s="3"/>
      <c r="C1010" s="3"/>
      <c r="D1010" s="3"/>
      <c r="E1010" s="3"/>
      <c r="F1010" s="3"/>
      <c r="P1010" s="209"/>
    </row>
    <row r="1012" spans="1:16" x14ac:dyDescent="0.25">
      <c r="A1012" t="s">
        <v>677</v>
      </c>
      <c r="N1012">
        <v>55</v>
      </c>
    </row>
    <row r="1013" spans="1:16" x14ac:dyDescent="0.25">
      <c r="A1013" t="s">
        <v>672</v>
      </c>
      <c r="C1013" t="s">
        <v>673</v>
      </c>
    </row>
    <row r="1014" spans="1:16" x14ac:dyDescent="0.25">
      <c r="A1014" t="s">
        <v>934</v>
      </c>
      <c r="C1014">
        <v>1152</v>
      </c>
      <c r="P1014">
        <v>1012</v>
      </c>
    </row>
    <row r="1015" spans="1:16" ht="13" x14ac:dyDescent="0.3">
      <c r="A1015" t="s">
        <v>681</v>
      </c>
      <c r="B1015" s="3" t="s">
        <v>680</v>
      </c>
      <c r="C1015" t="s">
        <v>678</v>
      </c>
      <c r="D1015" t="s">
        <v>695</v>
      </c>
      <c r="E1015" t="s">
        <v>679</v>
      </c>
      <c r="F1015" s="41" t="s">
        <v>1186</v>
      </c>
    </row>
    <row r="1016" spans="1:16" x14ac:dyDescent="0.25">
      <c r="A1016">
        <v>2</v>
      </c>
      <c r="B1016" s="3">
        <v>2</v>
      </c>
      <c r="C1016">
        <v>0.12</v>
      </c>
      <c r="D1016">
        <v>29</v>
      </c>
      <c r="E1016">
        <v>81</v>
      </c>
      <c r="F1016" s="78">
        <v>1</v>
      </c>
      <c r="M1016" t="s">
        <v>65</v>
      </c>
      <c r="N1016" t="s">
        <v>65</v>
      </c>
    </row>
    <row r="1017" spans="1:16" x14ac:dyDescent="0.25">
      <c r="C1017" t="s">
        <v>20</v>
      </c>
      <c r="D1017" t="s">
        <v>20</v>
      </c>
      <c r="E1017" t="s">
        <v>20</v>
      </c>
      <c r="G1017" t="s">
        <v>39</v>
      </c>
      <c r="H1017" t="s">
        <v>39</v>
      </c>
      <c r="I1017" t="s">
        <v>39</v>
      </c>
      <c r="J1017" t="s">
        <v>63</v>
      </c>
      <c r="K1017" t="s">
        <v>62</v>
      </c>
      <c r="L1017" t="s">
        <v>39</v>
      </c>
      <c r="M1017" t="s">
        <v>64</v>
      </c>
      <c r="N1017" t="s">
        <v>64</v>
      </c>
    </row>
    <row r="1018" spans="1:16" x14ac:dyDescent="0.25">
      <c r="A1018" t="s">
        <v>32</v>
      </c>
      <c r="B1018" s="3" t="s">
        <v>33</v>
      </c>
      <c r="C1018" t="s">
        <v>34</v>
      </c>
      <c r="D1018" t="s">
        <v>35</v>
      </c>
      <c r="E1018" t="s">
        <v>814</v>
      </c>
      <c r="F1018" t="s">
        <v>816</v>
      </c>
      <c r="G1018" t="s">
        <v>815</v>
      </c>
      <c r="H1018" t="s">
        <v>36</v>
      </c>
      <c r="I1018" t="s">
        <v>66</v>
      </c>
      <c r="J1018" t="s">
        <v>56</v>
      </c>
      <c r="K1018" t="s">
        <v>57</v>
      </c>
      <c r="L1018" t="s">
        <v>58</v>
      </c>
      <c r="M1018" t="s">
        <v>59</v>
      </c>
      <c r="N1018" t="s">
        <v>60</v>
      </c>
    </row>
    <row r="1019" spans="1:16" x14ac:dyDescent="0.25">
      <c r="A1019">
        <v>1</v>
      </c>
      <c r="B1019" s="3">
        <v>300</v>
      </c>
      <c r="C1019">
        <v>0.45300000000000001</v>
      </c>
      <c r="D1019">
        <v>0.218</v>
      </c>
      <c r="E1019">
        <v>8.5999999999999993E-2</v>
      </c>
      <c r="F1019">
        <v>2.8666666666666663E-2</v>
      </c>
      <c r="G1019">
        <v>0.1124</v>
      </c>
      <c r="H1019">
        <v>0.3</v>
      </c>
      <c r="I1019">
        <v>0.1</v>
      </c>
      <c r="J1019">
        <v>1.41</v>
      </c>
      <c r="K1019">
        <v>0.16855999999999999</v>
      </c>
      <c r="L1019">
        <v>0.1</v>
      </c>
      <c r="M1019">
        <v>34.898120004502985</v>
      </c>
      <c r="N1019">
        <v>0</v>
      </c>
    </row>
    <row r="1020" spans="1:16" x14ac:dyDescent="0.25">
      <c r="A1020">
        <v>2</v>
      </c>
      <c r="B1020" s="3">
        <v>0</v>
      </c>
      <c r="C1020" t="s">
        <v>39</v>
      </c>
      <c r="D1020" t="s">
        <v>39</v>
      </c>
      <c r="E1020" t="s">
        <v>39</v>
      </c>
      <c r="F1020" t="e">
        <v>#VALUE!</v>
      </c>
      <c r="G1020" t="e">
        <v>#VALUE!</v>
      </c>
      <c r="H1020" t="s">
        <v>39</v>
      </c>
      <c r="I1020" t="e">
        <v>#VALUE!</v>
      </c>
      <c r="J1020" t="s">
        <v>39</v>
      </c>
      <c r="K1020" t="s">
        <v>39</v>
      </c>
      <c r="L1020">
        <v>0.1</v>
      </c>
      <c r="M1020" t="e">
        <v>#VALUE!</v>
      </c>
      <c r="N1020">
        <v>0</v>
      </c>
      <c r="P1020" t="s">
        <v>966</v>
      </c>
    </row>
    <row r="1021" spans="1:16" x14ac:dyDescent="0.25">
      <c r="A1021">
        <v>3</v>
      </c>
    </row>
    <row r="1022" spans="1:16" x14ac:dyDescent="0.25">
      <c r="A1022">
        <v>4</v>
      </c>
    </row>
    <row r="1023" spans="1:16" x14ac:dyDescent="0.25">
      <c r="A1023">
        <v>5</v>
      </c>
    </row>
    <row r="1024" spans="1:16" x14ac:dyDescent="0.25">
      <c r="A1024">
        <v>6</v>
      </c>
    </row>
    <row r="1025" spans="1:16" x14ac:dyDescent="0.25">
      <c r="A1025">
        <v>7</v>
      </c>
    </row>
    <row r="1026" spans="1:16" x14ac:dyDescent="0.25">
      <c r="A1026">
        <v>8</v>
      </c>
    </row>
    <row r="1027" spans="1:16" x14ac:dyDescent="0.25">
      <c r="A1027">
        <v>9</v>
      </c>
    </row>
    <row r="1028" spans="1:16" x14ac:dyDescent="0.25">
      <c r="A1028">
        <v>10</v>
      </c>
    </row>
    <row r="1031" spans="1:16" x14ac:dyDescent="0.25">
      <c r="A1031" t="s">
        <v>677</v>
      </c>
      <c r="N1031">
        <v>56</v>
      </c>
    </row>
    <row r="1032" spans="1:16" x14ac:dyDescent="0.25">
      <c r="A1032" t="s">
        <v>672</v>
      </c>
      <c r="C1032" t="s">
        <v>673</v>
      </c>
    </row>
    <row r="1033" spans="1:16" x14ac:dyDescent="0.25">
      <c r="A1033" t="s">
        <v>936</v>
      </c>
      <c r="C1033">
        <v>1152</v>
      </c>
      <c r="P1033">
        <v>1031</v>
      </c>
    </row>
    <row r="1034" spans="1:16" ht="13" x14ac:dyDescent="0.3">
      <c r="A1034" t="s">
        <v>681</v>
      </c>
      <c r="B1034" s="3" t="s">
        <v>680</v>
      </c>
      <c r="C1034" t="s">
        <v>678</v>
      </c>
      <c r="D1034" t="s">
        <v>695</v>
      </c>
      <c r="E1034" t="s">
        <v>679</v>
      </c>
      <c r="F1034" s="41" t="s">
        <v>1186</v>
      </c>
    </row>
    <row r="1035" spans="1:16" x14ac:dyDescent="0.25">
      <c r="A1035">
        <v>2</v>
      </c>
      <c r="B1035" s="3">
        <v>2</v>
      </c>
      <c r="C1035">
        <v>0.12</v>
      </c>
      <c r="D1035">
        <v>28</v>
      </c>
      <c r="E1035">
        <v>81</v>
      </c>
      <c r="F1035" s="78">
        <v>1</v>
      </c>
      <c r="M1035" t="s">
        <v>65</v>
      </c>
      <c r="N1035" t="s">
        <v>65</v>
      </c>
    </row>
    <row r="1036" spans="1:16" x14ac:dyDescent="0.25">
      <c r="C1036" t="s">
        <v>20</v>
      </c>
      <c r="D1036" t="s">
        <v>20</v>
      </c>
      <c r="E1036" t="s">
        <v>20</v>
      </c>
      <c r="G1036" t="s">
        <v>39</v>
      </c>
      <c r="H1036" t="s">
        <v>39</v>
      </c>
      <c r="I1036" t="s">
        <v>39</v>
      </c>
      <c r="J1036" t="s">
        <v>63</v>
      </c>
      <c r="K1036" t="s">
        <v>62</v>
      </c>
      <c r="L1036" t="s">
        <v>39</v>
      </c>
      <c r="M1036" t="s">
        <v>64</v>
      </c>
      <c r="N1036" t="s">
        <v>64</v>
      </c>
    </row>
    <row r="1037" spans="1:16" x14ac:dyDescent="0.25">
      <c r="A1037" t="s">
        <v>32</v>
      </c>
      <c r="B1037" s="3" t="s">
        <v>33</v>
      </c>
      <c r="C1037" t="s">
        <v>34</v>
      </c>
      <c r="D1037" t="s">
        <v>35</v>
      </c>
      <c r="E1037" t="s">
        <v>814</v>
      </c>
      <c r="F1037" t="s">
        <v>816</v>
      </c>
      <c r="G1037" t="s">
        <v>815</v>
      </c>
      <c r="H1037" t="s">
        <v>36</v>
      </c>
      <c r="I1037" t="s">
        <v>66</v>
      </c>
      <c r="J1037" t="s">
        <v>56</v>
      </c>
      <c r="K1037" t="s">
        <v>57</v>
      </c>
      <c r="L1037" t="s">
        <v>58</v>
      </c>
      <c r="M1037" t="s">
        <v>59</v>
      </c>
      <c r="N1037" t="s">
        <v>60</v>
      </c>
    </row>
    <row r="1038" spans="1:16" x14ac:dyDescent="0.25">
      <c r="A1038">
        <v>1</v>
      </c>
      <c r="B1038" s="3">
        <v>300</v>
      </c>
      <c r="C1038">
        <v>0.45300000000000001</v>
      </c>
      <c r="D1038">
        <v>0.218</v>
      </c>
      <c r="E1038">
        <v>8.5999999999999993E-2</v>
      </c>
      <c r="F1038">
        <v>2.8666666666666663E-2</v>
      </c>
      <c r="G1038">
        <v>0.1124</v>
      </c>
      <c r="H1038">
        <v>0.3</v>
      </c>
      <c r="I1038">
        <v>0.1</v>
      </c>
      <c r="J1038">
        <v>1.41</v>
      </c>
      <c r="K1038">
        <v>0.16855999999999999</v>
      </c>
      <c r="L1038">
        <v>0.1</v>
      </c>
      <c r="M1038">
        <v>34.898120004502985</v>
      </c>
      <c r="N1038">
        <v>0</v>
      </c>
    </row>
    <row r="1039" spans="1:16" x14ac:dyDescent="0.25">
      <c r="A1039">
        <v>2</v>
      </c>
      <c r="B1039" s="3">
        <v>0</v>
      </c>
      <c r="C1039" t="s">
        <v>39</v>
      </c>
      <c r="D1039" t="s">
        <v>39</v>
      </c>
      <c r="E1039" t="s">
        <v>39</v>
      </c>
      <c r="F1039" t="e">
        <v>#VALUE!</v>
      </c>
      <c r="G1039" t="e">
        <v>#VALUE!</v>
      </c>
      <c r="H1039" t="s">
        <v>39</v>
      </c>
      <c r="I1039" t="e">
        <v>#VALUE!</v>
      </c>
      <c r="J1039" t="s">
        <v>39</v>
      </c>
      <c r="K1039" t="s">
        <v>39</v>
      </c>
      <c r="L1039">
        <v>0.1</v>
      </c>
      <c r="M1039" t="e">
        <v>#VALUE!</v>
      </c>
      <c r="N1039">
        <v>0</v>
      </c>
      <c r="P1039" t="s">
        <v>966</v>
      </c>
    </row>
    <row r="1040" spans="1:16" x14ac:dyDescent="0.25">
      <c r="A1040">
        <v>3</v>
      </c>
    </row>
    <row r="1041" spans="1:16" x14ac:dyDescent="0.25">
      <c r="A1041">
        <v>4</v>
      </c>
    </row>
    <row r="1042" spans="1:16" x14ac:dyDescent="0.25">
      <c r="A1042">
        <v>5</v>
      </c>
    </row>
    <row r="1043" spans="1:16" x14ac:dyDescent="0.25">
      <c r="A1043">
        <v>6</v>
      </c>
    </row>
    <row r="1044" spans="1:16" x14ac:dyDescent="0.25">
      <c r="A1044">
        <v>7</v>
      </c>
    </row>
    <row r="1045" spans="1:16" x14ac:dyDescent="0.25">
      <c r="A1045">
        <v>8</v>
      </c>
    </row>
    <row r="1046" spans="1:16" x14ac:dyDescent="0.25">
      <c r="A1046">
        <v>9</v>
      </c>
    </row>
    <row r="1047" spans="1:16" x14ac:dyDescent="0.25">
      <c r="A1047">
        <v>10</v>
      </c>
    </row>
    <row r="1050" spans="1:16" x14ac:dyDescent="0.25">
      <c r="A1050" t="s">
        <v>677</v>
      </c>
      <c r="N1050">
        <v>57</v>
      </c>
    </row>
    <row r="1051" spans="1:16" x14ac:dyDescent="0.25">
      <c r="A1051" t="s">
        <v>672</v>
      </c>
      <c r="C1051" t="s">
        <v>673</v>
      </c>
    </row>
    <row r="1052" spans="1:16" x14ac:dyDescent="0.25">
      <c r="A1052" t="s">
        <v>938</v>
      </c>
      <c r="C1052">
        <v>1114</v>
      </c>
      <c r="P1052">
        <v>1050</v>
      </c>
    </row>
    <row r="1053" spans="1:16" ht="13" x14ac:dyDescent="0.3">
      <c r="A1053" t="s">
        <v>681</v>
      </c>
      <c r="B1053" s="3" t="s">
        <v>680</v>
      </c>
      <c r="C1053" t="s">
        <v>678</v>
      </c>
      <c r="D1053" t="s">
        <v>695</v>
      </c>
      <c r="E1053" t="s">
        <v>679</v>
      </c>
      <c r="F1053" s="41" t="s">
        <v>1186</v>
      </c>
    </row>
    <row r="1054" spans="1:16" x14ac:dyDescent="0.25">
      <c r="A1054">
        <v>2</v>
      </c>
      <c r="B1054" s="3">
        <v>2</v>
      </c>
      <c r="C1054">
        <v>0.12</v>
      </c>
      <c r="D1054">
        <v>27</v>
      </c>
      <c r="E1054">
        <v>81</v>
      </c>
      <c r="F1054" s="78">
        <v>1</v>
      </c>
      <c r="M1054" t="s">
        <v>65</v>
      </c>
      <c r="N1054" t="s">
        <v>65</v>
      </c>
    </row>
    <row r="1055" spans="1:16" x14ac:dyDescent="0.25">
      <c r="C1055" t="s">
        <v>20</v>
      </c>
      <c r="D1055" t="s">
        <v>20</v>
      </c>
      <c r="E1055" t="s">
        <v>20</v>
      </c>
      <c r="G1055" t="s">
        <v>39</v>
      </c>
      <c r="H1055" t="s">
        <v>39</v>
      </c>
      <c r="I1055" t="s">
        <v>39</v>
      </c>
      <c r="J1055" t="s">
        <v>63</v>
      </c>
      <c r="K1055" t="s">
        <v>62</v>
      </c>
      <c r="L1055" t="s">
        <v>39</v>
      </c>
      <c r="M1055" t="s">
        <v>64</v>
      </c>
      <c r="N1055" t="s">
        <v>64</v>
      </c>
    </row>
    <row r="1056" spans="1:16" x14ac:dyDescent="0.25">
      <c r="A1056" t="s">
        <v>32</v>
      </c>
      <c r="B1056" s="3" t="s">
        <v>33</v>
      </c>
      <c r="C1056" t="s">
        <v>34</v>
      </c>
      <c r="D1056" t="s">
        <v>35</v>
      </c>
      <c r="E1056" t="s">
        <v>814</v>
      </c>
      <c r="F1056" t="s">
        <v>816</v>
      </c>
      <c r="G1056" t="s">
        <v>815</v>
      </c>
      <c r="H1056" t="s">
        <v>36</v>
      </c>
      <c r="I1056" t="s">
        <v>66</v>
      </c>
      <c r="J1056" t="s">
        <v>56</v>
      </c>
      <c r="K1056" t="s">
        <v>57</v>
      </c>
      <c r="L1056" t="s">
        <v>58</v>
      </c>
      <c r="M1056" t="s">
        <v>59</v>
      </c>
      <c r="N1056" t="s">
        <v>60</v>
      </c>
    </row>
    <row r="1057" spans="1:16" x14ac:dyDescent="0.25">
      <c r="A1057">
        <v>1</v>
      </c>
      <c r="B1057" s="3">
        <v>300</v>
      </c>
      <c r="C1057">
        <v>0.40899999999999997</v>
      </c>
      <c r="D1057">
        <v>0.24299999999999999</v>
      </c>
      <c r="E1057">
        <v>0.111</v>
      </c>
      <c r="F1057">
        <v>3.6999999999999998E-2</v>
      </c>
      <c r="G1057">
        <v>0.13739999999999999</v>
      </c>
      <c r="H1057">
        <v>0.3</v>
      </c>
      <c r="I1057">
        <v>0.1</v>
      </c>
      <c r="J1057">
        <v>1.4</v>
      </c>
      <c r="K1057">
        <v>5.4179999999999999E-2</v>
      </c>
      <c r="L1057">
        <v>0.1</v>
      </c>
      <c r="M1057">
        <v>35.147392290249435</v>
      </c>
      <c r="N1057">
        <v>0</v>
      </c>
    </row>
    <row r="1058" spans="1:16" x14ac:dyDescent="0.25">
      <c r="A1058">
        <v>2</v>
      </c>
      <c r="B1058" s="3">
        <v>700</v>
      </c>
      <c r="C1058">
        <v>0.39500000000000002</v>
      </c>
      <c r="D1058">
        <v>0.255</v>
      </c>
      <c r="E1058">
        <v>0.123</v>
      </c>
      <c r="F1058">
        <v>4.1000000000000002E-2</v>
      </c>
      <c r="G1058">
        <v>0.14940000000000001</v>
      </c>
      <c r="H1058">
        <v>0.3</v>
      </c>
      <c r="I1058">
        <v>0.1</v>
      </c>
      <c r="J1058">
        <v>1.38</v>
      </c>
      <c r="K1058">
        <v>3.6979999999999999E-2</v>
      </c>
      <c r="L1058">
        <v>0.1</v>
      </c>
      <c r="M1058">
        <v>7.6407374544020525</v>
      </c>
      <c r="N1058">
        <v>0</v>
      </c>
      <c r="P1058" t="s">
        <v>966</v>
      </c>
    </row>
    <row r="1059" spans="1:16" x14ac:dyDescent="0.25">
      <c r="A1059">
        <v>3</v>
      </c>
    </row>
    <row r="1060" spans="1:16" x14ac:dyDescent="0.25">
      <c r="A1060">
        <v>4</v>
      </c>
    </row>
    <row r="1061" spans="1:16" x14ac:dyDescent="0.25">
      <c r="A1061">
        <v>5</v>
      </c>
    </row>
    <row r="1062" spans="1:16" x14ac:dyDescent="0.25">
      <c r="A1062">
        <v>6</v>
      </c>
    </row>
    <row r="1063" spans="1:16" x14ac:dyDescent="0.25">
      <c r="A1063">
        <v>7</v>
      </c>
    </row>
    <row r="1064" spans="1:16" x14ac:dyDescent="0.25">
      <c r="A1064">
        <v>8</v>
      </c>
    </row>
    <row r="1065" spans="1:16" x14ac:dyDescent="0.25">
      <c r="A1065">
        <v>9</v>
      </c>
    </row>
    <row r="1066" spans="1:16" x14ac:dyDescent="0.25">
      <c r="A1066">
        <v>10</v>
      </c>
    </row>
    <row r="1069" spans="1:16" x14ac:dyDescent="0.25">
      <c r="A1069" t="s">
        <v>677</v>
      </c>
      <c r="N1069">
        <v>58</v>
      </c>
    </row>
    <row r="1070" spans="1:16" x14ac:dyDescent="0.25">
      <c r="A1070" t="s">
        <v>672</v>
      </c>
      <c r="C1070" t="s">
        <v>673</v>
      </c>
    </row>
    <row r="1071" spans="1:16" x14ac:dyDescent="0.25">
      <c r="A1071" t="s">
        <v>940</v>
      </c>
      <c r="C1071">
        <v>1397</v>
      </c>
      <c r="P1071">
        <v>1069</v>
      </c>
    </row>
    <row r="1072" spans="1:16" ht="13" x14ac:dyDescent="0.3">
      <c r="A1072" t="s">
        <v>681</v>
      </c>
      <c r="B1072" s="3" t="s">
        <v>680</v>
      </c>
      <c r="C1072" t="s">
        <v>678</v>
      </c>
      <c r="D1072" t="s">
        <v>695</v>
      </c>
      <c r="E1072" t="s">
        <v>679</v>
      </c>
      <c r="F1072" s="41" t="s">
        <v>1186</v>
      </c>
    </row>
    <row r="1073" spans="1:16" x14ac:dyDescent="0.25">
      <c r="A1073">
        <v>2</v>
      </c>
      <c r="B1073" s="3">
        <v>2</v>
      </c>
      <c r="C1073">
        <v>0.15</v>
      </c>
      <c r="D1073">
        <v>26</v>
      </c>
      <c r="E1073">
        <v>61</v>
      </c>
      <c r="F1073" s="78">
        <v>1</v>
      </c>
      <c r="M1073" t="s">
        <v>65</v>
      </c>
      <c r="N1073" t="s">
        <v>65</v>
      </c>
    </row>
    <row r="1074" spans="1:16" x14ac:dyDescent="0.25">
      <c r="C1074" t="s">
        <v>20</v>
      </c>
      <c r="D1074" t="s">
        <v>20</v>
      </c>
      <c r="E1074" t="s">
        <v>20</v>
      </c>
      <c r="G1074" t="s">
        <v>39</v>
      </c>
      <c r="H1074" t="s">
        <v>39</v>
      </c>
      <c r="I1074" t="s">
        <v>39</v>
      </c>
      <c r="J1074" t="s">
        <v>63</v>
      </c>
      <c r="K1074" t="s">
        <v>62</v>
      </c>
      <c r="L1074" t="s">
        <v>39</v>
      </c>
      <c r="M1074" t="s">
        <v>64</v>
      </c>
      <c r="N1074" t="s">
        <v>64</v>
      </c>
    </row>
    <row r="1075" spans="1:16" x14ac:dyDescent="0.25">
      <c r="A1075" t="s">
        <v>32</v>
      </c>
      <c r="B1075" s="3" t="s">
        <v>33</v>
      </c>
      <c r="C1075" t="s">
        <v>34</v>
      </c>
      <c r="D1075" t="s">
        <v>35</v>
      </c>
      <c r="E1075" t="s">
        <v>814</v>
      </c>
      <c r="F1075" t="s">
        <v>816</v>
      </c>
      <c r="G1075" t="s">
        <v>815</v>
      </c>
      <c r="H1075" t="s">
        <v>36</v>
      </c>
      <c r="I1075" t="s">
        <v>66</v>
      </c>
      <c r="J1075" t="s">
        <v>56</v>
      </c>
      <c r="K1075" t="s">
        <v>57</v>
      </c>
      <c r="L1075" t="s">
        <v>58</v>
      </c>
      <c r="M1075" t="s">
        <v>59</v>
      </c>
      <c r="N1075" t="s">
        <v>60</v>
      </c>
    </row>
    <row r="1076" spans="1:16" x14ac:dyDescent="0.25">
      <c r="A1076">
        <v>1</v>
      </c>
      <c r="B1076" s="3">
        <v>300</v>
      </c>
      <c r="C1076">
        <v>0.379</v>
      </c>
      <c r="D1076">
        <v>0.20399999999999999</v>
      </c>
      <c r="E1076">
        <v>7.6999999999999999E-2</v>
      </c>
      <c r="F1076">
        <v>2.5666666666666667E-2</v>
      </c>
      <c r="G1076">
        <v>0.1024</v>
      </c>
      <c r="H1076">
        <v>0.5</v>
      </c>
      <c r="I1076">
        <v>0.1</v>
      </c>
      <c r="J1076">
        <v>1.58</v>
      </c>
      <c r="K1076">
        <v>3.44E-2</v>
      </c>
      <c r="L1076">
        <v>0.1</v>
      </c>
      <c r="M1076">
        <v>31.143258991360259</v>
      </c>
      <c r="N1076">
        <v>0</v>
      </c>
    </row>
    <row r="1077" spans="1:16" x14ac:dyDescent="0.25">
      <c r="A1077">
        <v>2</v>
      </c>
      <c r="B1077" s="3">
        <v>700</v>
      </c>
      <c r="C1077">
        <v>0.36799999999999999</v>
      </c>
      <c r="D1077">
        <v>0.24199999999999999</v>
      </c>
      <c r="E1077">
        <v>0.11</v>
      </c>
      <c r="F1077">
        <v>3.6666666666666667E-2</v>
      </c>
      <c r="G1077">
        <v>0.13639999999999999</v>
      </c>
      <c r="H1077">
        <v>0.4</v>
      </c>
      <c r="I1077">
        <v>0.1</v>
      </c>
      <c r="J1077">
        <v>1.45</v>
      </c>
      <c r="K1077">
        <v>2.5799999999999997E-2</v>
      </c>
      <c r="L1077">
        <v>0.1</v>
      </c>
      <c r="M1077">
        <v>7.2718742669481591</v>
      </c>
      <c r="N1077">
        <v>0</v>
      </c>
      <c r="P1077" t="s">
        <v>966</v>
      </c>
    </row>
    <row r="1078" spans="1:16" x14ac:dyDescent="0.25">
      <c r="A1078">
        <v>3</v>
      </c>
    </row>
    <row r="1079" spans="1:16" x14ac:dyDescent="0.25">
      <c r="A1079">
        <v>4</v>
      </c>
    </row>
    <row r="1080" spans="1:16" x14ac:dyDescent="0.25">
      <c r="A1080">
        <v>5</v>
      </c>
    </row>
    <row r="1081" spans="1:16" x14ac:dyDescent="0.25">
      <c r="A1081">
        <v>6</v>
      </c>
    </row>
    <row r="1082" spans="1:16" x14ac:dyDescent="0.25">
      <c r="A1082">
        <v>7</v>
      </c>
    </row>
    <row r="1083" spans="1:16" x14ac:dyDescent="0.25">
      <c r="A1083">
        <v>8</v>
      </c>
    </row>
    <row r="1084" spans="1:16" x14ac:dyDescent="0.25">
      <c r="A1084">
        <v>9</v>
      </c>
    </row>
    <row r="1085" spans="1:16" x14ac:dyDescent="0.25">
      <c r="A1085">
        <v>10</v>
      </c>
    </row>
    <row r="1088" spans="1:16" x14ac:dyDescent="0.25">
      <c r="A1088" t="s">
        <v>677</v>
      </c>
      <c r="N1088">
        <v>59</v>
      </c>
    </row>
    <row r="1089" spans="1:16" x14ac:dyDescent="0.25">
      <c r="A1089" t="s">
        <v>672</v>
      </c>
      <c r="C1089" t="s">
        <v>673</v>
      </c>
    </row>
    <row r="1090" spans="1:16" x14ac:dyDescent="0.25">
      <c r="A1090" t="s">
        <v>942</v>
      </c>
      <c r="C1090">
        <v>1843</v>
      </c>
      <c r="P1090">
        <v>1088</v>
      </c>
    </row>
    <row r="1091" spans="1:16" ht="13" x14ac:dyDescent="0.3">
      <c r="A1091" t="s">
        <v>681</v>
      </c>
      <c r="B1091" s="3" t="s">
        <v>680</v>
      </c>
      <c r="C1091" t="s">
        <v>678</v>
      </c>
      <c r="D1091" t="s">
        <v>695</v>
      </c>
      <c r="E1091" t="s">
        <v>679</v>
      </c>
      <c r="F1091" s="41" t="s">
        <v>1186</v>
      </c>
    </row>
    <row r="1092" spans="1:16" x14ac:dyDescent="0.25">
      <c r="A1092">
        <v>2</v>
      </c>
      <c r="B1092" s="3">
        <v>2</v>
      </c>
      <c r="C1092">
        <v>0.15</v>
      </c>
      <c r="D1092">
        <v>23</v>
      </c>
      <c r="E1092">
        <v>61</v>
      </c>
      <c r="F1092" s="78">
        <v>1</v>
      </c>
      <c r="M1092" t="s">
        <v>65</v>
      </c>
      <c r="N1092" t="s">
        <v>65</v>
      </c>
    </row>
    <row r="1093" spans="1:16" x14ac:dyDescent="0.25">
      <c r="C1093" t="s">
        <v>20</v>
      </c>
      <c r="D1093" t="s">
        <v>20</v>
      </c>
      <c r="E1093" t="s">
        <v>20</v>
      </c>
      <c r="G1093" t="s">
        <v>39</v>
      </c>
      <c r="H1093" t="s">
        <v>39</v>
      </c>
      <c r="I1093" t="s">
        <v>39</v>
      </c>
      <c r="J1093" t="s">
        <v>63</v>
      </c>
      <c r="K1093" t="s">
        <v>62</v>
      </c>
      <c r="L1093" t="s">
        <v>39</v>
      </c>
      <c r="M1093" t="s">
        <v>64</v>
      </c>
      <c r="N1093" t="s">
        <v>64</v>
      </c>
    </row>
    <row r="1094" spans="1:16" x14ac:dyDescent="0.25">
      <c r="A1094" t="s">
        <v>32</v>
      </c>
      <c r="B1094" s="3" t="s">
        <v>33</v>
      </c>
      <c r="C1094" t="s">
        <v>34</v>
      </c>
      <c r="D1094" t="s">
        <v>35</v>
      </c>
      <c r="E1094" t="s">
        <v>814</v>
      </c>
      <c r="F1094" t="s">
        <v>816</v>
      </c>
      <c r="G1094" t="s">
        <v>815</v>
      </c>
      <c r="H1094" t="s">
        <v>36</v>
      </c>
      <c r="I1094" t="s">
        <v>66</v>
      </c>
      <c r="J1094" t="s">
        <v>56</v>
      </c>
      <c r="K1094" t="s">
        <v>57</v>
      </c>
      <c r="L1094" t="s">
        <v>58</v>
      </c>
      <c r="M1094" t="s">
        <v>59</v>
      </c>
      <c r="N1094" t="s">
        <v>60</v>
      </c>
    </row>
    <row r="1095" spans="1:16" x14ac:dyDescent="0.25">
      <c r="A1095">
        <v>1</v>
      </c>
      <c r="B1095" s="3">
        <v>300</v>
      </c>
      <c r="C1095">
        <v>0.315</v>
      </c>
      <c r="D1095">
        <v>0.20300000000000001</v>
      </c>
      <c r="E1095">
        <v>9.1999999999999998E-2</v>
      </c>
      <c r="F1095">
        <v>3.0666666666666665E-2</v>
      </c>
      <c r="G1095">
        <v>0.1142</v>
      </c>
      <c r="H1095">
        <v>0.5</v>
      </c>
      <c r="I1095">
        <v>0.04</v>
      </c>
      <c r="J1095">
        <v>1.7</v>
      </c>
      <c r="K1095">
        <v>2.7519999999999999E-2</v>
      </c>
      <c r="L1095">
        <v>0.1</v>
      </c>
      <c r="M1095">
        <v>28.944911297852475</v>
      </c>
      <c r="N1095">
        <v>0</v>
      </c>
    </row>
    <row r="1096" spans="1:16" x14ac:dyDescent="0.25">
      <c r="A1096">
        <v>2</v>
      </c>
      <c r="B1096" s="3">
        <v>700</v>
      </c>
      <c r="C1096">
        <v>0.32200000000000001</v>
      </c>
      <c r="D1096">
        <v>0.221</v>
      </c>
      <c r="E1096">
        <v>0.10100000000000001</v>
      </c>
      <c r="F1096">
        <v>3.3666666666666671E-2</v>
      </c>
      <c r="G1096">
        <v>0.125</v>
      </c>
      <c r="H1096">
        <v>0.5</v>
      </c>
      <c r="I1096">
        <v>0.05</v>
      </c>
      <c r="J1096">
        <v>1.6</v>
      </c>
      <c r="K1096">
        <v>1.9779999999999999E-2</v>
      </c>
      <c r="L1096">
        <v>0.1</v>
      </c>
      <c r="M1096">
        <v>6.5901360544217695</v>
      </c>
      <c r="N1096">
        <v>0</v>
      </c>
      <c r="P1096" t="s">
        <v>966</v>
      </c>
    </row>
    <row r="1097" spans="1:16" x14ac:dyDescent="0.25">
      <c r="A1097">
        <v>3</v>
      </c>
    </row>
    <row r="1098" spans="1:16" x14ac:dyDescent="0.25">
      <c r="A1098">
        <v>4</v>
      </c>
    </row>
    <row r="1099" spans="1:16" x14ac:dyDescent="0.25">
      <c r="A1099">
        <v>5</v>
      </c>
    </row>
    <row r="1100" spans="1:16" x14ac:dyDescent="0.25">
      <c r="A1100">
        <v>6</v>
      </c>
    </row>
    <row r="1101" spans="1:16" x14ac:dyDescent="0.25">
      <c r="A1101">
        <v>7</v>
      </c>
    </row>
    <row r="1102" spans="1:16" x14ac:dyDescent="0.25">
      <c r="A1102">
        <v>8</v>
      </c>
    </row>
    <row r="1103" spans="1:16" x14ac:dyDescent="0.25">
      <c r="A1103">
        <v>9</v>
      </c>
    </row>
    <row r="1104" spans="1:16" x14ac:dyDescent="0.25">
      <c r="A1104">
        <v>10</v>
      </c>
    </row>
    <row r="1107" spans="1:16" x14ac:dyDescent="0.25">
      <c r="A1107" t="s">
        <v>677</v>
      </c>
      <c r="N1107">
        <v>60</v>
      </c>
    </row>
    <row r="1108" spans="1:16" x14ac:dyDescent="0.25">
      <c r="A1108" t="s">
        <v>672</v>
      </c>
      <c r="C1108" t="s">
        <v>673</v>
      </c>
    </row>
    <row r="1109" spans="1:16" x14ac:dyDescent="0.25">
      <c r="A1109" t="s">
        <v>944</v>
      </c>
      <c r="C1109">
        <v>1767</v>
      </c>
      <c r="P1109">
        <v>1107</v>
      </c>
    </row>
    <row r="1110" spans="1:16" ht="13" x14ac:dyDescent="0.3">
      <c r="A1110" t="s">
        <v>681</v>
      </c>
      <c r="B1110" s="3" t="s">
        <v>680</v>
      </c>
      <c r="C1110" t="s">
        <v>678</v>
      </c>
      <c r="D1110" t="s">
        <v>695</v>
      </c>
      <c r="E1110" t="s">
        <v>679</v>
      </c>
      <c r="F1110" s="41" t="s">
        <v>1186</v>
      </c>
    </row>
    <row r="1111" spans="1:16" x14ac:dyDescent="0.25">
      <c r="A1111">
        <v>2</v>
      </c>
      <c r="B1111" s="3">
        <v>2</v>
      </c>
      <c r="C1111">
        <v>0.12</v>
      </c>
      <c r="D1111">
        <v>22</v>
      </c>
      <c r="E1111">
        <v>81</v>
      </c>
      <c r="F1111" s="78">
        <v>1</v>
      </c>
      <c r="M1111" t="s">
        <v>65</v>
      </c>
      <c r="N1111" t="s">
        <v>65</v>
      </c>
    </row>
    <row r="1112" spans="1:16" x14ac:dyDescent="0.25">
      <c r="C1112" t="s">
        <v>20</v>
      </c>
      <c r="D1112" t="s">
        <v>20</v>
      </c>
      <c r="E1112" t="s">
        <v>20</v>
      </c>
      <c r="G1112" t="s">
        <v>39</v>
      </c>
      <c r="H1112" t="s">
        <v>39</v>
      </c>
      <c r="I1112" t="s">
        <v>39</v>
      </c>
      <c r="J1112" t="s">
        <v>63</v>
      </c>
      <c r="K1112" t="s">
        <v>62</v>
      </c>
      <c r="L1112" t="s">
        <v>39</v>
      </c>
      <c r="M1112" t="s">
        <v>64</v>
      </c>
      <c r="N1112" t="s">
        <v>64</v>
      </c>
    </row>
    <row r="1113" spans="1:16" x14ac:dyDescent="0.25">
      <c r="A1113" t="s">
        <v>32</v>
      </c>
      <c r="B1113" s="3" t="s">
        <v>33</v>
      </c>
      <c r="C1113" t="s">
        <v>34</v>
      </c>
      <c r="D1113" t="s">
        <v>35</v>
      </c>
      <c r="E1113" t="s">
        <v>814</v>
      </c>
      <c r="F1113" t="s">
        <v>816</v>
      </c>
      <c r="G1113" t="s">
        <v>815</v>
      </c>
      <c r="H1113" t="s">
        <v>36</v>
      </c>
      <c r="I1113" t="s">
        <v>66</v>
      </c>
      <c r="J1113" t="s">
        <v>56</v>
      </c>
      <c r="K1113" t="s">
        <v>57</v>
      </c>
      <c r="L1113" t="s">
        <v>58</v>
      </c>
      <c r="M1113" t="s">
        <v>59</v>
      </c>
      <c r="N1113" t="s">
        <v>60</v>
      </c>
    </row>
    <row r="1114" spans="1:16" x14ac:dyDescent="0.25">
      <c r="A1114">
        <v>1</v>
      </c>
      <c r="B1114" s="3">
        <v>300</v>
      </c>
      <c r="C1114">
        <v>0.44400000000000001</v>
      </c>
      <c r="D1114">
        <v>0.22500000000000001</v>
      </c>
      <c r="E1114">
        <v>9.2999999999999999E-2</v>
      </c>
      <c r="F1114">
        <v>3.1E-2</v>
      </c>
      <c r="G1114">
        <v>0.11940000000000001</v>
      </c>
      <c r="H1114">
        <v>0.3</v>
      </c>
      <c r="I1114">
        <v>0.04</v>
      </c>
      <c r="J1114">
        <v>1.4</v>
      </c>
      <c r="K1114">
        <v>4.4719999999999996E-2</v>
      </c>
      <c r="L1114">
        <v>0.1</v>
      </c>
      <c r="M1114">
        <v>35.147392290249435</v>
      </c>
      <c r="N1114">
        <v>0</v>
      </c>
    </row>
    <row r="1115" spans="1:16" x14ac:dyDescent="0.25">
      <c r="A1115">
        <v>2</v>
      </c>
      <c r="B1115" s="3">
        <v>700</v>
      </c>
      <c r="C1115">
        <v>0.434</v>
      </c>
      <c r="D1115">
        <v>0.24099999999999999</v>
      </c>
      <c r="E1115">
        <v>0.109</v>
      </c>
      <c r="F1115">
        <v>3.6333333333333336E-2</v>
      </c>
      <c r="G1115">
        <v>0.13539999999999999</v>
      </c>
      <c r="H1115">
        <v>0.3</v>
      </c>
      <c r="I1115">
        <v>0.03</v>
      </c>
      <c r="J1115">
        <v>1.36</v>
      </c>
      <c r="K1115">
        <v>2.5799999999999997E-2</v>
      </c>
      <c r="L1115">
        <v>0.1</v>
      </c>
      <c r="M1115">
        <v>7.7531012404961972</v>
      </c>
      <c r="N1115">
        <v>0</v>
      </c>
      <c r="P1115" t="s">
        <v>966</v>
      </c>
    </row>
    <row r="1116" spans="1:16" x14ac:dyDescent="0.25">
      <c r="A1116">
        <v>3</v>
      </c>
    </row>
    <row r="1117" spans="1:16" x14ac:dyDescent="0.25">
      <c r="A1117">
        <v>4</v>
      </c>
    </row>
    <row r="1118" spans="1:16" x14ac:dyDescent="0.25">
      <c r="A1118">
        <v>5</v>
      </c>
    </row>
    <row r="1119" spans="1:16" x14ac:dyDescent="0.25">
      <c r="A1119">
        <v>6</v>
      </c>
    </row>
    <row r="1120" spans="1:16" x14ac:dyDescent="0.25">
      <c r="A1120">
        <v>7</v>
      </c>
    </row>
    <row r="1121" spans="1:16" x14ac:dyDescent="0.25">
      <c r="A1121">
        <v>8</v>
      </c>
    </row>
    <row r="1122" spans="1:16" x14ac:dyDescent="0.25">
      <c r="A1122">
        <v>9</v>
      </c>
    </row>
    <row r="1123" spans="1:16" x14ac:dyDescent="0.25">
      <c r="A1123">
        <v>10</v>
      </c>
    </row>
    <row r="1126" spans="1:16" x14ac:dyDescent="0.25">
      <c r="A1126" t="s">
        <v>677</v>
      </c>
      <c r="N1126">
        <v>61</v>
      </c>
    </row>
    <row r="1127" spans="1:16" x14ac:dyDescent="0.25">
      <c r="A1127" t="s">
        <v>672</v>
      </c>
      <c r="C1127" t="s">
        <v>673</v>
      </c>
    </row>
    <row r="1128" spans="1:16" x14ac:dyDescent="0.25">
      <c r="A1128" t="s">
        <v>946</v>
      </c>
      <c r="C1128">
        <v>1767</v>
      </c>
      <c r="P1128">
        <v>1126</v>
      </c>
    </row>
    <row r="1129" spans="1:16" ht="13" x14ac:dyDescent="0.3">
      <c r="A1129" t="s">
        <v>681</v>
      </c>
      <c r="B1129" s="3" t="s">
        <v>680</v>
      </c>
      <c r="C1129" t="s">
        <v>678</v>
      </c>
      <c r="D1129" t="s">
        <v>695</v>
      </c>
      <c r="E1129" t="s">
        <v>679</v>
      </c>
      <c r="F1129" s="41" t="s">
        <v>1186</v>
      </c>
    </row>
    <row r="1130" spans="1:16" x14ac:dyDescent="0.25">
      <c r="A1130">
        <v>2</v>
      </c>
      <c r="B1130" s="3">
        <v>2</v>
      </c>
      <c r="C1130">
        <v>0.12</v>
      </c>
      <c r="D1130">
        <v>21</v>
      </c>
      <c r="E1130">
        <v>81</v>
      </c>
      <c r="F1130" s="78">
        <v>1</v>
      </c>
      <c r="M1130" t="s">
        <v>65</v>
      </c>
      <c r="N1130" t="s">
        <v>65</v>
      </c>
    </row>
    <row r="1131" spans="1:16" x14ac:dyDescent="0.25">
      <c r="C1131" t="s">
        <v>20</v>
      </c>
      <c r="D1131" t="s">
        <v>20</v>
      </c>
      <c r="E1131" t="s">
        <v>20</v>
      </c>
      <c r="G1131" t="s">
        <v>39</v>
      </c>
      <c r="H1131" t="s">
        <v>39</v>
      </c>
      <c r="I1131" t="s">
        <v>39</v>
      </c>
      <c r="J1131" t="s">
        <v>63</v>
      </c>
      <c r="K1131" t="s">
        <v>62</v>
      </c>
      <c r="L1131" t="s">
        <v>39</v>
      </c>
      <c r="M1131" t="s">
        <v>64</v>
      </c>
      <c r="N1131" t="s">
        <v>64</v>
      </c>
    </row>
    <row r="1132" spans="1:16" x14ac:dyDescent="0.25">
      <c r="A1132" t="s">
        <v>32</v>
      </c>
      <c r="B1132" s="3" t="s">
        <v>33</v>
      </c>
      <c r="C1132" t="s">
        <v>34</v>
      </c>
      <c r="D1132" t="s">
        <v>35</v>
      </c>
      <c r="E1132" t="s">
        <v>814</v>
      </c>
      <c r="F1132" t="s">
        <v>816</v>
      </c>
      <c r="G1132" t="s">
        <v>815</v>
      </c>
      <c r="H1132" t="s">
        <v>36</v>
      </c>
      <c r="I1132" t="s">
        <v>66</v>
      </c>
      <c r="J1132" t="s">
        <v>56</v>
      </c>
      <c r="K1132" t="s">
        <v>57</v>
      </c>
      <c r="L1132" t="s">
        <v>58</v>
      </c>
      <c r="M1132" t="s">
        <v>59</v>
      </c>
      <c r="N1132" t="s">
        <v>60</v>
      </c>
    </row>
    <row r="1133" spans="1:16" x14ac:dyDescent="0.25">
      <c r="A1133">
        <v>1</v>
      </c>
      <c r="B1133" s="3">
        <v>300</v>
      </c>
      <c r="C1133">
        <v>0.44400000000000001</v>
      </c>
      <c r="D1133">
        <v>0.22500000000000001</v>
      </c>
      <c r="E1133">
        <v>9.2999999999999999E-2</v>
      </c>
      <c r="F1133">
        <v>3.1E-2</v>
      </c>
      <c r="G1133">
        <v>0.11940000000000001</v>
      </c>
      <c r="H1133">
        <v>0.3</v>
      </c>
      <c r="I1133">
        <v>0.04</v>
      </c>
      <c r="J1133">
        <v>1.4</v>
      </c>
      <c r="K1133">
        <v>4.4719999999999996E-2</v>
      </c>
      <c r="L1133">
        <v>0.1</v>
      </c>
      <c r="M1133">
        <v>35.147392290249435</v>
      </c>
      <c r="N1133">
        <v>0</v>
      </c>
    </row>
    <row r="1134" spans="1:16" x14ac:dyDescent="0.25">
      <c r="A1134">
        <v>2</v>
      </c>
      <c r="B1134" s="3">
        <v>700</v>
      </c>
      <c r="C1134">
        <v>0.434</v>
      </c>
      <c r="D1134">
        <v>0.24099999999999999</v>
      </c>
      <c r="E1134">
        <v>0.109</v>
      </c>
      <c r="F1134">
        <v>3.6333333333333336E-2</v>
      </c>
      <c r="G1134">
        <v>0.13539999999999999</v>
      </c>
      <c r="H1134">
        <v>0.3</v>
      </c>
      <c r="I1134">
        <v>0.03</v>
      </c>
      <c r="J1134">
        <v>1.36</v>
      </c>
      <c r="K1134">
        <v>2.5799999999999997E-2</v>
      </c>
      <c r="L1134">
        <v>0.1</v>
      </c>
      <c r="M1134">
        <v>7.7531012404961972</v>
      </c>
      <c r="N1134">
        <v>0</v>
      </c>
      <c r="P1134" t="s">
        <v>966</v>
      </c>
    </row>
    <row r="1135" spans="1:16" x14ac:dyDescent="0.25">
      <c r="A1135">
        <v>3</v>
      </c>
    </row>
    <row r="1136" spans="1:16" x14ac:dyDescent="0.25">
      <c r="A1136">
        <v>4</v>
      </c>
    </row>
    <row r="1137" spans="1:16" x14ac:dyDescent="0.25">
      <c r="A1137">
        <v>5</v>
      </c>
    </row>
    <row r="1138" spans="1:16" x14ac:dyDescent="0.25">
      <c r="A1138">
        <v>6</v>
      </c>
    </row>
    <row r="1139" spans="1:16" x14ac:dyDescent="0.25">
      <c r="A1139">
        <v>7</v>
      </c>
    </row>
    <row r="1140" spans="1:16" x14ac:dyDescent="0.25">
      <c r="A1140">
        <v>8</v>
      </c>
    </row>
    <row r="1141" spans="1:16" x14ac:dyDescent="0.25">
      <c r="A1141">
        <v>9</v>
      </c>
    </row>
    <row r="1142" spans="1:16" x14ac:dyDescent="0.25">
      <c r="A1142">
        <v>10</v>
      </c>
    </row>
    <row r="1145" spans="1:16" x14ac:dyDescent="0.25">
      <c r="A1145" t="s">
        <v>677</v>
      </c>
      <c r="N1145">
        <v>62</v>
      </c>
    </row>
    <row r="1146" spans="1:16" x14ac:dyDescent="0.25">
      <c r="A1146" t="s">
        <v>672</v>
      </c>
      <c r="C1146" t="s">
        <v>673</v>
      </c>
    </row>
    <row r="1147" spans="1:16" x14ac:dyDescent="0.25">
      <c r="A1147" t="s">
        <v>948</v>
      </c>
      <c r="C1147">
        <v>1152</v>
      </c>
      <c r="P1147">
        <v>1145</v>
      </c>
    </row>
    <row r="1148" spans="1:16" ht="13" x14ac:dyDescent="0.3">
      <c r="A1148" t="s">
        <v>681</v>
      </c>
      <c r="B1148" s="3" t="s">
        <v>680</v>
      </c>
      <c r="C1148" t="s">
        <v>678</v>
      </c>
      <c r="D1148" t="s">
        <v>695</v>
      </c>
      <c r="E1148" t="s">
        <v>679</v>
      </c>
      <c r="F1148" s="41" t="s">
        <v>1186</v>
      </c>
    </row>
    <row r="1149" spans="1:16" x14ac:dyDescent="0.25">
      <c r="A1149">
        <v>2</v>
      </c>
      <c r="B1149" s="3">
        <v>2</v>
      </c>
      <c r="C1149">
        <v>0.12</v>
      </c>
      <c r="D1149">
        <v>20</v>
      </c>
      <c r="E1149">
        <v>81</v>
      </c>
      <c r="F1149" s="78">
        <v>1</v>
      </c>
      <c r="M1149" t="s">
        <v>65</v>
      </c>
      <c r="N1149" t="s">
        <v>65</v>
      </c>
    </row>
    <row r="1150" spans="1:16" x14ac:dyDescent="0.25">
      <c r="C1150" t="s">
        <v>20</v>
      </c>
      <c r="D1150" t="s">
        <v>20</v>
      </c>
      <c r="E1150" t="s">
        <v>20</v>
      </c>
      <c r="G1150" t="s">
        <v>39</v>
      </c>
      <c r="H1150" t="s">
        <v>39</v>
      </c>
      <c r="I1150" t="s">
        <v>39</v>
      </c>
      <c r="J1150" t="s">
        <v>63</v>
      </c>
      <c r="K1150" t="s">
        <v>62</v>
      </c>
      <c r="L1150" t="s">
        <v>39</v>
      </c>
      <c r="M1150" t="s">
        <v>64</v>
      </c>
      <c r="N1150" t="s">
        <v>64</v>
      </c>
    </row>
    <row r="1151" spans="1:16" x14ac:dyDescent="0.25">
      <c r="A1151" t="s">
        <v>32</v>
      </c>
      <c r="B1151" s="3" t="s">
        <v>33</v>
      </c>
      <c r="C1151" t="s">
        <v>34</v>
      </c>
      <c r="D1151" t="s">
        <v>35</v>
      </c>
      <c r="E1151" t="s">
        <v>814</v>
      </c>
      <c r="F1151" t="s">
        <v>816</v>
      </c>
      <c r="G1151" t="s">
        <v>815</v>
      </c>
      <c r="H1151" t="s">
        <v>36</v>
      </c>
      <c r="I1151" t="s">
        <v>66</v>
      </c>
      <c r="J1151" t="s">
        <v>56</v>
      </c>
      <c r="K1151" t="s">
        <v>57</v>
      </c>
      <c r="L1151" t="s">
        <v>58</v>
      </c>
      <c r="M1151" t="s">
        <v>59</v>
      </c>
      <c r="N1151" t="s">
        <v>60</v>
      </c>
    </row>
    <row r="1152" spans="1:16" x14ac:dyDescent="0.25">
      <c r="A1152">
        <v>1</v>
      </c>
      <c r="B1152" s="3">
        <v>300</v>
      </c>
      <c r="C1152">
        <v>0.45300000000000001</v>
      </c>
      <c r="D1152">
        <v>0.218</v>
      </c>
      <c r="E1152">
        <v>8.5999999999999993E-2</v>
      </c>
      <c r="F1152">
        <v>2.8666666666666663E-2</v>
      </c>
      <c r="G1152">
        <v>0.1124</v>
      </c>
      <c r="H1152">
        <v>0.3</v>
      </c>
      <c r="I1152">
        <v>0.1</v>
      </c>
      <c r="J1152">
        <v>1.41</v>
      </c>
      <c r="K1152">
        <v>0.16855999999999999</v>
      </c>
      <c r="L1152">
        <v>0.1</v>
      </c>
      <c r="M1152">
        <v>34.898120004502985</v>
      </c>
      <c r="N1152">
        <v>0</v>
      </c>
    </row>
    <row r="1153" spans="1:16" x14ac:dyDescent="0.25">
      <c r="A1153">
        <v>2</v>
      </c>
      <c r="B1153" s="3">
        <v>0</v>
      </c>
      <c r="C1153" t="s">
        <v>39</v>
      </c>
      <c r="D1153" t="s">
        <v>39</v>
      </c>
      <c r="E1153" t="s">
        <v>39</v>
      </c>
      <c r="F1153" t="e">
        <v>#VALUE!</v>
      </c>
      <c r="G1153" t="e">
        <v>#VALUE!</v>
      </c>
      <c r="H1153" t="s">
        <v>39</v>
      </c>
      <c r="I1153" t="e">
        <v>#VALUE!</v>
      </c>
      <c r="J1153" t="s">
        <v>39</v>
      </c>
      <c r="K1153" t="s">
        <v>39</v>
      </c>
      <c r="L1153">
        <v>0.1</v>
      </c>
      <c r="M1153" t="e">
        <v>#VALUE!</v>
      </c>
      <c r="N1153">
        <v>0</v>
      </c>
      <c r="P1153" t="s">
        <v>966</v>
      </c>
    </row>
    <row r="1154" spans="1:16" x14ac:dyDescent="0.25">
      <c r="A1154">
        <v>3</v>
      </c>
    </row>
    <row r="1155" spans="1:16" x14ac:dyDescent="0.25">
      <c r="A1155">
        <v>4</v>
      </c>
    </row>
    <row r="1156" spans="1:16" x14ac:dyDescent="0.25">
      <c r="A1156">
        <v>5</v>
      </c>
    </row>
    <row r="1157" spans="1:16" x14ac:dyDescent="0.25">
      <c r="A1157">
        <v>6</v>
      </c>
    </row>
    <row r="1158" spans="1:16" x14ac:dyDescent="0.25">
      <c r="A1158">
        <v>7</v>
      </c>
    </row>
    <row r="1159" spans="1:16" x14ac:dyDescent="0.25">
      <c r="A1159">
        <v>8</v>
      </c>
    </row>
    <row r="1160" spans="1:16" x14ac:dyDescent="0.25">
      <c r="A1160">
        <v>9</v>
      </c>
    </row>
    <row r="1161" spans="1:16" x14ac:dyDescent="0.25">
      <c r="A1161">
        <v>10</v>
      </c>
    </row>
    <row r="1164" spans="1:16" x14ac:dyDescent="0.25">
      <c r="A1164" t="s">
        <v>677</v>
      </c>
      <c r="N1164">
        <v>63</v>
      </c>
    </row>
    <row r="1165" spans="1:16" x14ac:dyDescent="0.25">
      <c r="A1165" t="s">
        <v>672</v>
      </c>
      <c r="C1165" t="s">
        <v>673</v>
      </c>
    </row>
    <row r="1166" spans="1:16" x14ac:dyDescent="0.25">
      <c r="A1166" t="s">
        <v>950</v>
      </c>
      <c r="C1166">
        <v>1403</v>
      </c>
      <c r="P1166">
        <v>1164</v>
      </c>
    </row>
    <row r="1167" spans="1:16" ht="13" x14ac:dyDescent="0.3">
      <c r="A1167" t="s">
        <v>681</v>
      </c>
      <c r="B1167" s="3" t="s">
        <v>680</v>
      </c>
      <c r="C1167" t="s">
        <v>678</v>
      </c>
      <c r="D1167" t="s">
        <v>695</v>
      </c>
      <c r="E1167" t="s">
        <v>679</v>
      </c>
      <c r="F1167" s="41" t="s">
        <v>1186</v>
      </c>
    </row>
    <row r="1168" spans="1:16" x14ac:dyDescent="0.25">
      <c r="A1168">
        <v>2</v>
      </c>
      <c r="B1168" s="3">
        <v>2</v>
      </c>
      <c r="C1168">
        <v>0.13</v>
      </c>
      <c r="D1168">
        <v>19</v>
      </c>
      <c r="E1168">
        <v>61</v>
      </c>
      <c r="F1168" s="78">
        <v>1</v>
      </c>
      <c r="M1168" t="s">
        <v>65</v>
      </c>
      <c r="N1168" t="s">
        <v>65</v>
      </c>
    </row>
    <row r="1169" spans="1:16" x14ac:dyDescent="0.25">
      <c r="C1169" t="s">
        <v>20</v>
      </c>
      <c r="D1169" t="s">
        <v>20</v>
      </c>
      <c r="E1169" t="s">
        <v>20</v>
      </c>
      <c r="G1169" t="s">
        <v>39</v>
      </c>
      <c r="H1169" t="s">
        <v>39</v>
      </c>
      <c r="I1169" t="s">
        <v>39</v>
      </c>
      <c r="J1169" t="s">
        <v>63</v>
      </c>
      <c r="K1169" t="s">
        <v>62</v>
      </c>
      <c r="L1169" t="s">
        <v>39</v>
      </c>
      <c r="M1169" t="s">
        <v>64</v>
      </c>
      <c r="N1169" t="s">
        <v>64</v>
      </c>
    </row>
    <row r="1170" spans="1:16" x14ac:dyDescent="0.25">
      <c r="A1170" t="s">
        <v>32</v>
      </c>
      <c r="B1170" s="3" t="s">
        <v>33</v>
      </c>
      <c r="C1170" t="s">
        <v>34</v>
      </c>
      <c r="D1170" t="s">
        <v>35</v>
      </c>
      <c r="E1170" t="s">
        <v>814</v>
      </c>
      <c r="F1170" t="s">
        <v>816</v>
      </c>
      <c r="G1170" t="s">
        <v>815</v>
      </c>
      <c r="H1170" t="s">
        <v>36</v>
      </c>
      <c r="I1170" t="s">
        <v>66</v>
      </c>
      <c r="J1170" t="s">
        <v>56</v>
      </c>
      <c r="K1170" t="s">
        <v>57</v>
      </c>
      <c r="L1170" t="s">
        <v>58</v>
      </c>
      <c r="M1170" t="s">
        <v>59</v>
      </c>
      <c r="N1170" t="s">
        <v>60</v>
      </c>
    </row>
    <row r="1171" spans="1:16" x14ac:dyDescent="0.25">
      <c r="A1171">
        <v>1</v>
      </c>
      <c r="B1171" s="3">
        <v>300</v>
      </c>
      <c r="C1171">
        <v>0.36599999999999999</v>
      </c>
      <c r="D1171">
        <v>0.26100000000000001</v>
      </c>
      <c r="E1171">
        <v>0.129</v>
      </c>
      <c r="F1171">
        <v>4.3000000000000003E-2</v>
      </c>
      <c r="G1171">
        <v>0.15540000000000001</v>
      </c>
      <c r="H1171">
        <v>0.4</v>
      </c>
      <c r="I1171">
        <v>0.09</v>
      </c>
      <c r="J1171">
        <v>1.39</v>
      </c>
      <c r="K1171">
        <v>7.3959999999999998E-2</v>
      </c>
      <c r="L1171">
        <v>0.1</v>
      </c>
      <c r="M1171">
        <v>35.400251227589365</v>
      </c>
      <c r="N1171">
        <v>0</v>
      </c>
    </row>
    <row r="1172" spans="1:16" x14ac:dyDescent="0.25">
      <c r="A1172">
        <v>2</v>
      </c>
      <c r="B1172" s="3">
        <v>700</v>
      </c>
      <c r="C1172">
        <v>0.38300000000000001</v>
      </c>
      <c r="D1172">
        <v>0.27700000000000002</v>
      </c>
      <c r="E1172">
        <v>0.14499999999999999</v>
      </c>
      <c r="F1172">
        <v>4.8333333333333332E-2</v>
      </c>
      <c r="G1172">
        <v>0.1714</v>
      </c>
      <c r="H1172">
        <v>0.2</v>
      </c>
      <c r="I1172">
        <v>0.08</v>
      </c>
      <c r="J1172">
        <v>1.33</v>
      </c>
      <c r="K1172">
        <v>3.2680000000000001E-2</v>
      </c>
      <c r="L1172">
        <v>0.1</v>
      </c>
      <c r="M1172">
        <v>7.9279832233645342</v>
      </c>
      <c r="N1172">
        <v>0</v>
      </c>
      <c r="P1172" t="s">
        <v>966</v>
      </c>
    </row>
    <row r="1173" spans="1:16" x14ac:dyDescent="0.25">
      <c r="A1173">
        <v>3</v>
      </c>
    </row>
    <row r="1174" spans="1:16" x14ac:dyDescent="0.25">
      <c r="A1174">
        <v>4</v>
      </c>
    </row>
    <row r="1175" spans="1:16" x14ac:dyDescent="0.25">
      <c r="A1175">
        <v>5</v>
      </c>
    </row>
    <row r="1176" spans="1:16" x14ac:dyDescent="0.25">
      <c r="A1176">
        <v>6</v>
      </c>
    </row>
    <row r="1177" spans="1:16" x14ac:dyDescent="0.25">
      <c r="A1177">
        <v>7</v>
      </c>
    </row>
    <row r="1178" spans="1:16" x14ac:dyDescent="0.25">
      <c r="A1178">
        <v>8</v>
      </c>
    </row>
    <row r="1179" spans="1:16" x14ac:dyDescent="0.25">
      <c r="A1179">
        <v>9</v>
      </c>
    </row>
    <row r="1180" spans="1:16" x14ac:dyDescent="0.25">
      <c r="A1180">
        <v>10</v>
      </c>
    </row>
    <row r="1183" spans="1:16" x14ac:dyDescent="0.25">
      <c r="A1183" t="s">
        <v>677</v>
      </c>
      <c r="N1183">
        <v>64</v>
      </c>
    </row>
    <row r="1184" spans="1:16" x14ac:dyDescent="0.25">
      <c r="A1184" t="s">
        <v>672</v>
      </c>
      <c r="C1184" t="s">
        <v>673</v>
      </c>
    </row>
    <row r="1185" spans="1:16" x14ac:dyDescent="0.25">
      <c r="A1185" t="s">
        <v>952</v>
      </c>
      <c r="C1185">
        <v>1403</v>
      </c>
      <c r="P1185">
        <v>1183</v>
      </c>
    </row>
    <row r="1186" spans="1:16" ht="13" x14ac:dyDescent="0.3">
      <c r="A1186" t="s">
        <v>681</v>
      </c>
      <c r="B1186" s="3" t="s">
        <v>680</v>
      </c>
      <c r="C1186" t="s">
        <v>678</v>
      </c>
      <c r="D1186" t="s">
        <v>695</v>
      </c>
      <c r="E1186" t="s">
        <v>679</v>
      </c>
      <c r="F1186" s="41" t="s">
        <v>1186</v>
      </c>
    </row>
    <row r="1187" spans="1:16" x14ac:dyDescent="0.25">
      <c r="A1187">
        <v>2</v>
      </c>
      <c r="B1187" s="3">
        <v>2</v>
      </c>
      <c r="C1187">
        <v>0.13</v>
      </c>
      <c r="D1187">
        <v>18</v>
      </c>
      <c r="E1187">
        <v>61</v>
      </c>
      <c r="F1187" s="78">
        <v>1</v>
      </c>
      <c r="M1187" t="s">
        <v>65</v>
      </c>
      <c r="N1187" t="s">
        <v>65</v>
      </c>
    </row>
    <row r="1188" spans="1:16" x14ac:dyDescent="0.25">
      <c r="C1188" t="s">
        <v>20</v>
      </c>
      <c r="D1188" t="s">
        <v>20</v>
      </c>
      <c r="E1188" t="s">
        <v>20</v>
      </c>
      <c r="G1188" t="s">
        <v>39</v>
      </c>
      <c r="H1188" t="s">
        <v>39</v>
      </c>
      <c r="I1188" t="s">
        <v>39</v>
      </c>
      <c r="J1188" t="s">
        <v>63</v>
      </c>
      <c r="K1188" t="s">
        <v>62</v>
      </c>
      <c r="L1188" t="s">
        <v>39</v>
      </c>
      <c r="M1188" t="s">
        <v>64</v>
      </c>
      <c r="N1188" t="s">
        <v>64</v>
      </c>
    </row>
    <row r="1189" spans="1:16" x14ac:dyDescent="0.25">
      <c r="A1189" t="s">
        <v>32</v>
      </c>
      <c r="B1189" s="3" t="s">
        <v>33</v>
      </c>
      <c r="C1189" t="s">
        <v>34</v>
      </c>
      <c r="D1189" t="s">
        <v>35</v>
      </c>
      <c r="E1189" t="s">
        <v>814</v>
      </c>
      <c r="F1189" t="s">
        <v>816</v>
      </c>
      <c r="G1189" t="s">
        <v>815</v>
      </c>
      <c r="H1189" t="s">
        <v>36</v>
      </c>
      <c r="I1189" t="s">
        <v>66</v>
      </c>
      <c r="J1189" t="s">
        <v>56</v>
      </c>
      <c r="K1189" t="s">
        <v>57</v>
      </c>
      <c r="L1189" t="s">
        <v>58</v>
      </c>
      <c r="M1189" t="s">
        <v>59</v>
      </c>
      <c r="N1189" t="s">
        <v>60</v>
      </c>
    </row>
    <row r="1190" spans="1:16" x14ac:dyDescent="0.25">
      <c r="A1190">
        <v>1</v>
      </c>
      <c r="B1190" s="3">
        <v>300</v>
      </c>
      <c r="C1190">
        <v>0.36599999999999999</v>
      </c>
      <c r="D1190">
        <v>0.26100000000000001</v>
      </c>
      <c r="E1190">
        <v>0.129</v>
      </c>
      <c r="F1190">
        <v>4.3000000000000003E-2</v>
      </c>
      <c r="G1190">
        <v>0.15540000000000001</v>
      </c>
      <c r="H1190">
        <v>0.4</v>
      </c>
      <c r="I1190">
        <v>0.09</v>
      </c>
      <c r="J1190">
        <v>1.39</v>
      </c>
      <c r="K1190">
        <v>7.3959999999999998E-2</v>
      </c>
      <c r="L1190">
        <v>0.1</v>
      </c>
      <c r="M1190">
        <v>35.400251227589365</v>
      </c>
      <c r="N1190">
        <v>0</v>
      </c>
    </row>
    <row r="1191" spans="1:16" x14ac:dyDescent="0.25">
      <c r="A1191">
        <v>2</v>
      </c>
      <c r="B1191" s="3">
        <v>700</v>
      </c>
      <c r="C1191">
        <v>0.38300000000000001</v>
      </c>
      <c r="D1191">
        <v>0.27700000000000002</v>
      </c>
      <c r="E1191">
        <v>0.14499999999999999</v>
      </c>
      <c r="F1191">
        <v>4.8333333333333332E-2</v>
      </c>
      <c r="G1191">
        <v>0.1714</v>
      </c>
      <c r="H1191">
        <v>0.2</v>
      </c>
      <c r="I1191">
        <v>0.08</v>
      </c>
      <c r="J1191">
        <v>1.33</v>
      </c>
      <c r="K1191">
        <v>3.2680000000000001E-2</v>
      </c>
      <c r="L1191">
        <v>0.1</v>
      </c>
      <c r="M1191">
        <v>7.9279832233645342</v>
      </c>
      <c r="N1191">
        <v>0</v>
      </c>
      <c r="P1191" t="s">
        <v>966</v>
      </c>
    </row>
    <row r="1192" spans="1:16" x14ac:dyDescent="0.25">
      <c r="A1192">
        <v>3</v>
      </c>
    </row>
    <row r="1193" spans="1:16" x14ac:dyDescent="0.25">
      <c r="A1193">
        <v>4</v>
      </c>
    </row>
    <row r="1194" spans="1:16" x14ac:dyDescent="0.25">
      <c r="A1194">
        <v>5</v>
      </c>
    </row>
    <row r="1195" spans="1:16" x14ac:dyDescent="0.25">
      <c r="A1195">
        <v>6</v>
      </c>
    </row>
    <row r="1196" spans="1:16" x14ac:dyDescent="0.25">
      <c r="A1196">
        <v>7</v>
      </c>
    </row>
    <row r="1197" spans="1:16" x14ac:dyDescent="0.25">
      <c r="A1197">
        <v>8</v>
      </c>
    </row>
    <row r="1198" spans="1:16" x14ac:dyDescent="0.25">
      <c r="A1198">
        <v>9</v>
      </c>
    </row>
    <row r="1199" spans="1:16" x14ac:dyDescent="0.25">
      <c r="A1199">
        <v>10</v>
      </c>
    </row>
    <row r="1202" spans="1:16" x14ac:dyDescent="0.25">
      <c r="A1202" t="s">
        <v>677</v>
      </c>
      <c r="N1202">
        <v>65</v>
      </c>
    </row>
    <row r="1203" spans="1:16" x14ac:dyDescent="0.25">
      <c r="A1203" t="s">
        <v>672</v>
      </c>
      <c r="C1203" t="s">
        <v>673</v>
      </c>
    </row>
    <row r="1204" spans="1:16" x14ac:dyDescent="0.25">
      <c r="A1204" t="s">
        <v>954</v>
      </c>
      <c r="C1204">
        <v>1712</v>
      </c>
      <c r="P1204">
        <v>1202</v>
      </c>
    </row>
    <row r="1205" spans="1:16" ht="13" x14ac:dyDescent="0.3">
      <c r="A1205" t="s">
        <v>681</v>
      </c>
      <c r="B1205" s="3" t="s">
        <v>680</v>
      </c>
      <c r="C1205" t="s">
        <v>678</v>
      </c>
      <c r="D1205" t="s">
        <v>695</v>
      </c>
      <c r="E1205" t="s">
        <v>679</v>
      </c>
      <c r="F1205" s="41" t="s">
        <v>1186</v>
      </c>
    </row>
    <row r="1206" spans="1:16" x14ac:dyDescent="0.25">
      <c r="A1206">
        <v>2</v>
      </c>
      <c r="B1206" s="3">
        <v>2</v>
      </c>
      <c r="C1206">
        <v>0.11</v>
      </c>
      <c r="D1206">
        <v>17</v>
      </c>
      <c r="E1206">
        <v>84</v>
      </c>
      <c r="F1206" s="78">
        <v>1</v>
      </c>
      <c r="M1206" t="s">
        <v>65</v>
      </c>
      <c r="N1206" t="s">
        <v>65</v>
      </c>
    </row>
    <row r="1207" spans="1:16" x14ac:dyDescent="0.25">
      <c r="C1207" t="s">
        <v>20</v>
      </c>
      <c r="D1207" t="s">
        <v>20</v>
      </c>
      <c r="E1207" t="s">
        <v>20</v>
      </c>
      <c r="G1207" t="s">
        <v>39</v>
      </c>
      <c r="H1207" t="s">
        <v>39</v>
      </c>
      <c r="I1207" t="s">
        <v>39</v>
      </c>
      <c r="J1207" t="s">
        <v>63</v>
      </c>
      <c r="K1207" t="s">
        <v>62</v>
      </c>
      <c r="L1207" t="s">
        <v>39</v>
      </c>
      <c r="M1207" t="s">
        <v>64</v>
      </c>
      <c r="N1207" t="s">
        <v>64</v>
      </c>
    </row>
    <row r="1208" spans="1:16" x14ac:dyDescent="0.25">
      <c r="A1208" t="s">
        <v>32</v>
      </c>
      <c r="B1208" s="3" t="s">
        <v>33</v>
      </c>
      <c r="C1208" t="s">
        <v>34</v>
      </c>
      <c r="D1208" t="s">
        <v>35</v>
      </c>
      <c r="E1208" t="s">
        <v>814</v>
      </c>
      <c r="F1208" t="s">
        <v>816</v>
      </c>
      <c r="G1208" t="s">
        <v>815</v>
      </c>
      <c r="H1208" t="s">
        <v>36</v>
      </c>
      <c r="I1208" t="s">
        <v>66</v>
      </c>
      <c r="J1208" t="s">
        <v>56</v>
      </c>
      <c r="K1208" t="s">
        <v>57</v>
      </c>
      <c r="L1208" t="s">
        <v>58</v>
      </c>
      <c r="M1208" t="s">
        <v>59</v>
      </c>
      <c r="N1208" t="s">
        <v>60</v>
      </c>
    </row>
    <row r="1209" spans="1:16" x14ac:dyDescent="0.25">
      <c r="A1209">
        <v>1</v>
      </c>
      <c r="B1209" s="3">
        <v>300</v>
      </c>
      <c r="C1209">
        <v>0.434</v>
      </c>
      <c r="D1209">
        <v>0.31</v>
      </c>
      <c r="E1209">
        <v>0.17799999999999999</v>
      </c>
      <c r="F1209">
        <v>5.9333333333333328E-2</v>
      </c>
      <c r="G1209">
        <v>0.2044</v>
      </c>
      <c r="H1209">
        <v>0.1</v>
      </c>
      <c r="I1209">
        <v>0.03</v>
      </c>
      <c r="J1209">
        <v>1.21</v>
      </c>
      <c r="K1209">
        <v>8.1699999999999995E-2</v>
      </c>
      <c r="L1209">
        <v>0.1</v>
      </c>
      <c r="M1209">
        <v>40.666404302767937</v>
      </c>
      <c r="N1209">
        <v>0</v>
      </c>
    </row>
    <row r="1210" spans="1:16" x14ac:dyDescent="0.25">
      <c r="A1210">
        <v>2</v>
      </c>
      <c r="B1210" s="3">
        <v>700</v>
      </c>
      <c r="C1210">
        <v>0.39300000000000002</v>
      </c>
      <c r="D1210">
        <v>0.33600000000000002</v>
      </c>
      <c r="E1210">
        <v>0.20399999999999999</v>
      </c>
      <c r="F1210">
        <v>6.7999999999999991E-2</v>
      </c>
      <c r="G1210">
        <v>0.23039999999999999</v>
      </c>
      <c r="H1210">
        <v>0.1</v>
      </c>
      <c r="I1210">
        <v>0.04</v>
      </c>
      <c r="J1210">
        <v>1.21</v>
      </c>
      <c r="K1210">
        <v>4.7300000000000002E-2</v>
      </c>
      <c r="L1210">
        <v>0.1</v>
      </c>
      <c r="M1210">
        <v>8.7142294934502722</v>
      </c>
      <c r="N1210">
        <v>0</v>
      </c>
      <c r="P1210" t="s">
        <v>966</v>
      </c>
    </row>
    <row r="1211" spans="1:16" x14ac:dyDescent="0.25">
      <c r="A1211">
        <v>3</v>
      </c>
    </row>
    <row r="1212" spans="1:16" x14ac:dyDescent="0.25">
      <c r="A1212">
        <v>4</v>
      </c>
    </row>
    <row r="1213" spans="1:16" x14ac:dyDescent="0.25">
      <c r="A1213">
        <v>5</v>
      </c>
    </row>
    <row r="1214" spans="1:16" x14ac:dyDescent="0.25">
      <c r="A1214">
        <v>6</v>
      </c>
    </row>
    <row r="1215" spans="1:16" x14ac:dyDescent="0.25">
      <c r="A1215">
        <v>7</v>
      </c>
    </row>
    <row r="1216" spans="1:16" x14ac:dyDescent="0.25">
      <c r="A1216">
        <v>8</v>
      </c>
    </row>
    <row r="1217" spans="1:16" x14ac:dyDescent="0.25">
      <c r="A1217">
        <v>9</v>
      </c>
    </row>
    <row r="1218" spans="1:16" x14ac:dyDescent="0.25">
      <c r="A1218">
        <v>10</v>
      </c>
    </row>
    <row r="1221" spans="1:16" x14ac:dyDescent="0.25">
      <c r="A1221" t="s">
        <v>677</v>
      </c>
      <c r="N1221">
        <v>66</v>
      </c>
    </row>
    <row r="1222" spans="1:16" x14ac:dyDescent="0.25">
      <c r="A1222" t="s">
        <v>672</v>
      </c>
      <c r="C1222" t="s">
        <v>673</v>
      </c>
    </row>
    <row r="1223" spans="1:16" x14ac:dyDescent="0.25">
      <c r="A1223" t="s">
        <v>956</v>
      </c>
      <c r="C1223">
        <v>1767</v>
      </c>
      <c r="P1223">
        <v>1221</v>
      </c>
    </row>
    <row r="1224" spans="1:16" ht="13" x14ac:dyDescent="0.3">
      <c r="A1224" t="s">
        <v>681</v>
      </c>
      <c r="B1224" s="3" t="s">
        <v>680</v>
      </c>
      <c r="C1224" t="s">
        <v>678</v>
      </c>
      <c r="D1224" t="s">
        <v>695</v>
      </c>
      <c r="E1224" t="s">
        <v>679</v>
      </c>
      <c r="F1224" s="41" t="s">
        <v>1186</v>
      </c>
    </row>
    <row r="1225" spans="1:16" x14ac:dyDescent="0.25">
      <c r="A1225">
        <v>2</v>
      </c>
      <c r="B1225" s="3">
        <v>2</v>
      </c>
      <c r="C1225">
        <v>0.12</v>
      </c>
      <c r="D1225">
        <v>14</v>
      </c>
      <c r="E1225">
        <v>81</v>
      </c>
      <c r="F1225" s="78">
        <v>1</v>
      </c>
      <c r="M1225" t="s">
        <v>65</v>
      </c>
      <c r="N1225" t="s">
        <v>65</v>
      </c>
    </row>
    <row r="1226" spans="1:16" x14ac:dyDescent="0.25">
      <c r="C1226" t="s">
        <v>20</v>
      </c>
      <c r="D1226" t="s">
        <v>20</v>
      </c>
      <c r="E1226" t="s">
        <v>20</v>
      </c>
      <c r="G1226" t="s">
        <v>39</v>
      </c>
      <c r="H1226" t="s">
        <v>39</v>
      </c>
      <c r="I1226" t="s">
        <v>39</v>
      </c>
      <c r="J1226" t="s">
        <v>63</v>
      </c>
      <c r="K1226" t="s">
        <v>62</v>
      </c>
      <c r="L1226" t="s">
        <v>39</v>
      </c>
      <c r="M1226" t="s">
        <v>64</v>
      </c>
      <c r="N1226" t="s">
        <v>64</v>
      </c>
    </row>
    <row r="1227" spans="1:16" x14ac:dyDescent="0.25">
      <c r="A1227" t="s">
        <v>32</v>
      </c>
      <c r="B1227" s="3" t="s">
        <v>33</v>
      </c>
      <c r="C1227" t="s">
        <v>34</v>
      </c>
      <c r="D1227" t="s">
        <v>35</v>
      </c>
      <c r="E1227" t="s">
        <v>814</v>
      </c>
      <c r="F1227" t="s">
        <v>816</v>
      </c>
      <c r="G1227" t="s">
        <v>815</v>
      </c>
      <c r="H1227" t="s">
        <v>36</v>
      </c>
      <c r="I1227" t="s">
        <v>66</v>
      </c>
      <c r="J1227" t="s">
        <v>56</v>
      </c>
      <c r="K1227" t="s">
        <v>57</v>
      </c>
      <c r="L1227" t="s">
        <v>58</v>
      </c>
      <c r="M1227" t="s">
        <v>59</v>
      </c>
      <c r="N1227" t="s">
        <v>60</v>
      </c>
    </row>
    <row r="1228" spans="1:16" x14ac:dyDescent="0.25">
      <c r="A1228">
        <v>1</v>
      </c>
      <c r="B1228" s="3">
        <v>300</v>
      </c>
      <c r="C1228">
        <v>0.44400000000000001</v>
      </c>
      <c r="D1228">
        <v>0.22500000000000001</v>
      </c>
      <c r="E1228">
        <v>9.2999999999999999E-2</v>
      </c>
      <c r="F1228">
        <v>3.1E-2</v>
      </c>
      <c r="G1228">
        <v>0.11940000000000001</v>
      </c>
      <c r="H1228">
        <v>0.3</v>
      </c>
      <c r="I1228">
        <v>0.04</v>
      </c>
      <c r="J1228">
        <v>1.4</v>
      </c>
      <c r="K1228">
        <v>4.4719999999999996E-2</v>
      </c>
      <c r="L1228">
        <v>0.1</v>
      </c>
      <c r="M1228">
        <v>35.147392290249435</v>
      </c>
      <c r="N1228">
        <v>0</v>
      </c>
    </row>
    <row r="1229" spans="1:16" x14ac:dyDescent="0.25">
      <c r="A1229">
        <v>2</v>
      </c>
      <c r="B1229" s="3">
        <v>700</v>
      </c>
      <c r="C1229">
        <v>0.434</v>
      </c>
      <c r="D1229">
        <v>0.24099999999999999</v>
      </c>
      <c r="E1229">
        <v>0.109</v>
      </c>
      <c r="F1229">
        <v>3.6333333333333336E-2</v>
      </c>
      <c r="G1229">
        <v>0.13539999999999999</v>
      </c>
      <c r="H1229">
        <v>0.3</v>
      </c>
      <c r="I1229">
        <v>0.03</v>
      </c>
      <c r="J1229">
        <v>1.36</v>
      </c>
      <c r="K1229">
        <v>2.5799999999999997E-2</v>
      </c>
      <c r="L1229">
        <v>0.1</v>
      </c>
      <c r="M1229">
        <v>7.7531012404961972</v>
      </c>
      <c r="N1229">
        <v>0</v>
      </c>
      <c r="P1229" t="s">
        <v>966</v>
      </c>
    </row>
    <row r="1230" spans="1:16" x14ac:dyDescent="0.25">
      <c r="A1230">
        <v>3</v>
      </c>
    </row>
    <row r="1231" spans="1:16" x14ac:dyDescent="0.25">
      <c r="A1231">
        <v>4</v>
      </c>
    </row>
    <row r="1232" spans="1:16" x14ac:dyDescent="0.25">
      <c r="A1232">
        <v>5</v>
      </c>
    </row>
    <row r="1233" spans="1:16" x14ac:dyDescent="0.25">
      <c r="A1233">
        <v>6</v>
      </c>
    </row>
    <row r="1234" spans="1:16" x14ac:dyDescent="0.25">
      <c r="A1234">
        <v>7</v>
      </c>
    </row>
    <row r="1235" spans="1:16" x14ac:dyDescent="0.25">
      <c r="A1235">
        <v>8</v>
      </c>
    </row>
    <row r="1236" spans="1:16" x14ac:dyDescent="0.25">
      <c r="A1236">
        <v>9</v>
      </c>
    </row>
    <row r="1237" spans="1:16" x14ac:dyDescent="0.25">
      <c r="A1237">
        <v>10</v>
      </c>
    </row>
    <row r="1240" spans="1:16" x14ac:dyDescent="0.25">
      <c r="A1240" t="s">
        <v>677</v>
      </c>
      <c r="N1240">
        <v>67</v>
      </c>
    </row>
    <row r="1241" spans="1:16" x14ac:dyDescent="0.25">
      <c r="A1241" t="s">
        <v>672</v>
      </c>
      <c r="C1241" t="s">
        <v>673</v>
      </c>
    </row>
    <row r="1242" spans="1:16" x14ac:dyDescent="0.25">
      <c r="A1242" t="s">
        <v>958</v>
      </c>
      <c r="C1242">
        <v>1766</v>
      </c>
      <c r="P1242">
        <v>1240</v>
      </c>
    </row>
    <row r="1243" spans="1:16" ht="13" x14ac:dyDescent="0.3">
      <c r="A1243" t="s">
        <v>681</v>
      </c>
      <c r="B1243" s="3" t="s">
        <v>680</v>
      </c>
      <c r="C1243" t="s">
        <v>678</v>
      </c>
      <c r="D1243" t="s">
        <v>695</v>
      </c>
      <c r="E1243" t="s">
        <v>679</v>
      </c>
      <c r="F1243" s="41" t="s">
        <v>1186</v>
      </c>
    </row>
    <row r="1244" spans="1:16" x14ac:dyDescent="0.25">
      <c r="A1244">
        <v>2</v>
      </c>
      <c r="B1244" s="3">
        <v>2</v>
      </c>
      <c r="C1244">
        <v>0.12</v>
      </c>
      <c r="D1244">
        <v>13</v>
      </c>
      <c r="E1244">
        <v>81</v>
      </c>
      <c r="F1244" s="78">
        <v>1</v>
      </c>
      <c r="M1244" t="s">
        <v>65</v>
      </c>
      <c r="N1244" t="s">
        <v>65</v>
      </c>
    </row>
    <row r="1245" spans="1:16" x14ac:dyDescent="0.25">
      <c r="C1245" t="s">
        <v>20</v>
      </c>
      <c r="D1245" t="s">
        <v>20</v>
      </c>
      <c r="E1245" t="s">
        <v>20</v>
      </c>
      <c r="G1245" t="s">
        <v>39</v>
      </c>
      <c r="H1245" t="s">
        <v>39</v>
      </c>
      <c r="I1245" t="s">
        <v>39</v>
      </c>
      <c r="J1245" t="s">
        <v>63</v>
      </c>
      <c r="K1245" t="s">
        <v>62</v>
      </c>
      <c r="L1245" t="s">
        <v>39</v>
      </c>
      <c r="M1245" t="s">
        <v>64</v>
      </c>
      <c r="N1245" t="s">
        <v>64</v>
      </c>
    </row>
    <row r="1246" spans="1:16" x14ac:dyDescent="0.25">
      <c r="A1246" t="s">
        <v>32</v>
      </c>
      <c r="B1246" s="3" t="s">
        <v>33</v>
      </c>
      <c r="C1246" t="s">
        <v>34</v>
      </c>
      <c r="D1246" t="s">
        <v>35</v>
      </c>
      <c r="E1246" t="s">
        <v>814</v>
      </c>
      <c r="F1246" t="s">
        <v>816</v>
      </c>
      <c r="G1246" t="s">
        <v>815</v>
      </c>
      <c r="H1246" t="s">
        <v>36</v>
      </c>
      <c r="I1246" t="s">
        <v>66</v>
      </c>
      <c r="J1246" t="s">
        <v>56</v>
      </c>
      <c r="K1246" t="s">
        <v>57</v>
      </c>
      <c r="L1246" t="s">
        <v>58</v>
      </c>
      <c r="M1246" t="s">
        <v>59</v>
      </c>
      <c r="N1246" t="s">
        <v>60</v>
      </c>
    </row>
    <row r="1247" spans="1:16" x14ac:dyDescent="0.25">
      <c r="A1247">
        <v>1</v>
      </c>
      <c r="B1247" s="3">
        <v>300</v>
      </c>
      <c r="C1247">
        <v>0.44400000000000001</v>
      </c>
      <c r="D1247">
        <v>0.22500000000000001</v>
      </c>
      <c r="E1247">
        <v>9.2999999999999999E-2</v>
      </c>
      <c r="F1247">
        <v>3.1E-2</v>
      </c>
      <c r="G1247">
        <v>0.11940000000000001</v>
      </c>
      <c r="H1247">
        <v>0.3</v>
      </c>
      <c r="I1247">
        <v>0.04</v>
      </c>
      <c r="J1247">
        <v>1.4</v>
      </c>
      <c r="K1247">
        <v>4.4719999999999996E-2</v>
      </c>
      <c r="L1247">
        <v>0.1</v>
      </c>
      <c r="M1247">
        <v>35.147392290249435</v>
      </c>
      <c r="N1247">
        <v>0</v>
      </c>
    </row>
    <row r="1248" spans="1:16" x14ac:dyDescent="0.25">
      <c r="A1248">
        <v>2</v>
      </c>
      <c r="B1248" s="3">
        <v>700</v>
      </c>
      <c r="C1248">
        <v>0.434</v>
      </c>
      <c r="D1248">
        <v>0.24099999999999999</v>
      </c>
      <c r="E1248">
        <v>0.109</v>
      </c>
      <c r="F1248">
        <v>3.6333333333333336E-2</v>
      </c>
      <c r="G1248">
        <v>0.13539999999999999</v>
      </c>
      <c r="H1248">
        <v>0.3</v>
      </c>
      <c r="I1248">
        <v>0.03</v>
      </c>
      <c r="J1248">
        <v>1.36</v>
      </c>
      <c r="K1248">
        <v>2.5799999999999997E-2</v>
      </c>
      <c r="L1248">
        <v>0.1</v>
      </c>
      <c r="M1248">
        <v>7.7531012404961972</v>
      </c>
      <c r="N1248">
        <v>0</v>
      </c>
      <c r="P1248" t="s">
        <v>966</v>
      </c>
    </row>
    <row r="1249" spans="1:16" x14ac:dyDescent="0.25">
      <c r="A1249">
        <v>3</v>
      </c>
    </row>
    <row r="1250" spans="1:16" x14ac:dyDescent="0.25">
      <c r="A1250">
        <v>4</v>
      </c>
    </row>
    <row r="1251" spans="1:16" x14ac:dyDescent="0.25">
      <c r="A1251">
        <v>5</v>
      </c>
    </row>
    <row r="1252" spans="1:16" x14ac:dyDescent="0.25">
      <c r="A1252">
        <v>6</v>
      </c>
    </row>
    <row r="1253" spans="1:16" x14ac:dyDescent="0.25">
      <c r="A1253">
        <v>7</v>
      </c>
    </row>
    <row r="1254" spans="1:16" x14ac:dyDescent="0.25">
      <c r="A1254">
        <v>8</v>
      </c>
    </row>
    <row r="1255" spans="1:16" x14ac:dyDescent="0.25">
      <c r="A1255">
        <v>9</v>
      </c>
    </row>
    <row r="1256" spans="1:16" x14ac:dyDescent="0.25">
      <c r="A1256">
        <v>10</v>
      </c>
    </row>
    <row r="1259" spans="1:16" x14ac:dyDescent="0.25">
      <c r="A1259" t="s">
        <v>677</v>
      </c>
      <c r="N1259">
        <v>68</v>
      </c>
    </row>
    <row r="1260" spans="1:16" x14ac:dyDescent="0.25">
      <c r="A1260" t="s">
        <v>672</v>
      </c>
      <c r="C1260" t="s">
        <v>673</v>
      </c>
    </row>
    <row r="1261" spans="1:16" x14ac:dyDescent="0.25">
      <c r="A1261" t="s">
        <v>960</v>
      </c>
      <c r="C1261">
        <v>1766</v>
      </c>
      <c r="P1261">
        <v>1259</v>
      </c>
    </row>
    <row r="1262" spans="1:16" ht="13" x14ac:dyDescent="0.3">
      <c r="A1262" t="s">
        <v>681</v>
      </c>
      <c r="B1262" s="3" t="s">
        <v>680</v>
      </c>
      <c r="C1262" t="s">
        <v>678</v>
      </c>
      <c r="D1262" t="s">
        <v>695</v>
      </c>
      <c r="E1262" t="s">
        <v>679</v>
      </c>
      <c r="F1262" s="41" t="s">
        <v>1186</v>
      </c>
    </row>
    <row r="1263" spans="1:16" x14ac:dyDescent="0.25">
      <c r="A1263">
        <v>2</v>
      </c>
      <c r="B1263" s="3">
        <v>2</v>
      </c>
      <c r="C1263">
        <v>0.12</v>
      </c>
      <c r="D1263">
        <v>12</v>
      </c>
      <c r="E1263">
        <v>81</v>
      </c>
      <c r="F1263" s="78">
        <v>1</v>
      </c>
      <c r="M1263" t="s">
        <v>65</v>
      </c>
      <c r="N1263" t="s">
        <v>65</v>
      </c>
    </row>
    <row r="1264" spans="1:16" x14ac:dyDescent="0.25">
      <c r="C1264" t="s">
        <v>20</v>
      </c>
      <c r="D1264" t="s">
        <v>20</v>
      </c>
      <c r="E1264" t="s">
        <v>20</v>
      </c>
      <c r="G1264" t="s">
        <v>39</v>
      </c>
      <c r="H1264" t="s">
        <v>39</v>
      </c>
      <c r="I1264" t="s">
        <v>39</v>
      </c>
      <c r="J1264" t="s">
        <v>63</v>
      </c>
      <c r="K1264" t="s">
        <v>62</v>
      </c>
      <c r="L1264" t="s">
        <v>39</v>
      </c>
      <c r="M1264" t="s">
        <v>64</v>
      </c>
      <c r="N1264" t="s">
        <v>64</v>
      </c>
    </row>
    <row r="1265" spans="1:16" x14ac:dyDescent="0.25">
      <c r="A1265" t="s">
        <v>32</v>
      </c>
      <c r="B1265" s="3" t="s">
        <v>33</v>
      </c>
      <c r="C1265" t="s">
        <v>34</v>
      </c>
      <c r="D1265" t="s">
        <v>35</v>
      </c>
      <c r="E1265" t="s">
        <v>814</v>
      </c>
      <c r="F1265" t="s">
        <v>816</v>
      </c>
      <c r="G1265" t="s">
        <v>815</v>
      </c>
      <c r="H1265" t="s">
        <v>36</v>
      </c>
      <c r="I1265" t="s">
        <v>66</v>
      </c>
      <c r="J1265" t="s">
        <v>56</v>
      </c>
      <c r="K1265" t="s">
        <v>57</v>
      </c>
      <c r="L1265" t="s">
        <v>58</v>
      </c>
      <c r="M1265" t="s">
        <v>59</v>
      </c>
      <c r="N1265" t="s">
        <v>60</v>
      </c>
    </row>
    <row r="1266" spans="1:16" x14ac:dyDescent="0.25">
      <c r="A1266">
        <v>1</v>
      </c>
      <c r="B1266" s="3">
        <v>300</v>
      </c>
      <c r="C1266">
        <v>0.44400000000000001</v>
      </c>
      <c r="D1266">
        <v>0.22500000000000001</v>
      </c>
      <c r="E1266">
        <v>9.2999999999999999E-2</v>
      </c>
      <c r="F1266">
        <v>3.1E-2</v>
      </c>
      <c r="G1266">
        <v>0.11940000000000001</v>
      </c>
      <c r="H1266">
        <v>0.3</v>
      </c>
      <c r="I1266">
        <v>0.04</v>
      </c>
      <c r="J1266">
        <v>1.4</v>
      </c>
      <c r="K1266">
        <v>4.4719999999999996E-2</v>
      </c>
      <c r="L1266">
        <v>0.1</v>
      </c>
      <c r="M1266">
        <v>35.147392290249435</v>
      </c>
      <c r="N1266">
        <v>0</v>
      </c>
    </row>
    <row r="1267" spans="1:16" x14ac:dyDescent="0.25">
      <c r="A1267">
        <v>2</v>
      </c>
      <c r="B1267" s="3">
        <v>700</v>
      </c>
      <c r="C1267">
        <v>0.434</v>
      </c>
      <c r="D1267">
        <v>0.24099999999999999</v>
      </c>
      <c r="E1267">
        <v>0.109</v>
      </c>
      <c r="F1267">
        <v>3.6333333333333336E-2</v>
      </c>
      <c r="G1267">
        <v>0.13539999999999999</v>
      </c>
      <c r="H1267">
        <v>0.3</v>
      </c>
      <c r="I1267">
        <v>0.03</v>
      </c>
      <c r="J1267">
        <v>1.36</v>
      </c>
      <c r="K1267">
        <v>2.5799999999999997E-2</v>
      </c>
      <c r="L1267">
        <v>0.1</v>
      </c>
      <c r="M1267">
        <v>7.7531012404961972</v>
      </c>
      <c r="N1267">
        <v>0</v>
      </c>
      <c r="P1267" t="s">
        <v>966</v>
      </c>
    </row>
    <row r="1268" spans="1:16" x14ac:dyDescent="0.25">
      <c r="A1268">
        <v>3</v>
      </c>
    </row>
    <row r="1269" spans="1:16" x14ac:dyDescent="0.25">
      <c r="A1269">
        <v>4</v>
      </c>
    </row>
    <row r="1270" spans="1:16" x14ac:dyDescent="0.25">
      <c r="A1270">
        <v>5</v>
      </c>
    </row>
    <row r="1271" spans="1:16" x14ac:dyDescent="0.25">
      <c r="A1271">
        <v>6</v>
      </c>
    </row>
    <row r="1272" spans="1:16" x14ac:dyDescent="0.25">
      <c r="A1272">
        <v>7</v>
      </c>
    </row>
    <row r="1273" spans="1:16" x14ac:dyDescent="0.25">
      <c r="A1273">
        <v>8</v>
      </c>
    </row>
    <row r="1274" spans="1:16" x14ac:dyDescent="0.25">
      <c r="A1274">
        <v>9</v>
      </c>
    </row>
    <row r="1275" spans="1:16" x14ac:dyDescent="0.25">
      <c r="A1275">
        <v>10</v>
      </c>
    </row>
    <row r="1278" spans="1:16" x14ac:dyDescent="0.25">
      <c r="A1278" t="s">
        <v>677</v>
      </c>
      <c r="N1278">
        <v>69</v>
      </c>
    </row>
    <row r="1279" spans="1:16" x14ac:dyDescent="0.25">
      <c r="A1279" t="s">
        <v>672</v>
      </c>
      <c r="C1279" t="s">
        <v>673</v>
      </c>
    </row>
    <row r="1280" spans="1:16" x14ac:dyDescent="0.25">
      <c r="A1280" t="s">
        <v>962</v>
      </c>
      <c r="C1280">
        <v>1407</v>
      </c>
      <c r="P1280">
        <v>1278</v>
      </c>
    </row>
    <row r="1281" spans="1:16" ht="13" x14ac:dyDescent="0.3">
      <c r="A1281" t="s">
        <v>681</v>
      </c>
      <c r="B1281" s="3" t="s">
        <v>680</v>
      </c>
      <c r="C1281" t="s">
        <v>678</v>
      </c>
      <c r="D1281" t="s">
        <v>695</v>
      </c>
      <c r="E1281" t="s">
        <v>679</v>
      </c>
      <c r="F1281" s="41" t="s">
        <v>1186</v>
      </c>
    </row>
    <row r="1282" spans="1:16" x14ac:dyDescent="0.25">
      <c r="A1282">
        <v>2</v>
      </c>
      <c r="B1282" s="3">
        <v>2</v>
      </c>
      <c r="C1282">
        <v>0.13</v>
      </c>
      <c r="D1282">
        <v>11</v>
      </c>
      <c r="E1282">
        <v>61</v>
      </c>
      <c r="F1282" s="78">
        <v>1</v>
      </c>
      <c r="M1282" t="s">
        <v>65</v>
      </c>
      <c r="N1282" t="s">
        <v>65</v>
      </c>
    </row>
    <row r="1283" spans="1:16" x14ac:dyDescent="0.25">
      <c r="C1283" t="s">
        <v>20</v>
      </c>
      <c r="D1283" t="s">
        <v>20</v>
      </c>
      <c r="E1283" t="s">
        <v>20</v>
      </c>
      <c r="G1283" t="s">
        <v>39</v>
      </c>
      <c r="H1283" t="s">
        <v>39</v>
      </c>
      <c r="I1283" t="s">
        <v>39</v>
      </c>
      <c r="J1283" t="s">
        <v>63</v>
      </c>
      <c r="K1283" t="s">
        <v>62</v>
      </c>
      <c r="L1283" t="s">
        <v>39</v>
      </c>
      <c r="M1283" t="s">
        <v>64</v>
      </c>
      <c r="N1283" t="s">
        <v>64</v>
      </c>
    </row>
    <row r="1284" spans="1:16" x14ac:dyDescent="0.25">
      <c r="A1284" t="s">
        <v>32</v>
      </c>
      <c r="B1284" s="3" t="s">
        <v>33</v>
      </c>
      <c r="C1284" t="s">
        <v>34</v>
      </c>
      <c r="D1284" t="s">
        <v>35</v>
      </c>
      <c r="E1284" t="s">
        <v>814</v>
      </c>
      <c r="F1284" t="s">
        <v>816</v>
      </c>
      <c r="G1284" t="s">
        <v>815</v>
      </c>
      <c r="H1284" t="s">
        <v>36</v>
      </c>
      <c r="I1284" t="s">
        <v>66</v>
      </c>
      <c r="J1284" t="s">
        <v>56</v>
      </c>
      <c r="K1284" t="s">
        <v>57</v>
      </c>
      <c r="L1284" t="s">
        <v>58</v>
      </c>
      <c r="M1284" t="s">
        <v>59</v>
      </c>
      <c r="N1284" t="s">
        <v>60</v>
      </c>
    </row>
    <row r="1285" spans="1:16" x14ac:dyDescent="0.25">
      <c r="A1285">
        <v>1</v>
      </c>
      <c r="B1285" s="3">
        <v>300</v>
      </c>
      <c r="C1285">
        <v>0.36599999999999999</v>
      </c>
      <c r="D1285">
        <v>0.26100000000000001</v>
      </c>
      <c r="E1285">
        <v>0.129</v>
      </c>
      <c r="F1285">
        <v>4.3000000000000003E-2</v>
      </c>
      <c r="G1285">
        <v>0.15540000000000001</v>
      </c>
      <c r="H1285">
        <v>0.4</v>
      </c>
      <c r="I1285">
        <v>0.09</v>
      </c>
      <c r="J1285">
        <v>1.39</v>
      </c>
      <c r="K1285">
        <v>7.3959999999999998E-2</v>
      </c>
      <c r="L1285">
        <v>0.1</v>
      </c>
      <c r="M1285">
        <v>35.400251227589365</v>
      </c>
      <c r="N1285">
        <v>0</v>
      </c>
    </row>
    <row r="1286" spans="1:16" x14ac:dyDescent="0.25">
      <c r="A1286">
        <v>2</v>
      </c>
      <c r="B1286" s="3">
        <v>700</v>
      </c>
      <c r="C1286">
        <v>0.38300000000000001</v>
      </c>
      <c r="D1286">
        <v>0.27700000000000002</v>
      </c>
      <c r="E1286">
        <v>0.14499999999999999</v>
      </c>
      <c r="F1286">
        <v>4.8333333333333332E-2</v>
      </c>
      <c r="G1286">
        <v>0.1714</v>
      </c>
      <c r="H1286">
        <v>0.2</v>
      </c>
      <c r="I1286">
        <v>0.08</v>
      </c>
      <c r="J1286">
        <v>1.33</v>
      </c>
      <c r="K1286">
        <v>3.2680000000000001E-2</v>
      </c>
      <c r="L1286">
        <v>0.1</v>
      </c>
      <c r="M1286">
        <v>7.9279832233645342</v>
      </c>
      <c r="N1286">
        <v>0</v>
      </c>
      <c r="P1286" t="s">
        <v>966</v>
      </c>
    </row>
    <row r="1287" spans="1:16" x14ac:dyDescent="0.25">
      <c r="A1287">
        <v>3</v>
      </c>
    </row>
    <row r="1288" spans="1:16" x14ac:dyDescent="0.25">
      <c r="A1288">
        <v>4</v>
      </c>
    </row>
    <row r="1289" spans="1:16" x14ac:dyDescent="0.25">
      <c r="A1289">
        <v>5</v>
      </c>
    </row>
    <row r="1290" spans="1:16" x14ac:dyDescent="0.25">
      <c r="A1290">
        <v>6</v>
      </c>
    </row>
    <row r="1291" spans="1:16" x14ac:dyDescent="0.25">
      <c r="A1291">
        <v>7</v>
      </c>
    </row>
    <row r="1292" spans="1:16" x14ac:dyDescent="0.25">
      <c r="A1292">
        <v>8</v>
      </c>
    </row>
    <row r="1293" spans="1:16" x14ac:dyDescent="0.25">
      <c r="A1293">
        <v>9</v>
      </c>
    </row>
    <row r="1294" spans="1:16" x14ac:dyDescent="0.25">
      <c r="A1294">
        <v>10</v>
      </c>
    </row>
    <row r="1297" spans="1:16" x14ac:dyDescent="0.25">
      <c r="A1297" t="s">
        <v>677</v>
      </c>
      <c r="N1297">
        <v>70</v>
      </c>
    </row>
    <row r="1298" spans="1:16" x14ac:dyDescent="0.25">
      <c r="A1298" t="s">
        <v>672</v>
      </c>
      <c r="C1298" t="s">
        <v>673</v>
      </c>
    </row>
    <row r="1299" spans="1:16" x14ac:dyDescent="0.25">
      <c r="A1299" t="s">
        <v>964</v>
      </c>
      <c r="C1299">
        <v>1392</v>
      </c>
      <c r="P1299">
        <v>1297</v>
      </c>
    </row>
    <row r="1300" spans="1:16" ht="13" x14ac:dyDescent="0.3">
      <c r="A1300" t="s">
        <v>681</v>
      </c>
      <c r="B1300" s="3" t="s">
        <v>680</v>
      </c>
      <c r="C1300" t="s">
        <v>678</v>
      </c>
      <c r="D1300" t="s">
        <v>695</v>
      </c>
      <c r="E1300" t="s">
        <v>679</v>
      </c>
      <c r="F1300" s="41" t="s">
        <v>1186</v>
      </c>
    </row>
    <row r="1301" spans="1:16" x14ac:dyDescent="0.25">
      <c r="A1301">
        <v>2</v>
      </c>
      <c r="B1301" s="3">
        <v>2</v>
      </c>
      <c r="C1301">
        <v>0.11</v>
      </c>
      <c r="D1301">
        <v>10</v>
      </c>
      <c r="E1301">
        <v>84</v>
      </c>
      <c r="F1301" s="78">
        <v>1</v>
      </c>
      <c r="M1301" t="s">
        <v>65</v>
      </c>
      <c r="N1301" t="s">
        <v>65</v>
      </c>
    </row>
    <row r="1302" spans="1:16" x14ac:dyDescent="0.25">
      <c r="C1302" t="s">
        <v>20</v>
      </c>
      <c r="D1302" t="s">
        <v>20</v>
      </c>
      <c r="E1302" t="s">
        <v>20</v>
      </c>
      <c r="G1302" t="s">
        <v>39</v>
      </c>
      <c r="H1302" t="s">
        <v>39</v>
      </c>
      <c r="I1302" t="s">
        <v>39</v>
      </c>
      <c r="J1302" t="s">
        <v>63</v>
      </c>
      <c r="K1302" t="s">
        <v>62</v>
      </c>
      <c r="L1302" t="s">
        <v>39</v>
      </c>
      <c r="M1302" t="s">
        <v>64</v>
      </c>
      <c r="N1302" t="s">
        <v>64</v>
      </c>
    </row>
    <row r="1303" spans="1:16" x14ac:dyDescent="0.25">
      <c r="A1303" t="s">
        <v>32</v>
      </c>
      <c r="B1303" s="3" t="s">
        <v>33</v>
      </c>
      <c r="C1303" t="s">
        <v>34</v>
      </c>
      <c r="D1303" t="s">
        <v>35</v>
      </c>
      <c r="E1303" t="s">
        <v>814</v>
      </c>
      <c r="F1303" t="s">
        <v>816</v>
      </c>
      <c r="G1303" t="s">
        <v>815</v>
      </c>
      <c r="H1303" t="s">
        <v>36</v>
      </c>
      <c r="I1303" t="s">
        <v>66</v>
      </c>
      <c r="J1303" t="s">
        <v>56</v>
      </c>
      <c r="K1303" t="s">
        <v>57</v>
      </c>
      <c r="L1303" t="s">
        <v>58</v>
      </c>
      <c r="M1303" t="s">
        <v>59</v>
      </c>
      <c r="N1303" t="s">
        <v>60</v>
      </c>
    </row>
    <row r="1304" spans="1:16" x14ac:dyDescent="0.25">
      <c r="A1304">
        <v>1</v>
      </c>
      <c r="B1304" s="3">
        <v>300</v>
      </c>
      <c r="C1304">
        <v>0.48</v>
      </c>
      <c r="D1304">
        <v>0.27900000000000003</v>
      </c>
      <c r="E1304">
        <v>0.14699999999999999</v>
      </c>
      <c r="F1304">
        <v>4.8999999999999995E-2</v>
      </c>
      <c r="G1304">
        <v>0.1734</v>
      </c>
      <c r="H1304">
        <v>0.1</v>
      </c>
      <c r="I1304">
        <v>0.04</v>
      </c>
      <c r="J1304">
        <v>1.23</v>
      </c>
      <c r="K1304">
        <v>0.1376</v>
      </c>
      <c r="L1304">
        <v>0.1</v>
      </c>
      <c r="M1304">
        <v>40.005161956381471</v>
      </c>
      <c r="N1304">
        <v>0</v>
      </c>
    </row>
    <row r="1305" spans="1:16" x14ac:dyDescent="0.25">
      <c r="A1305">
        <v>2</v>
      </c>
      <c r="B1305" s="3">
        <v>700</v>
      </c>
      <c r="C1305">
        <v>0.41799999999999998</v>
      </c>
      <c r="D1305">
        <v>0.29699999999999999</v>
      </c>
      <c r="E1305">
        <v>0.16500000000000001</v>
      </c>
      <c r="F1305">
        <v>5.5E-2</v>
      </c>
      <c r="G1305">
        <v>0.19140000000000001</v>
      </c>
      <c r="H1305">
        <v>0.1</v>
      </c>
      <c r="I1305">
        <v>0.06</v>
      </c>
      <c r="J1305">
        <v>1.26</v>
      </c>
      <c r="K1305">
        <v>5.5039999999999999E-2</v>
      </c>
      <c r="L1305">
        <v>0.1</v>
      </c>
      <c r="M1305">
        <v>8.3684267357736744</v>
      </c>
      <c r="N1305">
        <v>0</v>
      </c>
      <c r="P1305" t="s">
        <v>966</v>
      </c>
    </row>
    <row r="1306" spans="1:16" x14ac:dyDescent="0.25">
      <c r="A1306">
        <v>3</v>
      </c>
    </row>
    <row r="1307" spans="1:16" x14ac:dyDescent="0.25">
      <c r="A1307">
        <v>4</v>
      </c>
    </row>
    <row r="1308" spans="1:16" x14ac:dyDescent="0.25">
      <c r="A1308">
        <v>5</v>
      </c>
    </row>
    <row r="1309" spans="1:16" x14ac:dyDescent="0.25">
      <c r="A1309">
        <v>6</v>
      </c>
    </row>
    <row r="1310" spans="1:16" x14ac:dyDescent="0.25">
      <c r="A1310">
        <v>7</v>
      </c>
    </row>
    <row r="1311" spans="1:16" x14ac:dyDescent="0.25">
      <c r="A1311">
        <v>8</v>
      </c>
    </row>
    <row r="1312" spans="1:16" x14ac:dyDescent="0.25">
      <c r="A1312">
        <v>9</v>
      </c>
    </row>
    <row r="1313" spans="1:16" x14ac:dyDescent="0.25">
      <c r="A1313">
        <v>10</v>
      </c>
    </row>
    <row r="1316" spans="1:16" x14ac:dyDescent="0.25">
      <c r="A1316" t="s">
        <v>677</v>
      </c>
      <c r="N1316">
        <v>71</v>
      </c>
    </row>
    <row r="1317" spans="1:16" x14ac:dyDescent="0.25">
      <c r="A1317" t="s">
        <v>672</v>
      </c>
      <c r="C1317" t="s">
        <v>673</v>
      </c>
    </row>
    <row r="1318" spans="1:16" x14ac:dyDescent="0.25">
      <c r="A1318" t="s">
        <v>827</v>
      </c>
      <c r="C1318">
        <v>1405</v>
      </c>
      <c r="P1318">
        <v>1316</v>
      </c>
    </row>
    <row r="1319" spans="1:16" ht="13" x14ac:dyDescent="0.3">
      <c r="A1319" t="s">
        <v>681</v>
      </c>
      <c r="B1319" s="3" t="s">
        <v>680</v>
      </c>
      <c r="C1319" t="s">
        <v>678</v>
      </c>
      <c r="D1319" t="s">
        <v>695</v>
      </c>
      <c r="E1319" t="s">
        <v>679</v>
      </c>
      <c r="F1319" s="41" t="s">
        <v>1186</v>
      </c>
    </row>
    <row r="1320" spans="1:16" x14ac:dyDescent="0.25">
      <c r="A1320">
        <v>2</v>
      </c>
      <c r="B1320" s="3">
        <v>2</v>
      </c>
      <c r="C1320">
        <v>0.13</v>
      </c>
      <c r="D1320">
        <v>9</v>
      </c>
      <c r="E1320">
        <v>61</v>
      </c>
      <c r="F1320" s="78">
        <v>1</v>
      </c>
      <c r="M1320" t="s">
        <v>65</v>
      </c>
      <c r="N1320" t="s">
        <v>65</v>
      </c>
    </row>
    <row r="1321" spans="1:16" x14ac:dyDescent="0.25">
      <c r="C1321" t="s">
        <v>20</v>
      </c>
      <c r="D1321" t="s">
        <v>20</v>
      </c>
      <c r="E1321" t="s">
        <v>20</v>
      </c>
      <c r="G1321" t="s">
        <v>39</v>
      </c>
      <c r="H1321" t="s">
        <v>39</v>
      </c>
      <c r="I1321" t="s">
        <v>39</v>
      </c>
      <c r="J1321" t="s">
        <v>63</v>
      </c>
      <c r="K1321" t="s">
        <v>62</v>
      </c>
      <c r="L1321" t="s">
        <v>39</v>
      </c>
      <c r="M1321" t="s">
        <v>64</v>
      </c>
      <c r="N1321" t="s">
        <v>64</v>
      </c>
    </row>
    <row r="1322" spans="1:16" x14ac:dyDescent="0.25">
      <c r="A1322" t="s">
        <v>32</v>
      </c>
      <c r="B1322" s="3" t="s">
        <v>33</v>
      </c>
      <c r="C1322" t="s">
        <v>34</v>
      </c>
      <c r="D1322" t="s">
        <v>35</v>
      </c>
      <c r="E1322" t="s">
        <v>814</v>
      </c>
      <c r="F1322" t="s">
        <v>816</v>
      </c>
      <c r="G1322" t="s">
        <v>815</v>
      </c>
      <c r="H1322" t="s">
        <v>36</v>
      </c>
      <c r="I1322" t="s">
        <v>66</v>
      </c>
      <c r="J1322" t="s">
        <v>56</v>
      </c>
      <c r="K1322" t="s">
        <v>57</v>
      </c>
      <c r="L1322" t="s">
        <v>58</v>
      </c>
      <c r="M1322" t="s">
        <v>59</v>
      </c>
      <c r="N1322" t="s">
        <v>60</v>
      </c>
    </row>
    <row r="1323" spans="1:16" x14ac:dyDescent="0.25">
      <c r="A1323">
        <v>1</v>
      </c>
      <c r="B1323" s="3">
        <v>300</v>
      </c>
      <c r="C1323">
        <v>0.40699999999999997</v>
      </c>
      <c r="D1323">
        <v>0.19700000000000001</v>
      </c>
      <c r="E1323">
        <v>7.4999999999999997E-2</v>
      </c>
      <c r="F1323">
        <v>2.4999999999999998E-2</v>
      </c>
      <c r="G1323">
        <v>9.9400000000000002E-2</v>
      </c>
      <c r="H1323">
        <v>0.4</v>
      </c>
      <c r="I1323">
        <v>0.04</v>
      </c>
      <c r="J1323">
        <v>1.57</v>
      </c>
      <c r="K1323">
        <v>4.2999999999999997E-2</v>
      </c>
      <c r="L1323">
        <v>0.1</v>
      </c>
      <c r="M1323">
        <v>31.341623698311597</v>
      </c>
      <c r="N1323">
        <v>0</v>
      </c>
    </row>
    <row r="1324" spans="1:16" x14ac:dyDescent="0.25">
      <c r="A1324">
        <v>2</v>
      </c>
      <c r="B1324" s="3">
        <v>700</v>
      </c>
      <c r="C1324">
        <v>0.38100000000000001</v>
      </c>
      <c r="D1324">
        <v>0.23200000000000001</v>
      </c>
      <c r="E1324">
        <v>0.104</v>
      </c>
      <c r="F1324">
        <v>3.4666666666666665E-2</v>
      </c>
      <c r="G1324">
        <v>0.12959999999999999</v>
      </c>
      <c r="H1324">
        <v>0.4</v>
      </c>
      <c r="I1324">
        <v>0.08</v>
      </c>
      <c r="J1324">
        <v>1.46</v>
      </c>
      <c r="K1324">
        <v>2.4080000000000001E-2</v>
      </c>
      <c r="L1324">
        <v>0.1</v>
      </c>
      <c r="M1324">
        <v>7.2220669089553642</v>
      </c>
      <c r="N1324">
        <v>0</v>
      </c>
      <c r="P1324" t="s">
        <v>966</v>
      </c>
    </row>
    <row r="1325" spans="1:16" x14ac:dyDescent="0.25">
      <c r="A1325">
        <v>3</v>
      </c>
    </row>
    <row r="1326" spans="1:16" x14ac:dyDescent="0.25">
      <c r="A1326">
        <v>4</v>
      </c>
    </row>
    <row r="1327" spans="1:16" x14ac:dyDescent="0.25">
      <c r="A1327">
        <v>5</v>
      </c>
    </row>
    <row r="1328" spans="1:16" x14ac:dyDescent="0.25">
      <c r="A1328">
        <v>6</v>
      </c>
    </row>
    <row r="1329" spans="1:16" x14ac:dyDescent="0.25">
      <c r="A1329">
        <v>7</v>
      </c>
    </row>
    <row r="1330" spans="1:16" x14ac:dyDescent="0.25">
      <c r="A1330">
        <v>8</v>
      </c>
    </row>
    <row r="1331" spans="1:16" x14ac:dyDescent="0.25">
      <c r="A1331">
        <v>9</v>
      </c>
    </row>
    <row r="1332" spans="1:16" x14ac:dyDescent="0.25">
      <c r="A1332">
        <v>10</v>
      </c>
    </row>
    <row r="1335" spans="1:16" x14ac:dyDescent="0.25">
      <c r="A1335" t="s">
        <v>677</v>
      </c>
      <c r="N1335">
        <v>72</v>
      </c>
    </row>
    <row r="1336" spans="1:16" x14ac:dyDescent="0.25">
      <c r="A1336" t="s">
        <v>672</v>
      </c>
      <c r="C1336" t="s">
        <v>673</v>
      </c>
    </row>
    <row r="1337" spans="1:16" x14ac:dyDescent="0.25">
      <c r="A1337" t="s">
        <v>967</v>
      </c>
      <c r="C1337">
        <v>1407</v>
      </c>
      <c r="P1337">
        <v>1335</v>
      </c>
    </row>
    <row r="1338" spans="1:16" ht="13" x14ac:dyDescent="0.3">
      <c r="A1338" t="s">
        <v>681</v>
      </c>
      <c r="B1338" s="3" t="s">
        <v>680</v>
      </c>
      <c r="C1338" t="s">
        <v>678</v>
      </c>
      <c r="D1338" t="s">
        <v>695</v>
      </c>
      <c r="E1338" t="s">
        <v>679</v>
      </c>
      <c r="F1338" s="41" t="s">
        <v>1186</v>
      </c>
    </row>
    <row r="1339" spans="1:16" x14ac:dyDescent="0.25">
      <c r="A1339">
        <v>2</v>
      </c>
      <c r="B1339" s="3">
        <v>2</v>
      </c>
      <c r="C1339">
        <v>0.13</v>
      </c>
      <c r="D1339">
        <v>6</v>
      </c>
      <c r="E1339">
        <v>61</v>
      </c>
      <c r="F1339" s="78">
        <v>1</v>
      </c>
      <c r="M1339" t="s">
        <v>65</v>
      </c>
      <c r="N1339" t="s">
        <v>65</v>
      </c>
    </row>
    <row r="1340" spans="1:16" x14ac:dyDescent="0.25">
      <c r="C1340" t="s">
        <v>20</v>
      </c>
      <c r="D1340" t="s">
        <v>20</v>
      </c>
      <c r="E1340" t="s">
        <v>20</v>
      </c>
      <c r="G1340" t="s">
        <v>39</v>
      </c>
      <c r="H1340" t="s">
        <v>39</v>
      </c>
      <c r="I1340" t="s">
        <v>39</v>
      </c>
      <c r="J1340" t="s">
        <v>63</v>
      </c>
      <c r="K1340" t="s">
        <v>62</v>
      </c>
      <c r="L1340" t="s">
        <v>39</v>
      </c>
      <c r="M1340" t="s">
        <v>64</v>
      </c>
      <c r="N1340" t="s">
        <v>64</v>
      </c>
    </row>
    <row r="1341" spans="1:16" x14ac:dyDescent="0.25">
      <c r="A1341" t="s">
        <v>32</v>
      </c>
      <c r="B1341" s="3" t="s">
        <v>33</v>
      </c>
      <c r="C1341" t="s">
        <v>34</v>
      </c>
      <c r="D1341" t="s">
        <v>35</v>
      </c>
      <c r="E1341" t="s">
        <v>814</v>
      </c>
      <c r="F1341" t="s">
        <v>816</v>
      </c>
      <c r="G1341" t="s">
        <v>815</v>
      </c>
      <c r="H1341" t="s">
        <v>36</v>
      </c>
      <c r="I1341" t="s">
        <v>66</v>
      </c>
      <c r="J1341" t="s">
        <v>56</v>
      </c>
      <c r="K1341" t="s">
        <v>57</v>
      </c>
      <c r="L1341" t="s">
        <v>58</v>
      </c>
      <c r="M1341" t="s">
        <v>59</v>
      </c>
      <c r="N1341" t="s">
        <v>60</v>
      </c>
    </row>
    <row r="1342" spans="1:16" x14ac:dyDescent="0.25">
      <c r="A1342">
        <v>1</v>
      </c>
      <c r="B1342" s="3">
        <v>300</v>
      </c>
      <c r="C1342">
        <v>0.36599999999999999</v>
      </c>
      <c r="D1342">
        <v>0.26100000000000001</v>
      </c>
      <c r="E1342">
        <v>0.129</v>
      </c>
      <c r="F1342">
        <v>4.3000000000000003E-2</v>
      </c>
      <c r="G1342">
        <v>0.15540000000000001</v>
      </c>
      <c r="H1342">
        <v>0.4</v>
      </c>
      <c r="I1342">
        <v>0.09</v>
      </c>
      <c r="J1342">
        <v>1.39</v>
      </c>
      <c r="K1342">
        <v>7.3959999999999998E-2</v>
      </c>
      <c r="L1342">
        <v>0.1</v>
      </c>
      <c r="M1342">
        <v>35.400251227589365</v>
      </c>
      <c r="N1342">
        <v>0</v>
      </c>
    </row>
    <row r="1343" spans="1:16" x14ac:dyDescent="0.25">
      <c r="A1343">
        <v>2</v>
      </c>
      <c r="B1343" s="3">
        <v>700</v>
      </c>
      <c r="C1343">
        <v>0.38300000000000001</v>
      </c>
      <c r="D1343">
        <v>0.27700000000000002</v>
      </c>
      <c r="E1343">
        <v>0.14499999999999999</v>
      </c>
      <c r="F1343">
        <v>4.8333333333333332E-2</v>
      </c>
      <c r="G1343">
        <v>0.1714</v>
      </c>
      <c r="H1343">
        <v>0.2</v>
      </c>
      <c r="I1343">
        <v>0.08</v>
      </c>
      <c r="J1343">
        <v>1.33</v>
      </c>
      <c r="K1343">
        <v>3.2680000000000001E-2</v>
      </c>
      <c r="L1343">
        <v>0.1</v>
      </c>
      <c r="M1343">
        <v>7.9279832233645342</v>
      </c>
      <c r="N1343">
        <v>0</v>
      </c>
      <c r="P1343" t="s">
        <v>966</v>
      </c>
    </row>
    <row r="1344" spans="1:16" x14ac:dyDescent="0.25">
      <c r="A1344">
        <v>3</v>
      </c>
    </row>
    <row r="1345" spans="1:16" x14ac:dyDescent="0.25">
      <c r="A1345">
        <v>4</v>
      </c>
    </row>
    <row r="1346" spans="1:16" x14ac:dyDescent="0.25">
      <c r="A1346">
        <v>5</v>
      </c>
    </row>
    <row r="1347" spans="1:16" x14ac:dyDescent="0.25">
      <c r="A1347">
        <v>6</v>
      </c>
    </row>
    <row r="1348" spans="1:16" x14ac:dyDescent="0.25">
      <c r="A1348">
        <v>7</v>
      </c>
    </row>
    <row r="1349" spans="1:16" x14ac:dyDescent="0.25">
      <c r="A1349">
        <v>8</v>
      </c>
    </row>
    <row r="1350" spans="1:16" x14ac:dyDescent="0.25">
      <c r="A1350">
        <v>9</v>
      </c>
    </row>
    <row r="1351" spans="1:16" x14ac:dyDescent="0.25">
      <c r="A1351">
        <v>10</v>
      </c>
    </row>
    <row r="1354" spans="1:16" x14ac:dyDescent="0.25">
      <c r="A1354" t="s">
        <v>677</v>
      </c>
      <c r="N1354">
        <v>73</v>
      </c>
    </row>
    <row r="1355" spans="1:16" x14ac:dyDescent="0.25">
      <c r="A1355" t="s">
        <v>672</v>
      </c>
      <c r="C1355" t="s">
        <v>673</v>
      </c>
    </row>
    <row r="1356" spans="1:16" x14ac:dyDescent="0.25">
      <c r="A1356" t="s">
        <v>968</v>
      </c>
      <c r="C1356" t="e">
        <v>#N/A</v>
      </c>
      <c r="P1356">
        <v>1354</v>
      </c>
    </row>
    <row r="1357" spans="1:16" ht="13" x14ac:dyDescent="0.3">
      <c r="A1357" t="s">
        <v>681</v>
      </c>
      <c r="B1357" s="3" t="s">
        <v>680</v>
      </c>
      <c r="C1357" t="s">
        <v>678</v>
      </c>
      <c r="D1357" t="s">
        <v>695</v>
      </c>
      <c r="E1357" t="s">
        <v>679</v>
      </c>
      <c r="F1357" s="41" t="s">
        <v>1186</v>
      </c>
    </row>
    <row r="1358" spans="1:16" x14ac:dyDescent="0.25">
      <c r="A1358" t="e">
        <v>#N/A</v>
      </c>
      <c r="B1358" s="3" t="e">
        <v>#N/A</v>
      </c>
      <c r="C1358" t="e">
        <v>#N/A</v>
      </c>
      <c r="D1358" t="e">
        <v>#N/A</v>
      </c>
      <c r="E1358" t="e">
        <v>#N/A</v>
      </c>
      <c r="F1358">
        <v>1</v>
      </c>
      <c r="M1358" t="s">
        <v>65</v>
      </c>
      <c r="N1358" t="s">
        <v>65</v>
      </c>
    </row>
    <row r="1359" spans="1:16" x14ac:dyDescent="0.25">
      <c r="C1359" t="s">
        <v>20</v>
      </c>
      <c r="D1359" t="s">
        <v>20</v>
      </c>
      <c r="E1359" t="s">
        <v>20</v>
      </c>
      <c r="G1359" t="s">
        <v>39</v>
      </c>
      <c r="H1359" t="s">
        <v>39</v>
      </c>
      <c r="I1359" t="s">
        <v>39</v>
      </c>
      <c r="J1359" t="s">
        <v>63</v>
      </c>
      <c r="K1359" t="s">
        <v>62</v>
      </c>
      <c r="L1359" t="s">
        <v>39</v>
      </c>
      <c r="M1359" t="s">
        <v>64</v>
      </c>
      <c r="N1359" t="s">
        <v>64</v>
      </c>
    </row>
    <row r="1360" spans="1:16" x14ac:dyDescent="0.25">
      <c r="A1360" t="s">
        <v>32</v>
      </c>
      <c r="B1360" s="3" t="s">
        <v>33</v>
      </c>
      <c r="C1360" t="s">
        <v>34</v>
      </c>
      <c r="D1360" t="s">
        <v>35</v>
      </c>
      <c r="E1360" t="s">
        <v>814</v>
      </c>
      <c r="F1360" t="s">
        <v>816</v>
      </c>
      <c r="G1360" t="s">
        <v>815</v>
      </c>
      <c r="H1360" t="s">
        <v>36</v>
      </c>
      <c r="I1360" t="s">
        <v>66</v>
      </c>
      <c r="J1360" t="s">
        <v>56</v>
      </c>
      <c r="K1360" t="s">
        <v>57</v>
      </c>
      <c r="L1360" t="s">
        <v>58</v>
      </c>
      <c r="M1360" t="s">
        <v>59</v>
      </c>
      <c r="N1360" t="s">
        <v>60</v>
      </c>
    </row>
    <row r="1361" spans="1:16" x14ac:dyDescent="0.25">
      <c r="A1361">
        <v>1</v>
      </c>
      <c r="B1361" s="3" t="e">
        <v>#N/A</v>
      </c>
      <c r="C1361" t="e">
        <v>#N/A</v>
      </c>
      <c r="D1361" t="e">
        <v>#N/A</v>
      </c>
      <c r="E1361" t="e">
        <v>#N/A</v>
      </c>
      <c r="F1361" t="e">
        <v>#N/A</v>
      </c>
      <c r="G1361" t="e">
        <v>#N/A</v>
      </c>
      <c r="H1361" t="e">
        <v>#N/A</v>
      </c>
      <c r="I1361" t="e">
        <v>#N/A</v>
      </c>
      <c r="J1361" t="e">
        <v>#N/A</v>
      </c>
      <c r="K1361" t="e">
        <v>#N/A</v>
      </c>
      <c r="L1361" t="e">
        <v>#N/A</v>
      </c>
      <c r="M1361" t="e">
        <v>#N/A</v>
      </c>
      <c r="N1361" t="e">
        <v>#N/A</v>
      </c>
    </row>
    <row r="1362" spans="1:16" x14ac:dyDescent="0.25">
      <c r="A1362">
        <v>2</v>
      </c>
      <c r="B1362" s="3" t="e">
        <v>#N/A</v>
      </c>
      <c r="C1362" t="e">
        <v>#N/A</v>
      </c>
      <c r="D1362" t="e">
        <v>#N/A</v>
      </c>
      <c r="E1362" t="e">
        <v>#N/A</v>
      </c>
      <c r="F1362" t="e">
        <v>#N/A</v>
      </c>
      <c r="G1362" t="e">
        <v>#N/A</v>
      </c>
      <c r="H1362" t="e">
        <v>#N/A</v>
      </c>
      <c r="I1362" t="e">
        <v>#N/A</v>
      </c>
      <c r="J1362" t="e">
        <v>#N/A</v>
      </c>
      <c r="K1362" t="e">
        <v>#N/A</v>
      </c>
      <c r="L1362" t="e">
        <v>#N/A</v>
      </c>
      <c r="M1362" t="e">
        <v>#N/A</v>
      </c>
      <c r="N1362" t="e">
        <v>#N/A</v>
      </c>
      <c r="P1362" t="s">
        <v>966</v>
      </c>
    </row>
    <row r="1363" spans="1:16" x14ac:dyDescent="0.25">
      <c r="A1363">
        <v>3</v>
      </c>
    </row>
    <row r="1364" spans="1:16" x14ac:dyDescent="0.25">
      <c r="A1364">
        <v>4</v>
      </c>
    </row>
    <row r="1365" spans="1:16" x14ac:dyDescent="0.25">
      <c r="A1365">
        <v>5</v>
      </c>
    </row>
    <row r="1366" spans="1:16" x14ac:dyDescent="0.25">
      <c r="A1366">
        <v>6</v>
      </c>
    </row>
    <row r="1367" spans="1:16" x14ac:dyDescent="0.25">
      <c r="A1367">
        <v>7</v>
      </c>
    </row>
    <row r="1368" spans="1:16" x14ac:dyDescent="0.25">
      <c r="A1368">
        <v>8</v>
      </c>
    </row>
    <row r="1369" spans="1:16" x14ac:dyDescent="0.25">
      <c r="A1369">
        <v>9</v>
      </c>
    </row>
    <row r="1370" spans="1:16" x14ac:dyDescent="0.25">
      <c r="A1370">
        <v>10</v>
      </c>
    </row>
    <row r="1373" spans="1:16" x14ac:dyDescent="0.25">
      <c r="A1373" t="s">
        <v>677</v>
      </c>
      <c r="N1373">
        <v>74</v>
      </c>
    </row>
    <row r="1374" spans="1:16" x14ac:dyDescent="0.25">
      <c r="A1374" t="s">
        <v>672</v>
      </c>
      <c r="C1374" t="s">
        <v>673</v>
      </c>
    </row>
    <row r="1375" spans="1:16" x14ac:dyDescent="0.25">
      <c r="A1375" t="s">
        <v>969</v>
      </c>
      <c r="C1375" t="e">
        <v>#N/A</v>
      </c>
      <c r="P1375">
        <v>1373</v>
      </c>
    </row>
    <row r="1376" spans="1:16" x14ac:dyDescent="0.25">
      <c r="A1376" t="s">
        <v>681</v>
      </c>
      <c r="B1376" s="3" t="s">
        <v>680</v>
      </c>
      <c r="C1376" t="s">
        <v>678</v>
      </c>
      <c r="D1376" t="s">
        <v>695</v>
      </c>
      <c r="E1376" t="s">
        <v>679</v>
      </c>
      <c r="F1376" s="245" t="s">
        <v>1187</v>
      </c>
    </row>
    <row r="1377" spans="1:16" x14ac:dyDescent="0.25">
      <c r="A1377" t="e">
        <v>#N/A</v>
      </c>
      <c r="B1377" s="3" t="e">
        <v>#N/A</v>
      </c>
      <c r="C1377" t="e">
        <v>#N/A</v>
      </c>
      <c r="D1377" t="e">
        <v>#N/A</v>
      </c>
      <c r="E1377" t="e">
        <v>#N/A</v>
      </c>
      <c r="F1377" s="232">
        <v>1</v>
      </c>
      <c r="M1377" t="s">
        <v>65</v>
      </c>
      <c r="N1377" t="s">
        <v>65</v>
      </c>
    </row>
    <row r="1378" spans="1:16" x14ac:dyDescent="0.25">
      <c r="C1378" t="s">
        <v>20</v>
      </c>
      <c r="D1378" t="s">
        <v>20</v>
      </c>
      <c r="E1378" t="s">
        <v>20</v>
      </c>
      <c r="G1378" t="s">
        <v>39</v>
      </c>
      <c r="H1378" t="s">
        <v>39</v>
      </c>
      <c r="I1378" t="s">
        <v>39</v>
      </c>
      <c r="J1378" t="s">
        <v>63</v>
      </c>
      <c r="K1378" t="s">
        <v>62</v>
      </c>
      <c r="L1378" t="s">
        <v>39</v>
      </c>
      <c r="M1378" t="s">
        <v>64</v>
      </c>
      <c r="N1378" t="s">
        <v>64</v>
      </c>
    </row>
    <row r="1379" spans="1:16" x14ac:dyDescent="0.25">
      <c r="A1379" t="s">
        <v>32</v>
      </c>
      <c r="B1379" s="3" t="s">
        <v>33</v>
      </c>
      <c r="C1379" t="s">
        <v>34</v>
      </c>
      <c r="D1379" t="s">
        <v>35</v>
      </c>
      <c r="E1379" t="s">
        <v>814</v>
      </c>
      <c r="F1379" t="s">
        <v>816</v>
      </c>
      <c r="G1379" t="s">
        <v>815</v>
      </c>
      <c r="H1379" t="s">
        <v>36</v>
      </c>
      <c r="I1379" t="s">
        <v>66</v>
      </c>
      <c r="J1379" t="s">
        <v>56</v>
      </c>
      <c r="K1379" t="s">
        <v>57</v>
      </c>
      <c r="L1379" t="s">
        <v>58</v>
      </c>
      <c r="M1379" t="s">
        <v>59</v>
      </c>
      <c r="N1379" t="s">
        <v>60</v>
      </c>
    </row>
    <row r="1380" spans="1:16" x14ac:dyDescent="0.25">
      <c r="A1380">
        <v>1</v>
      </c>
      <c r="B1380" s="3" t="e">
        <v>#N/A</v>
      </c>
      <c r="C1380" t="e">
        <v>#N/A</v>
      </c>
      <c r="D1380" t="e">
        <v>#N/A</v>
      </c>
      <c r="E1380" t="e">
        <v>#N/A</v>
      </c>
      <c r="F1380" t="e">
        <v>#N/A</v>
      </c>
      <c r="G1380" t="e">
        <v>#N/A</v>
      </c>
      <c r="H1380" t="e">
        <v>#N/A</v>
      </c>
      <c r="I1380" t="e">
        <v>#N/A</v>
      </c>
      <c r="J1380" t="e">
        <v>#N/A</v>
      </c>
      <c r="K1380" t="e">
        <v>#N/A</v>
      </c>
      <c r="L1380" t="e">
        <v>#N/A</v>
      </c>
      <c r="M1380" t="e">
        <v>#N/A</v>
      </c>
      <c r="N1380" t="e">
        <v>#N/A</v>
      </c>
    </row>
    <row r="1381" spans="1:16" x14ac:dyDescent="0.25">
      <c r="A1381">
        <v>2</v>
      </c>
      <c r="B1381" s="3" t="e">
        <v>#N/A</v>
      </c>
      <c r="C1381" t="e">
        <v>#N/A</v>
      </c>
      <c r="D1381" t="e">
        <v>#N/A</v>
      </c>
      <c r="E1381" t="e">
        <v>#N/A</v>
      </c>
      <c r="F1381" t="e">
        <v>#N/A</v>
      </c>
      <c r="G1381" t="e">
        <v>#N/A</v>
      </c>
      <c r="H1381" t="e">
        <v>#N/A</v>
      </c>
      <c r="I1381" t="e">
        <v>#N/A</v>
      </c>
      <c r="J1381" t="e">
        <v>#N/A</v>
      </c>
      <c r="K1381" t="e">
        <v>#N/A</v>
      </c>
      <c r="L1381" t="e">
        <v>#N/A</v>
      </c>
      <c r="M1381" t="e">
        <v>#N/A</v>
      </c>
      <c r="N1381" t="e">
        <v>#N/A</v>
      </c>
      <c r="P1381" t="s">
        <v>966</v>
      </c>
    </row>
    <row r="1382" spans="1:16" x14ac:dyDescent="0.25">
      <c r="A1382">
        <v>3</v>
      </c>
    </row>
    <row r="1383" spans="1:16" x14ac:dyDescent="0.25">
      <c r="A1383">
        <v>4</v>
      </c>
    </row>
    <row r="1384" spans="1:16" x14ac:dyDescent="0.25">
      <c r="A1384">
        <v>5</v>
      </c>
    </row>
    <row r="1385" spans="1:16" x14ac:dyDescent="0.25">
      <c r="A1385">
        <v>6</v>
      </c>
    </row>
    <row r="1386" spans="1:16" x14ac:dyDescent="0.25">
      <c r="A1386">
        <v>7</v>
      </c>
    </row>
    <row r="1387" spans="1:16" x14ac:dyDescent="0.25">
      <c r="A1387">
        <v>8</v>
      </c>
    </row>
    <row r="1388" spans="1:16" x14ac:dyDescent="0.25">
      <c r="A1388">
        <v>9</v>
      </c>
    </row>
    <row r="1389" spans="1:16" x14ac:dyDescent="0.25">
      <c r="A1389">
        <v>10</v>
      </c>
    </row>
    <row r="1392" spans="1:16" x14ac:dyDescent="0.25">
      <c r="A1392" t="s">
        <v>677</v>
      </c>
      <c r="N1392">
        <v>75</v>
      </c>
    </row>
    <row r="1393" spans="1:16" x14ac:dyDescent="0.25">
      <c r="A1393" t="s">
        <v>672</v>
      </c>
      <c r="C1393" t="s">
        <v>673</v>
      </c>
    </row>
    <row r="1394" spans="1:16" x14ac:dyDescent="0.25">
      <c r="A1394" t="s">
        <v>970</v>
      </c>
      <c r="C1394" t="e">
        <v>#N/A</v>
      </c>
      <c r="P1394">
        <v>1392</v>
      </c>
    </row>
    <row r="1395" spans="1:16" x14ac:dyDescent="0.25">
      <c r="A1395" t="s">
        <v>681</v>
      </c>
      <c r="B1395" s="3" t="s">
        <v>680</v>
      </c>
      <c r="C1395" t="s">
        <v>678</v>
      </c>
      <c r="D1395" t="s">
        <v>695</v>
      </c>
      <c r="E1395" t="s">
        <v>679</v>
      </c>
      <c r="F1395" s="245" t="s">
        <v>1187</v>
      </c>
    </row>
    <row r="1396" spans="1:16" x14ac:dyDescent="0.25">
      <c r="A1396" t="e">
        <v>#N/A</v>
      </c>
      <c r="B1396" s="3" t="e">
        <v>#N/A</v>
      </c>
      <c r="C1396" t="e">
        <v>#N/A</v>
      </c>
      <c r="D1396" t="e">
        <v>#N/A</v>
      </c>
      <c r="E1396" t="e">
        <v>#N/A</v>
      </c>
      <c r="F1396" s="232">
        <v>1</v>
      </c>
      <c r="M1396" t="s">
        <v>65</v>
      </c>
      <c r="N1396" t="s">
        <v>65</v>
      </c>
    </row>
    <row r="1397" spans="1:16" x14ac:dyDescent="0.25">
      <c r="C1397" t="s">
        <v>20</v>
      </c>
      <c r="D1397" t="s">
        <v>20</v>
      </c>
      <c r="E1397" t="s">
        <v>20</v>
      </c>
      <c r="G1397" t="s">
        <v>39</v>
      </c>
      <c r="H1397" t="s">
        <v>39</v>
      </c>
      <c r="I1397" t="s">
        <v>39</v>
      </c>
      <c r="J1397" t="s">
        <v>63</v>
      </c>
      <c r="K1397" t="s">
        <v>62</v>
      </c>
      <c r="L1397" t="s">
        <v>39</v>
      </c>
      <c r="M1397" t="s">
        <v>64</v>
      </c>
      <c r="N1397" t="s">
        <v>64</v>
      </c>
    </row>
    <row r="1398" spans="1:16" x14ac:dyDescent="0.25">
      <c r="A1398" t="s">
        <v>32</v>
      </c>
      <c r="B1398" s="3" t="s">
        <v>33</v>
      </c>
      <c r="C1398" t="s">
        <v>34</v>
      </c>
      <c r="D1398" t="s">
        <v>35</v>
      </c>
      <c r="E1398" t="s">
        <v>814</v>
      </c>
      <c r="F1398" t="s">
        <v>816</v>
      </c>
      <c r="G1398" t="s">
        <v>815</v>
      </c>
      <c r="H1398" t="s">
        <v>36</v>
      </c>
      <c r="I1398" t="s">
        <v>66</v>
      </c>
      <c r="J1398" t="s">
        <v>56</v>
      </c>
      <c r="K1398" t="s">
        <v>57</v>
      </c>
      <c r="L1398" t="s">
        <v>58</v>
      </c>
      <c r="M1398" t="s">
        <v>59</v>
      </c>
      <c r="N1398" t="s">
        <v>60</v>
      </c>
    </row>
    <row r="1399" spans="1:16" x14ac:dyDescent="0.25">
      <c r="A1399">
        <v>1</v>
      </c>
      <c r="B1399" s="3" t="e">
        <v>#N/A</v>
      </c>
      <c r="C1399" t="e">
        <v>#N/A</v>
      </c>
      <c r="D1399" t="e">
        <v>#N/A</v>
      </c>
      <c r="E1399" t="e">
        <v>#N/A</v>
      </c>
      <c r="F1399" t="e">
        <v>#N/A</v>
      </c>
      <c r="G1399" t="e">
        <v>#N/A</v>
      </c>
      <c r="H1399" t="e">
        <v>#N/A</v>
      </c>
      <c r="I1399" t="e">
        <v>#N/A</v>
      </c>
      <c r="J1399" t="e">
        <v>#N/A</v>
      </c>
      <c r="K1399" t="e">
        <v>#N/A</v>
      </c>
      <c r="L1399" t="e">
        <v>#N/A</v>
      </c>
      <c r="M1399" t="e">
        <v>#N/A</v>
      </c>
      <c r="N1399" t="e">
        <v>#N/A</v>
      </c>
    </row>
    <row r="1400" spans="1:16" x14ac:dyDescent="0.25">
      <c r="A1400">
        <v>2</v>
      </c>
      <c r="B1400" s="3" t="e">
        <v>#N/A</v>
      </c>
      <c r="C1400" t="e">
        <v>#N/A</v>
      </c>
      <c r="D1400" t="e">
        <v>#N/A</v>
      </c>
      <c r="E1400" t="e">
        <v>#N/A</v>
      </c>
      <c r="F1400" t="e">
        <v>#N/A</v>
      </c>
      <c r="G1400" t="e">
        <v>#N/A</v>
      </c>
      <c r="H1400" t="e">
        <v>#N/A</v>
      </c>
      <c r="I1400" t="e">
        <v>#N/A</v>
      </c>
      <c r="J1400" t="e">
        <v>#N/A</v>
      </c>
      <c r="K1400" t="e">
        <v>#N/A</v>
      </c>
      <c r="L1400" t="e">
        <v>#N/A</v>
      </c>
      <c r="M1400" t="e">
        <v>#N/A</v>
      </c>
      <c r="N1400" t="e">
        <v>#N/A</v>
      </c>
      <c r="P1400" t="s">
        <v>966</v>
      </c>
    </row>
    <row r="1401" spans="1:16" x14ac:dyDescent="0.25">
      <c r="A1401">
        <v>3</v>
      </c>
    </row>
    <row r="1402" spans="1:16" x14ac:dyDescent="0.25">
      <c r="A1402">
        <v>4</v>
      </c>
    </row>
    <row r="1403" spans="1:16" x14ac:dyDescent="0.25">
      <c r="A1403">
        <v>5</v>
      </c>
    </row>
    <row r="1404" spans="1:16" x14ac:dyDescent="0.25">
      <c r="A1404">
        <v>6</v>
      </c>
    </row>
    <row r="1405" spans="1:16" x14ac:dyDescent="0.25">
      <c r="A1405">
        <v>7</v>
      </c>
    </row>
    <row r="1406" spans="1:16" x14ac:dyDescent="0.25">
      <c r="A1406">
        <v>8</v>
      </c>
    </row>
    <row r="1407" spans="1:16" x14ac:dyDescent="0.25">
      <c r="A1407">
        <v>9</v>
      </c>
    </row>
    <row r="1408" spans="1:16" x14ac:dyDescent="0.25">
      <c r="A1408">
        <v>10</v>
      </c>
    </row>
    <row r="1411" spans="1:16" x14ac:dyDescent="0.25">
      <c r="A1411" t="s">
        <v>677</v>
      </c>
      <c r="N1411">
        <v>76</v>
      </c>
    </row>
    <row r="1412" spans="1:16" x14ac:dyDescent="0.25">
      <c r="A1412" t="s">
        <v>672</v>
      </c>
      <c r="C1412" t="s">
        <v>673</v>
      </c>
    </row>
    <row r="1413" spans="1:16" x14ac:dyDescent="0.25">
      <c r="A1413" t="s">
        <v>971</v>
      </c>
      <c r="C1413" t="e">
        <v>#N/A</v>
      </c>
      <c r="P1413">
        <v>1411</v>
      </c>
    </row>
    <row r="1414" spans="1:16" x14ac:dyDescent="0.25">
      <c r="A1414" t="s">
        <v>681</v>
      </c>
      <c r="B1414" s="3" t="s">
        <v>680</v>
      </c>
      <c r="C1414" t="s">
        <v>678</v>
      </c>
      <c r="D1414" t="s">
        <v>695</v>
      </c>
      <c r="E1414" t="s">
        <v>679</v>
      </c>
      <c r="F1414" s="245" t="s">
        <v>1187</v>
      </c>
    </row>
    <row r="1415" spans="1:16" x14ac:dyDescent="0.25">
      <c r="A1415" t="e">
        <v>#N/A</v>
      </c>
      <c r="B1415" s="3" t="e">
        <v>#N/A</v>
      </c>
      <c r="C1415" t="e">
        <v>#N/A</v>
      </c>
      <c r="D1415" t="e">
        <v>#N/A</v>
      </c>
      <c r="E1415" t="e">
        <v>#N/A</v>
      </c>
      <c r="F1415" s="232">
        <v>1</v>
      </c>
      <c r="M1415" t="s">
        <v>65</v>
      </c>
      <c r="N1415" t="s">
        <v>65</v>
      </c>
    </row>
    <row r="1416" spans="1:16" x14ac:dyDescent="0.25">
      <c r="C1416" t="s">
        <v>20</v>
      </c>
      <c r="D1416" t="s">
        <v>20</v>
      </c>
      <c r="E1416" t="s">
        <v>20</v>
      </c>
      <c r="G1416" t="s">
        <v>39</v>
      </c>
      <c r="H1416" t="s">
        <v>39</v>
      </c>
      <c r="I1416" t="s">
        <v>39</v>
      </c>
      <c r="J1416" t="s">
        <v>63</v>
      </c>
      <c r="K1416" t="s">
        <v>62</v>
      </c>
      <c r="L1416" t="s">
        <v>39</v>
      </c>
      <c r="M1416" t="s">
        <v>64</v>
      </c>
      <c r="N1416" t="s">
        <v>64</v>
      </c>
    </row>
    <row r="1417" spans="1:16" x14ac:dyDescent="0.25">
      <c r="A1417" t="s">
        <v>32</v>
      </c>
      <c r="B1417" s="3" t="s">
        <v>33</v>
      </c>
      <c r="C1417" t="s">
        <v>34</v>
      </c>
      <c r="D1417" t="s">
        <v>35</v>
      </c>
      <c r="E1417" t="s">
        <v>814</v>
      </c>
      <c r="F1417" t="s">
        <v>816</v>
      </c>
      <c r="G1417" t="s">
        <v>815</v>
      </c>
      <c r="H1417" t="s">
        <v>36</v>
      </c>
      <c r="I1417" t="s">
        <v>66</v>
      </c>
      <c r="J1417" t="s">
        <v>56</v>
      </c>
      <c r="K1417" t="s">
        <v>57</v>
      </c>
      <c r="L1417" t="s">
        <v>58</v>
      </c>
      <c r="M1417" t="s">
        <v>59</v>
      </c>
      <c r="N1417" t="s">
        <v>60</v>
      </c>
    </row>
    <row r="1418" spans="1:16" x14ac:dyDescent="0.25">
      <c r="A1418">
        <v>1</v>
      </c>
      <c r="B1418" s="3" t="e">
        <v>#N/A</v>
      </c>
      <c r="C1418" t="e">
        <v>#N/A</v>
      </c>
      <c r="D1418" t="e">
        <v>#N/A</v>
      </c>
      <c r="E1418" t="e">
        <v>#N/A</v>
      </c>
      <c r="F1418" t="e">
        <v>#N/A</v>
      </c>
      <c r="G1418" t="e">
        <v>#N/A</v>
      </c>
      <c r="H1418" t="e">
        <v>#N/A</v>
      </c>
      <c r="I1418" t="e">
        <v>#N/A</v>
      </c>
      <c r="J1418" t="e">
        <v>#N/A</v>
      </c>
      <c r="K1418" t="e">
        <v>#N/A</v>
      </c>
      <c r="L1418" t="e">
        <v>#N/A</v>
      </c>
      <c r="M1418" t="e">
        <v>#N/A</v>
      </c>
      <c r="N1418" t="e">
        <v>#N/A</v>
      </c>
    </row>
    <row r="1419" spans="1:16" x14ac:dyDescent="0.25">
      <c r="A1419">
        <v>2</v>
      </c>
      <c r="B1419" s="3" t="e">
        <v>#N/A</v>
      </c>
      <c r="C1419" t="e">
        <v>#N/A</v>
      </c>
      <c r="D1419" t="e">
        <v>#N/A</v>
      </c>
      <c r="E1419" t="e">
        <v>#N/A</v>
      </c>
      <c r="F1419" t="e">
        <v>#N/A</v>
      </c>
      <c r="G1419" t="e">
        <v>#N/A</v>
      </c>
      <c r="H1419" t="e">
        <v>#N/A</v>
      </c>
      <c r="I1419" t="e">
        <v>#N/A</v>
      </c>
      <c r="J1419" t="e">
        <v>#N/A</v>
      </c>
      <c r="K1419" t="e">
        <v>#N/A</v>
      </c>
      <c r="L1419" t="e">
        <v>#N/A</v>
      </c>
      <c r="M1419" t="e">
        <v>#N/A</v>
      </c>
      <c r="N1419" t="e">
        <v>#N/A</v>
      </c>
      <c r="P1419" t="s">
        <v>966</v>
      </c>
    </row>
    <row r="1420" spans="1:16" x14ac:dyDescent="0.25">
      <c r="A1420">
        <v>3</v>
      </c>
    </row>
    <row r="1421" spans="1:16" x14ac:dyDescent="0.25">
      <c r="A1421">
        <v>4</v>
      </c>
    </row>
    <row r="1422" spans="1:16" x14ac:dyDescent="0.25">
      <c r="A1422">
        <v>5</v>
      </c>
    </row>
    <row r="1423" spans="1:16" x14ac:dyDescent="0.25">
      <c r="A1423">
        <v>6</v>
      </c>
    </row>
    <row r="1424" spans="1:16" x14ac:dyDescent="0.25">
      <c r="A1424">
        <v>7</v>
      </c>
    </row>
    <row r="1425" spans="1:16" x14ac:dyDescent="0.25">
      <c r="A1425">
        <v>8</v>
      </c>
    </row>
    <row r="1426" spans="1:16" x14ac:dyDescent="0.25">
      <c r="A1426">
        <v>9</v>
      </c>
    </row>
    <row r="1427" spans="1:16" x14ac:dyDescent="0.25">
      <c r="A1427">
        <v>10</v>
      </c>
    </row>
    <row r="1430" spans="1:16" x14ac:dyDescent="0.25">
      <c r="A1430" t="s">
        <v>677</v>
      </c>
      <c r="N1430">
        <v>77</v>
      </c>
    </row>
    <row r="1431" spans="1:16" x14ac:dyDescent="0.25">
      <c r="A1431" t="s">
        <v>672</v>
      </c>
      <c r="C1431" t="s">
        <v>673</v>
      </c>
    </row>
    <row r="1432" spans="1:16" x14ac:dyDescent="0.25">
      <c r="A1432" t="s">
        <v>972</v>
      </c>
      <c r="C1432" t="e">
        <v>#N/A</v>
      </c>
      <c r="P1432">
        <v>1430</v>
      </c>
    </row>
    <row r="1433" spans="1:16" x14ac:dyDescent="0.25">
      <c r="A1433" t="s">
        <v>681</v>
      </c>
      <c r="B1433" s="3" t="s">
        <v>680</v>
      </c>
      <c r="C1433" t="s">
        <v>678</v>
      </c>
      <c r="D1433" t="s">
        <v>695</v>
      </c>
      <c r="E1433" t="s">
        <v>679</v>
      </c>
      <c r="F1433" s="245" t="s">
        <v>1187</v>
      </c>
    </row>
    <row r="1434" spans="1:16" x14ac:dyDescent="0.25">
      <c r="A1434" t="e">
        <v>#N/A</v>
      </c>
      <c r="B1434" s="3" t="e">
        <v>#N/A</v>
      </c>
      <c r="C1434" t="e">
        <v>#N/A</v>
      </c>
      <c r="D1434" t="e">
        <v>#N/A</v>
      </c>
      <c r="E1434" t="e">
        <v>#N/A</v>
      </c>
      <c r="F1434" s="232">
        <v>1</v>
      </c>
      <c r="M1434" t="s">
        <v>65</v>
      </c>
      <c r="N1434" t="s">
        <v>65</v>
      </c>
    </row>
    <row r="1435" spans="1:16" x14ac:dyDescent="0.25">
      <c r="C1435" t="s">
        <v>20</v>
      </c>
      <c r="D1435" t="s">
        <v>20</v>
      </c>
      <c r="E1435" t="s">
        <v>20</v>
      </c>
      <c r="G1435" t="s">
        <v>39</v>
      </c>
      <c r="H1435" t="s">
        <v>39</v>
      </c>
      <c r="I1435" t="s">
        <v>39</v>
      </c>
      <c r="J1435" t="s">
        <v>63</v>
      </c>
      <c r="K1435" t="s">
        <v>62</v>
      </c>
      <c r="L1435" t="s">
        <v>39</v>
      </c>
      <c r="M1435" t="s">
        <v>64</v>
      </c>
      <c r="N1435" t="s">
        <v>64</v>
      </c>
    </row>
    <row r="1436" spans="1:16" x14ac:dyDescent="0.25">
      <c r="A1436" t="s">
        <v>32</v>
      </c>
      <c r="B1436" s="3" t="s">
        <v>33</v>
      </c>
      <c r="C1436" t="s">
        <v>34</v>
      </c>
      <c r="D1436" t="s">
        <v>35</v>
      </c>
      <c r="E1436" t="s">
        <v>814</v>
      </c>
      <c r="F1436" t="s">
        <v>816</v>
      </c>
      <c r="G1436" t="s">
        <v>815</v>
      </c>
      <c r="H1436" t="s">
        <v>36</v>
      </c>
      <c r="I1436" t="s">
        <v>66</v>
      </c>
      <c r="J1436" t="s">
        <v>56</v>
      </c>
      <c r="K1436" t="s">
        <v>57</v>
      </c>
      <c r="L1436" t="s">
        <v>58</v>
      </c>
      <c r="M1436" t="s">
        <v>59</v>
      </c>
      <c r="N1436" t="s">
        <v>60</v>
      </c>
    </row>
    <row r="1437" spans="1:16" x14ac:dyDescent="0.25">
      <c r="A1437">
        <v>1</v>
      </c>
      <c r="B1437" s="3" t="e">
        <v>#N/A</v>
      </c>
      <c r="C1437" t="e">
        <v>#N/A</v>
      </c>
      <c r="D1437" t="e">
        <v>#N/A</v>
      </c>
      <c r="E1437" t="e">
        <v>#N/A</v>
      </c>
      <c r="F1437" t="e">
        <v>#N/A</v>
      </c>
      <c r="G1437" t="e">
        <v>#N/A</v>
      </c>
      <c r="H1437" t="e">
        <v>#N/A</v>
      </c>
      <c r="I1437" t="e">
        <v>#N/A</v>
      </c>
      <c r="J1437" t="e">
        <v>#N/A</v>
      </c>
      <c r="K1437" t="e">
        <v>#N/A</v>
      </c>
      <c r="L1437" t="e">
        <v>#N/A</v>
      </c>
      <c r="M1437" t="e">
        <v>#N/A</v>
      </c>
      <c r="N1437" t="e">
        <v>#N/A</v>
      </c>
    </row>
    <row r="1438" spans="1:16" x14ac:dyDescent="0.25">
      <c r="A1438">
        <v>2</v>
      </c>
      <c r="B1438" s="3" t="e">
        <v>#N/A</v>
      </c>
      <c r="C1438" t="e">
        <v>#N/A</v>
      </c>
      <c r="D1438" t="e">
        <v>#N/A</v>
      </c>
      <c r="E1438" t="e">
        <v>#N/A</v>
      </c>
      <c r="F1438" t="e">
        <v>#N/A</v>
      </c>
      <c r="G1438" t="e">
        <v>#N/A</v>
      </c>
      <c r="H1438" t="e">
        <v>#N/A</v>
      </c>
      <c r="I1438" t="e">
        <v>#N/A</v>
      </c>
      <c r="J1438" t="e">
        <v>#N/A</v>
      </c>
      <c r="K1438" t="e">
        <v>#N/A</v>
      </c>
      <c r="L1438" t="e">
        <v>#N/A</v>
      </c>
      <c r="M1438" t="e">
        <v>#N/A</v>
      </c>
      <c r="N1438" t="e">
        <v>#N/A</v>
      </c>
      <c r="P1438" t="s">
        <v>966</v>
      </c>
    </row>
    <row r="1439" spans="1:16" x14ac:dyDescent="0.25">
      <c r="A1439">
        <v>3</v>
      </c>
    </row>
    <row r="1440" spans="1:16" x14ac:dyDescent="0.25">
      <c r="A1440">
        <v>4</v>
      </c>
    </row>
    <row r="1441" spans="1:16" x14ac:dyDescent="0.25">
      <c r="A1441">
        <v>5</v>
      </c>
    </row>
    <row r="1442" spans="1:16" x14ac:dyDescent="0.25">
      <c r="A1442">
        <v>6</v>
      </c>
    </row>
    <row r="1443" spans="1:16" x14ac:dyDescent="0.25">
      <c r="A1443">
        <v>7</v>
      </c>
    </row>
    <row r="1444" spans="1:16" x14ac:dyDescent="0.25">
      <c r="A1444">
        <v>8</v>
      </c>
    </row>
    <row r="1445" spans="1:16" x14ac:dyDescent="0.25">
      <c r="A1445">
        <v>9</v>
      </c>
    </row>
    <row r="1446" spans="1:16" x14ac:dyDescent="0.25">
      <c r="A1446">
        <v>10</v>
      </c>
    </row>
    <row r="1449" spans="1:16" x14ac:dyDescent="0.25">
      <c r="A1449" t="s">
        <v>677</v>
      </c>
      <c r="N1449">
        <v>78</v>
      </c>
    </row>
    <row r="1450" spans="1:16" x14ac:dyDescent="0.25">
      <c r="A1450" t="s">
        <v>672</v>
      </c>
      <c r="C1450" t="s">
        <v>673</v>
      </c>
    </row>
    <row r="1451" spans="1:16" x14ac:dyDescent="0.25">
      <c r="A1451" t="s">
        <v>973</v>
      </c>
      <c r="C1451" t="e">
        <v>#N/A</v>
      </c>
      <c r="P1451">
        <v>1449</v>
      </c>
    </row>
    <row r="1452" spans="1:16" x14ac:dyDescent="0.25">
      <c r="A1452" t="s">
        <v>681</v>
      </c>
      <c r="B1452" s="3" t="s">
        <v>680</v>
      </c>
      <c r="C1452" t="s">
        <v>678</v>
      </c>
      <c r="D1452" t="s">
        <v>695</v>
      </c>
      <c r="E1452" t="s">
        <v>679</v>
      </c>
      <c r="F1452" s="245" t="s">
        <v>1187</v>
      </c>
    </row>
    <row r="1453" spans="1:16" x14ac:dyDescent="0.25">
      <c r="A1453" t="e">
        <v>#N/A</v>
      </c>
      <c r="B1453" s="3" t="e">
        <v>#N/A</v>
      </c>
      <c r="C1453" t="e">
        <v>#N/A</v>
      </c>
      <c r="D1453" t="e">
        <v>#N/A</v>
      </c>
      <c r="E1453" t="e">
        <v>#N/A</v>
      </c>
      <c r="F1453" s="232">
        <v>1</v>
      </c>
      <c r="M1453" t="s">
        <v>65</v>
      </c>
      <c r="N1453" t="s">
        <v>65</v>
      </c>
    </row>
    <row r="1454" spans="1:16" x14ac:dyDescent="0.25">
      <c r="C1454" t="s">
        <v>20</v>
      </c>
      <c r="D1454" t="s">
        <v>20</v>
      </c>
      <c r="E1454" t="s">
        <v>20</v>
      </c>
      <c r="G1454" t="s">
        <v>39</v>
      </c>
      <c r="H1454" t="s">
        <v>39</v>
      </c>
      <c r="I1454" t="s">
        <v>39</v>
      </c>
      <c r="J1454" t="s">
        <v>63</v>
      </c>
      <c r="K1454" t="s">
        <v>62</v>
      </c>
      <c r="L1454" t="s">
        <v>39</v>
      </c>
      <c r="M1454" t="s">
        <v>64</v>
      </c>
      <c r="N1454" t="s">
        <v>64</v>
      </c>
    </row>
    <row r="1455" spans="1:16" x14ac:dyDescent="0.25">
      <c r="A1455" t="s">
        <v>32</v>
      </c>
      <c r="B1455" s="3" t="s">
        <v>33</v>
      </c>
      <c r="C1455" t="s">
        <v>34</v>
      </c>
      <c r="D1455" t="s">
        <v>35</v>
      </c>
      <c r="E1455" t="s">
        <v>814</v>
      </c>
      <c r="F1455" t="s">
        <v>816</v>
      </c>
      <c r="G1455" t="s">
        <v>815</v>
      </c>
      <c r="H1455" t="s">
        <v>36</v>
      </c>
      <c r="I1455" t="s">
        <v>66</v>
      </c>
      <c r="J1455" t="s">
        <v>56</v>
      </c>
      <c r="K1455" t="s">
        <v>57</v>
      </c>
      <c r="L1455" t="s">
        <v>58</v>
      </c>
      <c r="M1455" t="s">
        <v>59</v>
      </c>
      <c r="N1455" t="s">
        <v>60</v>
      </c>
    </row>
    <row r="1456" spans="1:16" x14ac:dyDescent="0.25">
      <c r="A1456">
        <v>1</v>
      </c>
      <c r="B1456" s="3" t="e">
        <v>#N/A</v>
      </c>
      <c r="C1456" t="e">
        <v>#N/A</v>
      </c>
      <c r="D1456" t="e">
        <v>#N/A</v>
      </c>
      <c r="E1456" t="e">
        <v>#N/A</v>
      </c>
      <c r="F1456" t="e">
        <v>#N/A</v>
      </c>
      <c r="G1456" t="e">
        <v>#N/A</v>
      </c>
      <c r="H1456" t="e">
        <v>#N/A</v>
      </c>
      <c r="I1456" t="e">
        <v>#N/A</v>
      </c>
      <c r="J1456" t="e">
        <v>#N/A</v>
      </c>
      <c r="K1456" t="e">
        <v>#N/A</v>
      </c>
      <c r="L1456" t="e">
        <v>#N/A</v>
      </c>
      <c r="M1456" t="e">
        <v>#N/A</v>
      </c>
      <c r="N1456" t="e">
        <v>#N/A</v>
      </c>
    </row>
    <row r="1457" spans="1:16" x14ac:dyDescent="0.25">
      <c r="A1457">
        <v>2</v>
      </c>
      <c r="B1457" s="3" t="e">
        <v>#N/A</v>
      </c>
      <c r="C1457" t="e">
        <v>#N/A</v>
      </c>
      <c r="D1457" t="e">
        <v>#N/A</v>
      </c>
      <c r="E1457" t="e">
        <v>#N/A</v>
      </c>
      <c r="F1457" t="e">
        <v>#N/A</v>
      </c>
      <c r="G1457" t="e">
        <v>#N/A</v>
      </c>
      <c r="H1457" t="e">
        <v>#N/A</v>
      </c>
      <c r="I1457" t="e">
        <v>#N/A</v>
      </c>
      <c r="J1457" t="e">
        <v>#N/A</v>
      </c>
      <c r="K1457" t="e">
        <v>#N/A</v>
      </c>
      <c r="L1457" t="e">
        <v>#N/A</v>
      </c>
      <c r="M1457" t="e">
        <v>#N/A</v>
      </c>
      <c r="N1457" t="e">
        <v>#N/A</v>
      </c>
      <c r="P1457" t="s">
        <v>966</v>
      </c>
    </row>
    <row r="1458" spans="1:16" x14ac:dyDescent="0.25">
      <c r="A1458">
        <v>3</v>
      </c>
    </row>
    <row r="1459" spans="1:16" x14ac:dyDescent="0.25">
      <c r="A1459">
        <v>4</v>
      </c>
    </row>
    <row r="1460" spans="1:16" x14ac:dyDescent="0.25">
      <c r="A1460">
        <v>5</v>
      </c>
    </row>
    <row r="1461" spans="1:16" x14ac:dyDescent="0.25">
      <c r="A1461">
        <v>6</v>
      </c>
    </row>
    <row r="1462" spans="1:16" x14ac:dyDescent="0.25">
      <c r="A1462">
        <v>7</v>
      </c>
    </row>
    <row r="1463" spans="1:16" x14ac:dyDescent="0.25">
      <c r="A1463">
        <v>8</v>
      </c>
    </row>
    <row r="1464" spans="1:16" x14ac:dyDescent="0.25">
      <c r="A1464">
        <v>9</v>
      </c>
    </row>
    <row r="1465" spans="1:16" x14ac:dyDescent="0.25">
      <c r="A1465">
        <v>10</v>
      </c>
    </row>
    <row r="1468" spans="1:16" x14ac:dyDescent="0.25">
      <c r="A1468" t="s">
        <v>677</v>
      </c>
      <c r="N1468">
        <v>79</v>
      </c>
    </row>
    <row r="1469" spans="1:16" x14ac:dyDescent="0.25">
      <c r="A1469" t="s">
        <v>672</v>
      </c>
      <c r="C1469" t="s">
        <v>673</v>
      </c>
    </row>
    <row r="1470" spans="1:16" x14ac:dyDescent="0.25">
      <c r="A1470" t="s">
        <v>974</v>
      </c>
      <c r="C1470" t="e">
        <v>#N/A</v>
      </c>
      <c r="P1470">
        <v>1468</v>
      </c>
    </row>
    <row r="1471" spans="1:16" x14ac:dyDescent="0.25">
      <c r="A1471" t="s">
        <v>681</v>
      </c>
      <c r="B1471" s="3" t="s">
        <v>680</v>
      </c>
      <c r="C1471" t="s">
        <v>678</v>
      </c>
      <c r="D1471" t="s">
        <v>695</v>
      </c>
      <c r="E1471" t="s">
        <v>679</v>
      </c>
      <c r="F1471" s="245" t="s">
        <v>1187</v>
      </c>
    </row>
    <row r="1472" spans="1:16" x14ac:dyDescent="0.25">
      <c r="A1472" t="e">
        <v>#N/A</v>
      </c>
      <c r="B1472" s="3" t="e">
        <v>#N/A</v>
      </c>
      <c r="C1472" t="e">
        <v>#N/A</v>
      </c>
      <c r="D1472" t="e">
        <v>#N/A</v>
      </c>
      <c r="E1472" t="e">
        <v>#N/A</v>
      </c>
      <c r="F1472" s="232">
        <v>1</v>
      </c>
      <c r="M1472" t="s">
        <v>65</v>
      </c>
      <c r="N1472" t="s">
        <v>65</v>
      </c>
    </row>
    <row r="1473" spans="1:16" x14ac:dyDescent="0.25">
      <c r="C1473" t="s">
        <v>20</v>
      </c>
      <c r="D1473" t="s">
        <v>20</v>
      </c>
      <c r="E1473" t="s">
        <v>20</v>
      </c>
      <c r="G1473" t="s">
        <v>39</v>
      </c>
      <c r="H1473" t="s">
        <v>39</v>
      </c>
      <c r="I1473" t="s">
        <v>39</v>
      </c>
      <c r="J1473" t="s">
        <v>63</v>
      </c>
      <c r="K1473" t="s">
        <v>62</v>
      </c>
      <c r="L1473" t="s">
        <v>39</v>
      </c>
      <c r="M1473" t="s">
        <v>64</v>
      </c>
      <c r="N1473" t="s">
        <v>64</v>
      </c>
    </row>
    <row r="1474" spans="1:16" x14ac:dyDescent="0.25">
      <c r="A1474" t="s">
        <v>32</v>
      </c>
      <c r="B1474" s="3" t="s">
        <v>33</v>
      </c>
      <c r="C1474" t="s">
        <v>34</v>
      </c>
      <c r="D1474" t="s">
        <v>35</v>
      </c>
      <c r="E1474" t="s">
        <v>814</v>
      </c>
      <c r="F1474" t="s">
        <v>816</v>
      </c>
      <c r="G1474" t="s">
        <v>815</v>
      </c>
      <c r="H1474" t="s">
        <v>36</v>
      </c>
      <c r="I1474" t="s">
        <v>66</v>
      </c>
      <c r="J1474" t="s">
        <v>56</v>
      </c>
      <c r="K1474" t="s">
        <v>57</v>
      </c>
      <c r="L1474" t="s">
        <v>58</v>
      </c>
      <c r="M1474" t="s">
        <v>59</v>
      </c>
      <c r="N1474" t="s">
        <v>60</v>
      </c>
    </row>
    <row r="1475" spans="1:16" x14ac:dyDescent="0.25">
      <c r="A1475">
        <v>1</v>
      </c>
      <c r="B1475" s="3" t="e">
        <v>#N/A</v>
      </c>
      <c r="C1475" t="e">
        <v>#N/A</v>
      </c>
      <c r="D1475" t="e">
        <v>#N/A</v>
      </c>
      <c r="E1475" t="e">
        <v>#N/A</v>
      </c>
      <c r="F1475" t="e">
        <v>#N/A</v>
      </c>
      <c r="G1475" t="e">
        <v>#N/A</v>
      </c>
      <c r="H1475" t="e">
        <v>#N/A</v>
      </c>
      <c r="I1475" t="e">
        <v>#N/A</v>
      </c>
      <c r="J1475" t="e">
        <v>#N/A</v>
      </c>
      <c r="K1475" t="e">
        <v>#N/A</v>
      </c>
      <c r="L1475" t="e">
        <v>#N/A</v>
      </c>
      <c r="M1475" t="e">
        <v>#N/A</v>
      </c>
      <c r="N1475" t="e">
        <v>#N/A</v>
      </c>
    </row>
    <row r="1476" spans="1:16" x14ac:dyDescent="0.25">
      <c r="A1476">
        <v>2</v>
      </c>
      <c r="B1476" s="3" t="e">
        <v>#N/A</v>
      </c>
      <c r="C1476" t="e">
        <v>#N/A</v>
      </c>
      <c r="D1476" t="e">
        <v>#N/A</v>
      </c>
      <c r="E1476" t="e">
        <v>#N/A</v>
      </c>
      <c r="F1476" t="e">
        <v>#N/A</v>
      </c>
      <c r="G1476" t="e">
        <v>#N/A</v>
      </c>
      <c r="H1476" t="e">
        <v>#N/A</v>
      </c>
      <c r="I1476" t="e">
        <v>#N/A</v>
      </c>
      <c r="J1476" t="e">
        <v>#N/A</v>
      </c>
      <c r="K1476" t="e">
        <v>#N/A</v>
      </c>
      <c r="L1476" t="e">
        <v>#N/A</v>
      </c>
      <c r="M1476" t="e">
        <v>#N/A</v>
      </c>
      <c r="N1476" t="e">
        <v>#N/A</v>
      </c>
      <c r="P1476" t="s">
        <v>966</v>
      </c>
    </row>
    <row r="1477" spans="1:16" x14ac:dyDescent="0.25">
      <c r="A1477">
        <v>3</v>
      </c>
    </row>
    <row r="1478" spans="1:16" x14ac:dyDescent="0.25">
      <c r="A1478">
        <v>4</v>
      </c>
    </row>
    <row r="1479" spans="1:16" x14ac:dyDescent="0.25">
      <c r="A1479">
        <v>5</v>
      </c>
    </row>
    <row r="1480" spans="1:16" x14ac:dyDescent="0.25">
      <c r="A1480">
        <v>6</v>
      </c>
    </row>
    <row r="1481" spans="1:16" x14ac:dyDescent="0.25">
      <c r="A1481">
        <v>7</v>
      </c>
    </row>
    <row r="1482" spans="1:16" x14ac:dyDescent="0.25">
      <c r="A1482">
        <v>8</v>
      </c>
    </row>
    <row r="1483" spans="1:16" x14ac:dyDescent="0.25">
      <c r="A1483">
        <v>9</v>
      </c>
    </row>
    <row r="1484" spans="1:16" x14ac:dyDescent="0.25">
      <c r="A1484">
        <v>10</v>
      </c>
    </row>
    <row r="1487" spans="1:16" x14ac:dyDescent="0.25">
      <c r="A1487" t="s">
        <v>677</v>
      </c>
      <c r="N1487">
        <v>80</v>
      </c>
    </row>
    <row r="1488" spans="1:16" x14ac:dyDescent="0.25">
      <c r="A1488" t="s">
        <v>672</v>
      </c>
      <c r="C1488" t="s">
        <v>673</v>
      </c>
    </row>
    <row r="1489" spans="1:16" x14ac:dyDescent="0.25">
      <c r="A1489" t="s">
        <v>975</v>
      </c>
      <c r="C1489" t="e">
        <v>#N/A</v>
      </c>
      <c r="P1489">
        <v>1487</v>
      </c>
    </row>
    <row r="1490" spans="1:16" x14ac:dyDescent="0.25">
      <c r="A1490" t="s">
        <v>681</v>
      </c>
      <c r="B1490" s="3" t="s">
        <v>680</v>
      </c>
      <c r="C1490" t="s">
        <v>678</v>
      </c>
      <c r="D1490" t="s">
        <v>695</v>
      </c>
      <c r="E1490" t="s">
        <v>679</v>
      </c>
      <c r="F1490" s="245" t="s">
        <v>1187</v>
      </c>
    </row>
    <row r="1491" spans="1:16" x14ac:dyDescent="0.25">
      <c r="A1491" t="e">
        <v>#N/A</v>
      </c>
      <c r="B1491" s="3" t="e">
        <v>#N/A</v>
      </c>
      <c r="C1491" t="e">
        <v>#N/A</v>
      </c>
      <c r="D1491" t="e">
        <v>#N/A</v>
      </c>
      <c r="E1491" t="e">
        <v>#N/A</v>
      </c>
      <c r="F1491" s="232">
        <v>1</v>
      </c>
      <c r="M1491" t="s">
        <v>65</v>
      </c>
      <c r="N1491" t="s">
        <v>65</v>
      </c>
    </row>
    <row r="1492" spans="1:16" x14ac:dyDescent="0.25">
      <c r="C1492" t="s">
        <v>20</v>
      </c>
      <c r="D1492" t="s">
        <v>20</v>
      </c>
      <c r="E1492" t="s">
        <v>20</v>
      </c>
      <c r="G1492" t="s">
        <v>39</v>
      </c>
      <c r="H1492" t="s">
        <v>39</v>
      </c>
      <c r="I1492" t="s">
        <v>39</v>
      </c>
      <c r="J1492" t="s">
        <v>63</v>
      </c>
      <c r="K1492" t="s">
        <v>62</v>
      </c>
      <c r="L1492" t="s">
        <v>39</v>
      </c>
      <c r="M1492" t="s">
        <v>64</v>
      </c>
      <c r="N1492" t="s">
        <v>64</v>
      </c>
    </row>
    <row r="1493" spans="1:16" x14ac:dyDescent="0.25">
      <c r="A1493" t="s">
        <v>32</v>
      </c>
      <c r="B1493" s="3" t="s">
        <v>33</v>
      </c>
      <c r="C1493" t="s">
        <v>34</v>
      </c>
      <c r="D1493" t="s">
        <v>35</v>
      </c>
      <c r="E1493" t="s">
        <v>814</v>
      </c>
      <c r="F1493" t="s">
        <v>816</v>
      </c>
      <c r="G1493" t="s">
        <v>815</v>
      </c>
      <c r="H1493" t="s">
        <v>36</v>
      </c>
      <c r="I1493" t="s">
        <v>66</v>
      </c>
      <c r="J1493" t="s">
        <v>56</v>
      </c>
      <c r="K1493" t="s">
        <v>57</v>
      </c>
      <c r="L1493" t="s">
        <v>58</v>
      </c>
      <c r="M1493" t="s">
        <v>59</v>
      </c>
      <c r="N1493" t="s">
        <v>60</v>
      </c>
    </row>
    <row r="1494" spans="1:16" x14ac:dyDescent="0.25">
      <c r="A1494">
        <v>1</v>
      </c>
      <c r="B1494" s="3" t="e">
        <v>#N/A</v>
      </c>
      <c r="C1494" t="e">
        <v>#N/A</v>
      </c>
      <c r="D1494" t="e">
        <v>#N/A</v>
      </c>
      <c r="E1494" t="e">
        <v>#N/A</v>
      </c>
      <c r="F1494" t="e">
        <v>#N/A</v>
      </c>
      <c r="G1494" t="e">
        <v>#N/A</v>
      </c>
      <c r="H1494" t="e">
        <v>#N/A</v>
      </c>
      <c r="I1494" t="e">
        <v>#N/A</v>
      </c>
      <c r="J1494" t="e">
        <v>#N/A</v>
      </c>
      <c r="K1494" t="e">
        <v>#N/A</v>
      </c>
      <c r="L1494" t="e">
        <v>#N/A</v>
      </c>
      <c r="M1494" t="e">
        <v>#N/A</v>
      </c>
      <c r="N1494" t="e">
        <v>#N/A</v>
      </c>
    </row>
    <row r="1495" spans="1:16" x14ac:dyDescent="0.25">
      <c r="A1495">
        <v>2</v>
      </c>
      <c r="B1495" s="3" t="e">
        <v>#N/A</v>
      </c>
      <c r="C1495" t="e">
        <v>#N/A</v>
      </c>
      <c r="D1495" t="e">
        <v>#N/A</v>
      </c>
      <c r="E1495" t="e">
        <v>#N/A</v>
      </c>
      <c r="F1495" t="e">
        <v>#N/A</v>
      </c>
      <c r="G1495" t="e">
        <v>#N/A</v>
      </c>
      <c r="H1495" t="e">
        <v>#N/A</v>
      </c>
      <c r="I1495" t="e">
        <v>#N/A</v>
      </c>
      <c r="J1495" t="e">
        <v>#N/A</v>
      </c>
      <c r="K1495" t="e">
        <v>#N/A</v>
      </c>
      <c r="L1495" t="e">
        <v>#N/A</v>
      </c>
      <c r="M1495" t="e">
        <v>#N/A</v>
      </c>
      <c r="N1495" t="e">
        <v>#N/A</v>
      </c>
      <c r="P1495" t="s">
        <v>966</v>
      </c>
    </row>
    <row r="1496" spans="1:16" x14ac:dyDescent="0.25">
      <c r="A1496">
        <v>3</v>
      </c>
    </row>
    <row r="1497" spans="1:16" x14ac:dyDescent="0.25">
      <c r="A1497">
        <v>4</v>
      </c>
    </row>
    <row r="1498" spans="1:16" x14ac:dyDescent="0.25">
      <c r="A1498">
        <v>5</v>
      </c>
    </row>
    <row r="1499" spans="1:16" x14ac:dyDescent="0.25">
      <c r="A1499">
        <v>6</v>
      </c>
    </row>
    <row r="1500" spans="1:16" x14ac:dyDescent="0.25">
      <c r="A1500">
        <v>7</v>
      </c>
    </row>
    <row r="1501" spans="1:16" x14ac:dyDescent="0.25">
      <c r="A1501">
        <v>8</v>
      </c>
    </row>
    <row r="1502" spans="1:16" x14ac:dyDescent="0.25">
      <c r="A1502">
        <v>9</v>
      </c>
    </row>
    <row r="1503" spans="1:16" x14ac:dyDescent="0.25">
      <c r="A1503">
        <v>10</v>
      </c>
    </row>
    <row r="1506" spans="1:16" x14ac:dyDescent="0.25">
      <c r="A1506" t="s">
        <v>677</v>
      </c>
      <c r="N1506">
        <v>81</v>
      </c>
    </row>
    <row r="1507" spans="1:16" x14ac:dyDescent="0.25">
      <c r="A1507" t="s">
        <v>672</v>
      </c>
      <c r="C1507" t="s">
        <v>673</v>
      </c>
    </row>
    <row r="1508" spans="1:16" x14ac:dyDescent="0.25">
      <c r="A1508" t="s">
        <v>976</v>
      </c>
      <c r="C1508" t="e">
        <v>#N/A</v>
      </c>
      <c r="P1508">
        <v>1506</v>
      </c>
    </row>
    <row r="1509" spans="1:16" x14ac:dyDescent="0.25">
      <c r="A1509" t="s">
        <v>681</v>
      </c>
      <c r="B1509" s="3" t="s">
        <v>680</v>
      </c>
      <c r="C1509" t="s">
        <v>678</v>
      </c>
      <c r="D1509" t="s">
        <v>695</v>
      </c>
      <c r="E1509" t="s">
        <v>679</v>
      </c>
      <c r="F1509" s="245" t="s">
        <v>1187</v>
      </c>
    </row>
    <row r="1510" spans="1:16" x14ac:dyDescent="0.25">
      <c r="A1510" t="e">
        <v>#N/A</v>
      </c>
      <c r="B1510" s="3" t="e">
        <v>#N/A</v>
      </c>
      <c r="C1510" t="e">
        <v>#N/A</v>
      </c>
      <c r="D1510" t="e">
        <v>#N/A</v>
      </c>
      <c r="E1510" t="e">
        <v>#N/A</v>
      </c>
      <c r="F1510" s="232">
        <v>1</v>
      </c>
      <c r="M1510" t="s">
        <v>65</v>
      </c>
      <c r="N1510" t="s">
        <v>65</v>
      </c>
    </row>
    <row r="1511" spans="1:16" x14ac:dyDescent="0.25">
      <c r="C1511" t="s">
        <v>20</v>
      </c>
      <c r="D1511" t="s">
        <v>20</v>
      </c>
      <c r="E1511" t="s">
        <v>20</v>
      </c>
      <c r="G1511" t="s">
        <v>39</v>
      </c>
      <c r="H1511" t="s">
        <v>39</v>
      </c>
      <c r="I1511" t="s">
        <v>39</v>
      </c>
      <c r="J1511" t="s">
        <v>63</v>
      </c>
      <c r="K1511" t="s">
        <v>62</v>
      </c>
      <c r="L1511" t="s">
        <v>39</v>
      </c>
      <c r="M1511" t="s">
        <v>64</v>
      </c>
      <c r="N1511" t="s">
        <v>64</v>
      </c>
    </row>
    <row r="1512" spans="1:16" x14ac:dyDescent="0.25">
      <c r="A1512" t="s">
        <v>32</v>
      </c>
      <c r="B1512" s="3" t="s">
        <v>33</v>
      </c>
      <c r="C1512" t="s">
        <v>34</v>
      </c>
      <c r="D1512" t="s">
        <v>35</v>
      </c>
      <c r="E1512" t="s">
        <v>814</v>
      </c>
      <c r="F1512" t="s">
        <v>816</v>
      </c>
      <c r="G1512" t="s">
        <v>815</v>
      </c>
      <c r="H1512" t="s">
        <v>36</v>
      </c>
      <c r="I1512" t="s">
        <v>66</v>
      </c>
      <c r="J1512" t="s">
        <v>56</v>
      </c>
      <c r="K1512" t="s">
        <v>57</v>
      </c>
      <c r="L1512" t="s">
        <v>58</v>
      </c>
      <c r="M1512" t="s">
        <v>59</v>
      </c>
      <c r="N1512" t="s">
        <v>60</v>
      </c>
    </row>
    <row r="1513" spans="1:16" x14ac:dyDescent="0.25">
      <c r="A1513">
        <v>1</v>
      </c>
      <c r="B1513" s="3" t="e">
        <v>#N/A</v>
      </c>
      <c r="C1513" t="e">
        <v>#N/A</v>
      </c>
      <c r="D1513" t="e">
        <v>#N/A</v>
      </c>
      <c r="E1513" t="e">
        <v>#N/A</v>
      </c>
      <c r="F1513" t="e">
        <v>#N/A</v>
      </c>
      <c r="G1513" t="e">
        <v>#N/A</v>
      </c>
      <c r="H1513" t="e">
        <v>#N/A</v>
      </c>
      <c r="I1513" t="e">
        <v>#N/A</v>
      </c>
      <c r="J1513" t="e">
        <v>#N/A</v>
      </c>
      <c r="K1513" t="e">
        <v>#N/A</v>
      </c>
      <c r="L1513" t="e">
        <v>#N/A</v>
      </c>
      <c r="M1513" t="e">
        <v>#N/A</v>
      </c>
      <c r="N1513" t="e">
        <v>#N/A</v>
      </c>
    </row>
    <row r="1514" spans="1:16" x14ac:dyDescent="0.25">
      <c r="A1514">
        <v>2</v>
      </c>
      <c r="B1514" s="3" t="e">
        <v>#N/A</v>
      </c>
      <c r="C1514" t="e">
        <v>#N/A</v>
      </c>
      <c r="D1514" t="e">
        <v>#N/A</v>
      </c>
      <c r="E1514" t="e">
        <v>#N/A</v>
      </c>
      <c r="F1514" t="e">
        <v>#N/A</v>
      </c>
      <c r="G1514" t="e">
        <v>#N/A</v>
      </c>
      <c r="H1514" t="e">
        <v>#N/A</v>
      </c>
      <c r="I1514" t="e">
        <v>#N/A</v>
      </c>
      <c r="J1514" t="e">
        <v>#N/A</v>
      </c>
      <c r="K1514" t="e">
        <v>#N/A</v>
      </c>
      <c r="L1514" t="e">
        <v>#N/A</v>
      </c>
      <c r="M1514" t="e">
        <v>#N/A</v>
      </c>
      <c r="N1514" t="e">
        <v>#N/A</v>
      </c>
      <c r="P1514" t="s">
        <v>966</v>
      </c>
    </row>
    <row r="1515" spans="1:16" x14ac:dyDescent="0.25">
      <c r="A1515">
        <v>3</v>
      </c>
    </row>
    <row r="1516" spans="1:16" x14ac:dyDescent="0.25">
      <c r="A1516">
        <v>4</v>
      </c>
    </row>
    <row r="1517" spans="1:16" x14ac:dyDescent="0.25">
      <c r="A1517">
        <v>5</v>
      </c>
    </row>
    <row r="1518" spans="1:16" x14ac:dyDescent="0.25">
      <c r="A1518">
        <v>6</v>
      </c>
    </row>
    <row r="1519" spans="1:16" x14ac:dyDescent="0.25">
      <c r="A1519">
        <v>7</v>
      </c>
    </row>
    <row r="1520" spans="1:16" x14ac:dyDescent="0.25">
      <c r="A1520">
        <v>8</v>
      </c>
    </row>
    <row r="1521" spans="1:16" x14ac:dyDescent="0.25">
      <c r="A1521">
        <v>9</v>
      </c>
    </row>
    <row r="1522" spans="1:16" x14ac:dyDescent="0.25">
      <c r="A1522">
        <v>10</v>
      </c>
    </row>
    <row r="1525" spans="1:16" x14ac:dyDescent="0.25">
      <c r="A1525" t="s">
        <v>677</v>
      </c>
      <c r="N1525">
        <v>82</v>
      </c>
    </row>
    <row r="1526" spans="1:16" x14ac:dyDescent="0.25">
      <c r="A1526" t="s">
        <v>672</v>
      </c>
      <c r="C1526" t="s">
        <v>673</v>
      </c>
    </row>
    <row r="1527" spans="1:16" x14ac:dyDescent="0.25">
      <c r="A1527" t="s">
        <v>977</v>
      </c>
      <c r="C1527" t="e">
        <v>#N/A</v>
      </c>
      <c r="P1527">
        <v>1525</v>
      </c>
    </row>
    <row r="1528" spans="1:16" x14ac:dyDescent="0.25">
      <c r="A1528" t="s">
        <v>681</v>
      </c>
      <c r="B1528" s="3" t="s">
        <v>680</v>
      </c>
      <c r="C1528" t="s">
        <v>678</v>
      </c>
      <c r="D1528" t="s">
        <v>695</v>
      </c>
      <c r="E1528" t="s">
        <v>679</v>
      </c>
      <c r="F1528" s="245" t="s">
        <v>1187</v>
      </c>
    </row>
    <row r="1529" spans="1:16" x14ac:dyDescent="0.25">
      <c r="A1529" t="e">
        <v>#N/A</v>
      </c>
      <c r="B1529" s="3" t="e">
        <v>#N/A</v>
      </c>
      <c r="C1529" t="e">
        <v>#N/A</v>
      </c>
      <c r="D1529" t="e">
        <v>#N/A</v>
      </c>
      <c r="E1529" t="e">
        <v>#N/A</v>
      </c>
      <c r="F1529" s="232">
        <v>1</v>
      </c>
      <c r="M1529" t="s">
        <v>65</v>
      </c>
      <c r="N1529" t="s">
        <v>65</v>
      </c>
    </row>
    <row r="1530" spans="1:16" x14ac:dyDescent="0.25">
      <c r="C1530" t="s">
        <v>20</v>
      </c>
      <c r="D1530" t="s">
        <v>20</v>
      </c>
      <c r="E1530" t="s">
        <v>20</v>
      </c>
      <c r="G1530" t="s">
        <v>39</v>
      </c>
      <c r="H1530" t="s">
        <v>39</v>
      </c>
      <c r="I1530" t="s">
        <v>39</v>
      </c>
      <c r="J1530" t="s">
        <v>63</v>
      </c>
      <c r="K1530" t="s">
        <v>62</v>
      </c>
      <c r="L1530" t="s">
        <v>39</v>
      </c>
      <c r="M1530" t="s">
        <v>64</v>
      </c>
      <c r="N1530" t="s">
        <v>64</v>
      </c>
    </row>
    <row r="1531" spans="1:16" x14ac:dyDescent="0.25">
      <c r="A1531" t="s">
        <v>32</v>
      </c>
      <c r="B1531" s="3" t="s">
        <v>33</v>
      </c>
      <c r="C1531" t="s">
        <v>34</v>
      </c>
      <c r="D1531" t="s">
        <v>35</v>
      </c>
      <c r="E1531" t="s">
        <v>814</v>
      </c>
      <c r="F1531" t="s">
        <v>816</v>
      </c>
      <c r="G1531" t="s">
        <v>815</v>
      </c>
      <c r="H1531" t="s">
        <v>36</v>
      </c>
      <c r="I1531" t="s">
        <v>66</v>
      </c>
      <c r="J1531" t="s">
        <v>56</v>
      </c>
      <c r="K1531" t="s">
        <v>57</v>
      </c>
      <c r="L1531" t="s">
        <v>58</v>
      </c>
      <c r="M1531" t="s">
        <v>59</v>
      </c>
      <c r="N1531" t="s">
        <v>60</v>
      </c>
    </row>
    <row r="1532" spans="1:16" x14ac:dyDescent="0.25">
      <c r="A1532">
        <v>1</v>
      </c>
      <c r="B1532" s="3" t="e">
        <v>#N/A</v>
      </c>
      <c r="C1532" t="e">
        <v>#N/A</v>
      </c>
      <c r="D1532" t="e">
        <v>#N/A</v>
      </c>
      <c r="E1532" t="e">
        <v>#N/A</v>
      </c>
      <c r="F1532" t="e">
        <v>#N/A</v>
      </c>
      <c r="G1532" t="e">
        <v>#N/A</v>
      </c>
      <c r="H1532" t="e">
        <v>#N/A</v>
      </c>
      <c r="I1532" t="e">
        <v>#N/A</v>
      </c>
      <c r="J1532" t="e">
        <v>#N/A</v>
      </c>
      <c r="K1532" t="e">
        <v>#N/A</v>
      </c>
      <c r="L1532" t="e">
        <v>#N/A</v>
      </c>
      <c r="M1532" t="e">
        <v>#N/A</v>
      </c>
      <c r="N1532" t="e">
        <v>#N/A</v>
      </c>
    </row>
    <row r="1533" spans="1:16" x14ac:dyDescent="0.25">
      <c r="A1533">
        <v>2</v>
      </c>
      <c r="B1533" s="3" t="e">
        <v>#N/A</v>
      </c>
      <c r="C1533" t="e">
        <v>#N/A</v>
      </c>
      <c r="D1533" t="e">
        <v>#N/A</v>
      </c>
      <c r="E1533" t="e">
        <v>#N/A</v>
      </c>
      <c r="F1533" t="e">
        <v>#N/A</v>
      </c>
      <c r="G1533" t="e">
        <v>#N/A</v>
      </c>
      <c r="H1533" t="e">
        <v>#N/A</v>
      </c>
      <c r="I1533" t="e">
        <v>#N/A</v>
      </c>
      <c r="J1533" t="e">
        <v>#N/A</v>
      </c>
      <c r="K1533" t="e">
        <v>#N/A</v>
      </c>
      <c r="L1533" t="e">
        <v>#N/A</v>
      </c>
      <c r="M1533" t="e">
        <v>#N/A</v>
      </c>
      <c r="N1533" t="e">
        <v>#N/A</v>
      </c>
      <c r="P1533" t="s">
        <v>966</v>
      </c>
    </row>
    <row r="1534" spans="1:16" x14ac:dyDescent="0.25">
      <c r="A1534">
        <v>3</v>
      </c>
    </row>
    <row r="1535" spans="1:16" x14ac:dyDescent="0.25">
      <c r="A1535">
        <v>4</v>
      </c>
    </row>
    <row r="1536" spans="1:16" x14ac:dyDescent="0.25">
      <c r="A1536">
        <v>5</v>
      </c>
    </row>
    <row r="1537" spans="1:16" x14ac:dyDescent="0.25">
      <c r="A1537">
        <v>6</v>
      </c>
    </row>
    <row r="1538" spans="1:16" x14ac:dyDescent="0.25">
      <c r="A1538">
        <v>7</v>
      </c>
    </row>
    <row r="1539" spans="1:16" x14ac:dyDescent="0.25">
      <c r="A1539">
        <v>8</v>
      </c>
    </row>
    <row r="1540" spans="1:16" x14ac:dyDescent="0.25">
      <c r="A1540">
        <v>9</v>
      </c>
    </row>
    <row r="1541" spans="1:16" x14ac:dyDescent="0.25">
      <c r="A1541">
        <v>10</v>
      </c>
    </row>
    <row r="1544" spans="1:16" x14ac:dyDescent="0.25">
      <c r="A1544" t="s">
        <v>677</v>
      </c>
      <c r="N1544">
        <v>83</v>
      </c>
    </row>
    <row r="1545" spans="1:16" x14ac:dyDescent="0.25">
      <c r="A1545" t="s">
        <v>672</v>
      </c>
      <c r="C1545" t="s">
        <v>673</v>
      </c>
    </row>
    <row r="1546" spans="1:16" x14ac:dyDescent="0.25">
      <c r="A1546" t="s">
        <v>978</v>
      </c>
      <c r="C1546" t="e">
        <v>#N/A</v>
      </c>
      <c r="P1546">
        <v>1544</v>
      </c>
    </row>
    <row r="1547" spans="1:16" x14ac:dyDescent="0.25">
      <c r="A1547" t="s">
        <v>681</v>
      </c>
      <c r="B1547" s="3" t="s">
        <v>680</v>
      </c>
      <c r="C1547" t="s">
        <v>678</v>
      </c>
      <c r="D1547" t="s">
        <v>695</v>
      </c>
      <c r="E1547" t="s">
        <v>679</v>
      </c>
      <c r="F1547" s="245" t="s">
        <v>1187</v>
      </c>
    </row>
    <row r="1548" spans="1:16" x14ac:dyDescent="0.25">
      <c r="A1548" t="e">
        <v>#N/A</v>
      </c>
      <c r="B1548" s="3" t="e">
        <v>#N/A</v>
      </c>
      <c r="C1548" t="e">
        <v>#N/A</v>
      </c>
      <c r="D1548" t="e">
        <v>#N/A</v>
      </c>
      <c r="E1548" t="e">
        <v>#N/A</v>
      </c>
      <c r="F1548" s="232">
        <v>1</v>
      </c>
      <c r="M1548" t="s">
        <v>65</v>
      </c>
      <c r="N1548" t="s">
        <v>65</v>
      </c>
    </row>
    <row r="1549" spans="1:16" x14ac:dyDescent="0.25">
      <c r="C1549" t="s">
        <v>20</v>
      </c>
      <c r="D1549" t="s">
        <v>20</v>
      </c>
      <c r="E1549" t="s">
        <v>20</v>
      </c>
      <c r="G1549" t="s">
        <v>39</v>
      </c>
      <c r="H1549" t="s">
        <v>39</v>
      </c>
      <c r="I1549" t="s">
        <v>39</v>
      </c>
      <c r="J1549" t="s">
        <v>63</v>
      </c>
      <c r="K1549" t="s">
        <v>62</v>
      </c>
      <c r="L1549" t="s">
        <v>39</v>
      </c>
      <c r="M1549" t="s">
        <v>64</v>
      </c>
      <c r="N1549" t="s">
        <v>64</v>
      </c>
    </row>
    <row r="1550" spans="1:16" x14ac:dyDescent="0.25">
      <c r="A1550" t="s">
        <v>32</v>
      </c>
      <c r="B1550" s="3" t="s">
        <v>33</v>
      </c>
      <c r="C1550" t="s">
        <v>34</v>
      </c>
      <c r="D1550" t="s">
        <v>35</v>
      </c>
      <c r="E1550" t="s">
        <v>814</v>
      </c>
      <c r="F1550" t="s">
        <v>816</v>
      </c>
      <c r="G1550" t="s">
        <v>815</v>
      </c>
      <c r="H1550" t="s">
        <v>36</v>
      </c>
      <c r="I1550" t="s">
        <v>66</v>
      </c>
      <c r="J1550" t="s">
        <v>56</v>
      </c>
      <c r="K1550" t="s">
        <v>57</v>
      </c>
      <c r="L1550" t="s">
        <v>58</v>
      </c>
      <c r="M1550" t="s">
        <v>59</v>
      </c>
      <c r="N1550" t="s">
        <v>60</v>
      </c>
    </row>
    <row r="1551" spans="1:16" x14ac:dyDescent="0.25">
      <c r="A1551">
        <v>1</v>
      </c>
      <c r="B1551" s="3" t="e">
        <v>#N/A</v>
      </c>
      <c r="C1551" t="e">
        <v>#N/A</v>
      </c>
      <c r="D1551" t="e">
        <v>#N/A</v>
      </c>
      <c r="E1551" t="e">
        <v>#N/A</v>
      </c>
      <c r="F1551" t="e">
        <v>#N/A</v>
      </c>
      <c r="G1551" t="e">
        <v>#N/A</v>
      </c>
      <c r="H1551" t="e">
        <v>#N/A</v>
      </c>
      <c r="I1551" t="e">
        <v>#N/A</v>
      </c>
      <c r="J1551" t="e">
        <v>#N/A</v>
      </c>
      <c r="K1551" t="e">
        <v>#N/A</v>
      </c>
      <c r="L1551" t="e">
        <v>#N/A</v>
      </c>
      <c r="M1551" t="e">
        <v>#N/A</v>
      </c>
      <c r="N1551" t="e">
        <v>#N/A</v>
      </c>
    </row>
    <row r="1552" spans="1:16" x14ac:dyDescent="0.25">
      <c r="A1552">
        <v>2</v>
      </c>
      <c r="B1552" s="3" t="e">
        <v>#N/A</v>
      </c>
      <c r="C1552" t="e">
        <v>#N/A</v>
      </c>
      <c r="D1552" t="e">
        <v>#N/A</v>
      </c>
      <c r="E1552" t="e">
        <v>#N/A</v>
      </c>
      <c r="F1552" t="e">
        <v>#N/A</v>
      </c>
      <c r="G1552" t="e">
        <v>#N/A</v>
      </c>
      <c r="H1552" t="e">
        <v>#N/A</v>
      </c>
      <c r="I1552" t="e">
        <v>#N/A</v>
      </c>
      <c r="J1552" t="e">
        <v>#N/A</v>
      </c>
      <c r="K1552" t="e">
        <v>#N/A</v>
      </c>
      <c r="L1552" t="e">
        <v>#N/A</v>
      </c>
      <c r="M1552" t="e">
        <v>#N/A</v>
      </c>
      <c r="N1552" t="e">
        <v>#N/A</v>
      </c>
      <c r="P1552" t="s">
        <v>966</v>
      </c>
    </row>
    <row r="1553" spans="1:16" x14ac:dyDescent="0.25">
      <c r="A1553">
        <v>3</v>
      </c>
    </row>
    <row r="1554" spans="1:16" x14ac:dyDescent="0.25">
      <c r="A1554">
        <v>4</v>
      </c>
    </row>
    <row r="1555" spans="1:16" x14ac:dyDescent="0.25">
      <c r="A1555">
        <v>5</v>
      </c>
    </row>
    <row r="1556" spans="1:16" x14ac:dyDescent="0.25">
      <c r="A1556">
        <v>6</v>
      </c>
    </row>
    <row r="1557" spans="1:16" x14ac:dyDescent="0.25">
      <c r="A1557">
        <v>7</v>
      </c>
    </row>
    <row r="1558" spans="1:16" x14ac:dyDescent="0.25">
      <c r="A1558">
        <v>8</v>
      </c>
    </row>
    <row r="1559" spans="1:16" x14ac:dyDescent="0.25">
      <c r="A1559">
        <v>9</v>
      </c>
    </row>
    <row r="1560" spans="1:16" x14ac:dyDescent="0.25">
      <c r="A1560">
        <v>10</v>
      </c>
    </row>
    <row r="1563" spans="1:16" x14ac:dyDescent="0.25">
      <c r="A1563" t="s">
        <v>677</v>
      </c>
      <c r="N1563">
        <v>84</v>
      </c>
    </row>
    <row r="1564" spans="1:16" x14ac:dyDescent="0.25">
      <c r="A1564" t="s">
        <v>672</v>
      </c>
      <c r="C1564" t="s">
        <v>673</v>
      </c>
    </row>
    <row r="1565" spans="1:16" x14ac:dyDescent="0.25">
      <c r="A1565" t="s">
        <v>979</v>
      </c>
      <c r="C1565" t="e">
        <v>#N/A</v>
      </c>
      <c r="P1565">
        <v>1563</v>
      </c>
    </row>
    <row r="1566" spans="1:16" x14ac:dyDescent="0.25">
      <c r="A1566" t="s">
        <v>681</v>
      </c>
      <c r="B1566" s="3" t="s">
        <v>680</v>
      </c>
      <c r="C1566" t="s">
        <v>678</v>
      </c>
      <c r="D1566" t="s">
        <v>695</v>
      </c>
      <c r="E1566" t="s">
        <v>679</v>
      </c>
      <c r="F1566" s="245" t="s">
        <v>1187</v>
      </c>
    </row>
    <row r="1567" spans="1:16" x14ac:dyDescent="0.25">
      <c r="A1567" t="e">
        <v>#N/A</v>
      </c>
      <c r="B1567" s="3" t="e">
        <v>#N/A</v>
      </c>
      <c r="C1567" t="e">
        <v>#N/A</v>
      </c>
      <c r="D1567" t="e">
        <v>#N/A</v>
      </c>
      <c r="E1567" t="e">
        <v>#N/A</v>
      </c>
      <c r="F1567" s="232">
        <v>1</v>
      </c>
      <c r="M1567" t="s">
        <v>65</v>
      </c>
      <c r="N1567" t="s">
        <v>65</v>
      </c>
    </row>
    <row r="1568" spans="1:16" x14ac:dyDescent="0.25">
      <c r="C1568" t="s">
        <v>20</v>
      </c>
      <c r="D1568" t="s">
        <v>20</v>
      </c>
      <c r="E1568" t="s">
        <v>20</v>
      </c>
      <c r="G1568" t="s">
        <v>39</v>
      </c>
      <c r="H1568" t="s">
        <v>39</v>
      </c>
      <c r="I1568" t="s">
        <v>39</v>
      </c>
      <c r="J1568" t="s">
        <v>63</v>
      </c>
      <c r="K1568" t="s">
        <v>62</v>
      </c>
      <c r="L1568" t="s">
        <v>39</v>
      </c>
      <c r="M1568" t="s">
        <v>64</v>
      </c>
      <c r="N1568" t="s">
        <v>64</v>
      </c>
    </row>
    <row r="1569" spans="1:16" x14ac:dyDescent="0.25">
      <c r="A1569" t="s">
        <v>32</v>
      </c>
      <c r="B1569" s="3" t="s">
        <v>33</v>
      </c>
      <c r="C1569" t="s">
        <v>34</v>
      </c>
      <c r="D1569" t="s">
        <v>35</v>
      </c>
      <c r="E1569" t="s">
        <v>814</v>
      </c>
      <c r="F1569" t="s">
        <v>816</v>
      </c>
      <c r="G1569" t="s">
        <v>815</v>
      </c>
      <c r="H1569" t="s">
        <v>36</v>
      </c>
      <c r="I1569" t="s">
        <v>66</v>
      </c>
      <c r="J1569" t="s">
        <v>56</v>
      </c>
      <c r="K1569" t="s">
        <v>57</v>
      </c>
      <c r="L1569" t="s">
        <v>58</v>
      </c>
      <c r="M1569" t="s">
        <v>59</v>
      </c>
      <c r="N1569" t="s">
        <v>60</v>
      </c>
    </row>
    <row r="1570" spans="1:16" x14ac:dyDescent="0.25">
      <c r="A1570">
        <v>1</v>
      </c>
      <c r="B1570" s="3" t="e">
        <v>#N/A</v>
      </c>
      <c r="C1570" t="e">
        <v>#N/A</v>
      </c>
      <c r="D1570" t="e">
        <v>#N/A</v>
      </c>
      <c r="E1570" t="e">
        <v>#N/A</v>
      </c>
      <c r="F1570" t="e">
        <v>#N/A</v>
      </c>
      <c r="G1570" t="e">
        <v>#N/A</v>
      </c>
      <c r="H1570" t="e">
        <v>#N/A</v>
      </c>
      <c r="I1570" t="e">
        <v>#N/A</v>
      </c>
      <c r="J1570" t="e">
        <v>#N/A</v>
      </c>
      <c r="K1570" t="e">
        <v>#N/A</v>
      </c>
      <c r="L1570" t="e">
        <v>#N/A</v>
      </c>
      <c r="M1570" t="e">
        <v>#N/A</v>
      </c>
      <c r="N1570" t="e">
        <v>#N/A</v>
      </c>
    </row>
    <row r="1571" spans="1:16" x14ac:dyDescent="0.25">
      <c r="A1571">
        <v>2</v>
      </c>
      <c r="B1571" s="3" t="e">
        <v>#N/A</v>
      </c>
      <c r="C1571" t="e">
        <v>#N/A</v>
      </c>
      <c r="D1571" t="e">
        <v>#N/A</v>
      </c>
      <c r="E1571" t="e">
        <v>#N/A</v>
      </c>
      <c r="F1571" t="e">
        <v>#N/A</v>
      </c>
      <c r="G1571" t="e">
        <v>#N/A</v>
      </c>
      <c r="H1571" t="e">
        <v>#N/A</v>
      </c>
      <c r="I1571" t="e">
        <v>#N/A</v>
      </c>
      <c r="J1571" t="e">
        <v>#N/A</v>
      </c>
      <c r="K1571" t="e">
        <v>#N/A</v>
      </c>
      <c r="L1571" t="e">
        <v>#N/A</v>
      </c>
      <c r="M1571" t="e">
        <v>#N/A</v>
      </c>
      <c r="N1571" t="e">
        <v>#N/A</v>
      </c>
      <c r="P1571" t="s">
        <v>966</v>
      </c>
    </row>
    <row r="1572" spans="1:16" x14ac:dyDescent="0.25">
      <c r="A1572">
        <v>3</v>
      </c>
    </row>
    <row r="1573" spans="1:16" x14ac:dyDescent="0.25">
      <c r="A1573">
        <v>4</v>
      </c>
    </row>
    <row r="1574" spans="1:16" x14ac:dyDescent="0.25">
      <c r="A1574">
        <v>5</v>
      </c>
    </row>
    <row r="1575" spans="1:16" x14ac:dyDescent="0.25">
      <c r="A1575">
        <v>6</v>
      </c>
    </row>
    <row r="1576" spans="1:16" x14ac:dyDescent="0.25">
      <c r="A1576">
        <v>7</v>
      </c>
    </row>
    <row r="1577" spans="1:16" x14ac:dyDescent="0.25">
      <c r="A1577">
        <v>8</v>
      </c>
    </row>
    <row r="1578" spans="1:16" x14ac:dyDescent="0.25">
      <c r="A1578">
        <v>9</v>
      </c>
    </row>
    <row r="1579" spans="1:16" x14ac:dyDescent="0.25">
      <c r="A1579">
        <v>10</v>
      </c>
    </row>
    <row r="1582" spans="1:16" x14ac:dyDescent="0.25">
      <c r="A1582" t="s">
        <v>677</v>
      </c>
      <c r="N1582">
        <v>85</v>
      </c>
    </row>
    <row r="1583" spans="1:16" x14ac:dyDescent="0.25">
      <c r="A1583" t="s">
        <v>672</v>
      </c>
      <c r="C1583" t="s">
        <v>673</v>
      </c>
    </row>
    <row r="1584" spans="1:16" x14ac:dyDescent="0.25">
      <c r="A1584" t="s">
        <v>980</v>
      </c>
      <c r="C1584" t="e">
        <v>#N/A</v>
      </c>
      <c r="P1584">
        <v>1582</v>
      </c>
    </row>
    <row r="1585" spans="1:16" x14ac:dyDescent="0.25">
      <c r="A1585" t="s">
        <v>681</v>
      </c>
      <c r="B1585" s="3" t="s">
        <v>680</v>
      </c>
      <c r="C1585" t="s">
        <v>678</v>
      </c>
      <c r="D1585" t="s">
        <v>695</v>
      </c>
      <c r="E1585" t="s">
        <v>679</v>
      </c>
      <c r="F1585" s="245" t="s">
        <v>1187</v>
      </c>
    </row>
    <row r="1586" spans="1:16" x14ac:dyDescent="0.25">
      <c r="A1586" t="e">
        <v>#N/A</v>
      </c>
      <c r="B1586" s="3" t="e">
        <v>#N/A</v>
      </c>
      <c r="C1586" t="e">
        <v>#N/A</v>
      </c>
      <c r="D1586" t="e">
        <v>#N/A</v>
      </c>
      <c r="E1586" t="e">
        <v>#N/A</v>
      </c>
      <c r="F1586" s="232">
        <v>1</v>
      </c>
      <c r="M1586" t="s">
        <v>65</v>
      </c>
      <c r="N1586" t="s">
        <v>65</v>
      </c>
    </row>
    <row r="1587" spans="1:16" x14ac:dyDescent="0.25">
      <c r="C1587" t="s">
        <v>20</v>
      </c>
      <c r="D1587" t="s">
        <v>20</v>
      </c>
      <c r="E1587" t="s">
        <v>20</v>
      </c>
      <c r="G1587" t="s">
        <v>39</v>
      </c>
      <c r="H1587" t="s">
        <v>39</v>
      </c>
      <c r="I1587" t="s">
        <v>39</v>
      </c>
      <c r="J1587" t="s">
        <v>63</v>
      </c>
      <c r="K1587" t="s">
        <v>62</v>
      </c>
      <c r="L1587" t="s">
        <v>39</v>
      </c>
      <c r="M1587" t="s">
        <v>64</v>
      </c>
      <c r="N1587" t="s">
        <v>64</v>
      </c>
    </row>
    <row r="1588" spans="1:16" x14ac:dyDescent="0.25">
      <c r="A1588" t="s">
        <v>32</v>
      </c>
      <c r="B1588" s="3" t="s">
        <v>33</v>
      </c>
      <c r="C1588" t="s">
        <v>34</v>
      </c>
      <c r="D1588" t="s">
        <v>35</v>
      </c>
      <c r="E1588" t="s">
        <v>814</v>
      </c>
      <c r="F1588" t="s">
        <v>816</v>
      </c>
      <c r="G1588" t="s">
        <v>815</v>
      </c>
      <c r="H1588" t="s">
        <v>36</v>
      </c>
      <c r="I1588" t="s">
        <v>66</v>
      </c>
      <c r="J1588" t="s">
        <v>56</v>
      </c>
      <c r="K1588" t="s">
        <v>57</v>
      </c>
      <c r="L1588" t="s">
        <v>58</v>
      </c>
      <c r="M1588" t="s">
        <v>59</v>
      </c>
      <c r="N1588" t="s">
        <v>60</v>
      </c>
    </row>
    <row r="1589" spans="1:16" x14ac:dyDescent="0.25">
      <c r="A1589">
        <v>1</v>
      </c>
      <c r="B1589" s="3" t="e">
        <v>#N/A</v>
      </c>
      <c r="C1589" t="e">
        <v>#N/A</v>
      </c>
      <c r="D1589" t="e">
        <v>#N/A</v>
      </c>
      <c r="E1589" t="e">
        <v>#N/A</v>
      </c>
      <c r="F1589" t="e">
        <v>#N/A</v>
      </c>
      <c r="G1589" t="e">
        <v>#N/A</v>
      </c>
      <c r="H1589" t="e">
        <v>#N/A</v>
      </c>
      <c r="I1589" t="e">
        <v>#N/A</v>
      </c>
      <c r="J1589" t="e">
        <v>#N/A</v>
      </c>
      <c r="K1589" t="e">
        <v>#N/A</v>
      </c>
      <c r="L1589" t="e">
        <v>#N/A</v>
      </c>
      <c r="M1589" t="e">
        <v>#N/A</v>
      </c>
      <c r="N1589" t="e">
        <v>#N/A</v>
      </c>
    </row>
    <row r="1590" spans="1:16" x14ac:dyDescent="0.25">
      <c r="A1590">
        <v>2</v>
      </c>
      <c r="B1590" s="3" t="e">
        <v>#N/A</v>
      </c>
      <c r="C1590" t="e">
        <v>#N/A</v>
      </c>
      <c r="D1590" t="e">
        <v>#N/A</v>
      </c>
      <c r="E1590" t="e">
        <v>#N/A</v>
      </c>
      <c r="F1590" t="e">
        <v>#N/A</v>
      </c>
      <c r="G1590" t="e">
        <v>#N/A</v>
      </c>
      <c r="H1590" t="e">
        <v>#N/A</v>
      </c>
      <c r="I1590" t="e">
        <v>#N/A</v>
      </c>
      <c r="J1590" t="e">
        <v>#N/A</v>
      </c>
      <c r="K1590" t="e">
        <v>#N/A</v>
      </c>
      <c r="L1590" t="e">
        <v>#N/A</v>
      </c>
      <c r="M1590" t="e">
        <v>#N/A</v>
      </c>
      <c r="N1590" t="e">
        <v>#N/A</v>
      </c>
      <c r="P1590" t="s">
        <v>966</v>
      </c>
    </row>
    <row r="1591" spans="1:16" x14ac:dyDescent="0.25">
      <c r="A1591">
        <v>3</v>
      </c>
    </row>
    <row r="1592" spans="1:16" x14ac:dyDescent="0.25">
      <c r="A1592">
        <v>4</v>
      </c>
    </row>
    <row r="1593" spans="1:16" x14ac:dyDescent="0.25">
      <c r="A1593">
        <v>5</v>
      </c>
    </row>
    <row r="1594" spans="1:16" x14ac:dyDescent="0.25">
      <c r="A1594">
        <v>6</v>
      </c>
    </row>
    <row r="1595" spans="1:16" x14ac:dyDescent="0.25">
      <c r="A1595">
        <v>7</v>
      </c>
    </row>
    <row r="1596" spans="1:16" x14ac:dyDescent="0.25">
      <c r="A1596">
        <v>8</v>
      </c>
    </row>
    <row r="1597" spans="1:16" x14ac:dyDescent="0.25">
      <c r="A1597">
        <v>9</v>
      </c>
    </row>
    <row r="1598" spans="1:16" x14ac:dyDescent="0.25">
      <c r="A1598">
        <v>10</v>
      </c>
    </row>
    <row r="1601" spans="1:16" x14ac:dyDescent="0.25">
      <c r="A1601" t="s">
        <v>677</v>
      </c>
      <c r="N1601">
        <v>86</v>
      </c>
    </row>
    <row r="1602" spans="1:16" x14ac:dyDescent="0.25">
      <c r="A1602" t="s">
        <v>672</v>
      </c>
      <c r="C1602" t="s">
        <v>673</v>
      </c>
    </row>
    <row r="1603" spans="1:16" x14ac:dyDescent="0.25">
      <c r="A1603" t="s">
        <v>981</v>
      </c>
      <c r="C1603" t="e">
        <v>#N/A</v>
      </c>
      <c r="P1603">
        <v>1601</v>
      </c>
    </row>
    <row r="1604" spans="1:16" x14ac:dyDescent="0.25">
      <c r="A1604" t="s">
        <v>681</v>
      </c>
      <c r="B1604" s="3" t="s">
        <v>680</v>
      </c>
      <c r="C1604" t="s">
        <v>678</v>
      </c>
      <c r="D1604" t="s">
        <v>695</v>
      </c>
      <c r="E1604" t="s">
        <v>679</v>
      </c>
      <c r="F1604" s="245" t="s">
        <v>1187</v>
      </c>
    </row>
    <row r="1605" spans="1:16" x14ac:dyDescent="0.25">
      <c r="A1605" t="e">
        <v>#N/A</v>
      </c>
      <c r="B1605" s="3" t="e">
        <v>#N/A</v>
      </c>
      <c r="C1605" t="e">
        <v>#N/A</v>
      </c>
      <c r="D1605" t="e">
        <v>#N/A</v>
      </c>
      <c r="E1605" t="e">
        <v>#N/A</v>
      </c>
      <c r="F1605" s="232">
        <v>1</v>
      </c>
      <c r="M1605" t="s">
        <v>65</v>
      </c>
      <c r="N1605" t="s">
        <v>65</v>
      </c>
    </row>
    <row r="1606" spans="1:16" x14ac:dyDescent="0.25">
      <c r="C1606" t="s">
        <v>20</v>
      </c>
      <c r="D1606" t="s">
        <v>20</v>
      </c>
      <c r="E1606" t="s">
        <v>20</v>
      </c>
      <c r="G1606" t="s">
        <v>39</v>
      </c>
      <c r="H1606" t="s">
        <v>39</v>
      </c>
      <c r="I1606" t="s">
        <v>39</v>
      </c>
      <c r="J1606" t="s">
        <v>63</v>
      </c>
      <c r="K1606" t="s">
        <v>62</v>
      </c>
      <c r="L1606" t="s">
        <v>39</v>
      </c>
      <c r="M1606" t="s">
        <v>64</v>
      </c>
      <c r="N1606" t="s">
        <v>64</v>
      </c>
    </row>
    <row r="1607" spans="1:16" x14ac:dyDescent="0.25">
      <c r="A1607" t="s">
        <v>32</v>
      </c>
      <c r="B1607" s="3" t="s">
        <v>33</v>
      </c>
      <c r="C1607" t="s">
        <v>34</v>
      </c>
      <c r="D1607" t="s">
        <v>35</v>
      </c>
      <c r="E1607" t="s">
        <v>814</v>
      </c>
      <c r="F1607" t="s">
        <v>816</v>
      </c>
      <c r="G1607" t="s">
        <v>815</v>
      </c>
      <c r="H1607" t="s">
        <v>36</v>
      </c>
      <c r="I1607" t="s">
        <v>66</v>
      </c>
      <c r="J1607" t="s">
        <v>56</v>
      </c>
      <c r="K1607" t="s">
        <v>57</v>
      </c>
      <c r="L1607" t="s">
        <v>58</v>
      </c>
      <c r="M1607" t="s">
        <v>59</v>
      </c>
      <c r="N1607" t="s">
        <v>60</v>
      </c>
    </row>
    <row r="1608" spans="1:16" x14ac:dyDescent="0.25">
      <c r="A1608">
        <v>1</v>
      </c>
      <c r="B1608" s="3" t="e">
        <v>#N/A</v>
      </c>
      <c r="C1608" t="e">
        <v>#N/A</v>
      </c>
      <c r="D1608" t="e">
        <v>#N/A</v>
      </c>
      <c r="E1608" t="e">
        <v>#N/A</v>
      </c>
      <c r="F1608" t="e">
        <v>#N/A</v>
      </c>
      <c r="G1608" t="e">
        <v>#N/A</v>
      </c>
      <c r="H1608" t="e">
        <v>#N/A</v>
      </c>
      <c r="I1608" t="e">
        <v>#N/A</v>
      </c>
      <c r="J1608" t="e">
        <v>#N/A</v>
      </c>
      <c r="K1608" t="e">
        <v>#N/A</v>
      </c>
      <c r="L1608" t="e">
        <v>#N/A</v>
      </c>
      <c r="M1608" t="e">
        <v>#N/A</v>
      </c>
      <c r="N1608" t="e">
        <v>#N/A</v>
      </c>
    </row>
    <row r="1609" spans="1:16" x14ac:dyDescent="0.25">
      <c r="A1609">
        <v>2</v>
      </c>
      <c r="B1609" s="3" t="e">
        <v>#N/A</v>
      </c>
      <c r="C1609" t="e">
        <v>#N/A</v>
      </c>
      <c r="D1609" t="e">
        <v>#N/A</v>
      </c>
      <c r="E1609" t="e">
        <v>#N/A</v>
      </c>
      <c r="F1609" t="e">
        <v>#N/A</v>
      </c>
      <c r="G1609" t="e">
        <v>#N/A</v>
      </c>
      <c r="H1609" t="e">
        <v>#N/A</v>
      </c>
      <c r="I1609" t="e">
        <v>#N/A</v>
      </c>
      <c r="J1609" t="e">
        <v>#N/A</v>
      </c>
      <c r="K1609" t="e">
        <v>#N/A</v>
      </c>
      <c r="L1609" t="e">
        <v>#N/A</v>
      </c>
      <c r="M1609" t="e">
        <v>#N/A</v>
      </c>
      <c r="N1609" t="e">
        <v>#N/A</v>
      </c>
      <c r="P1609" t="s">
        <v>966</v>
      </c>
    </row>
    <row r="1610" spans="1:16" x14ac:dyDescent="0.25">
      <c r="A1610">
        <v>3</v>
      </c>
    </row>
    <row r="1611" spans="1:16" x14ac:dyDescent="0.25">
      <c r="A1611">
        <v>4</v>
      </c>
    </row>
    <row r="1612" spans="1:16" x14ac:dyDescent="0.25">
      <c r="A1612">
        <v>5</v>
      </c>
    </row>
    <row r="1613" spans="1:16" x14ac:dyDescent="0.25">
      <c r="A1613">
        <v>6</v>
      </c>
    </row>
    <row r="1614" spans="1:16" x14ac:dyDescent="0.25">
      <c r="A1614">
        <v>7</v>
      </c>
    </row>
    <row r="1615" spans="1:16" x14ac:dyDescent="0.25">
      <c r="A1615">
        <v>8</v>
      </c>
    </row>
    <row r="1616" spans="1:16" x14ac:dyDescent="0.25">
      <c r="A1616">
        <v>9</v>
      </c>
    </row>
    <row r="1617" spans="1:16" x14ac:dyDescent="0.25">
      <c r="A1617">
        <v>10</v>
      </c>
    </row>
    <row r="1620" spans="1:16" x14ac:dyDescent="0.25">
      <c r="A1620" t="s">
        <v>677</v>
      </c>
      <c r="N1620">
        <v>87</v>
      </c>
    </row>
    <row r="1621" spans="1:16" x14ac:dyDescent="0.25">
      <c r="A1621" t="s">
        <v>672</v>
      </c>
      <c r="C1621" t="s">
        <v>673</v>
      </c>
    </row>
    <row r="1622" spans="1:16" x14ac:dyDescent="0.25">
      <c r="A1622" t="s">
        <v>982</v>
      </c>
      <c r="C1622" t="e">
        <v>#N/A</v>
      </c>
      <c r="P1622">
        <v>1620</v>
      </c>
    </row>
    <row r="1623" spans="1:16" x14ac:dyDescent="0.25">
      <c r="A1623" t="s">
        <v>681</v>
      </c>
      <c r="B1623" s="3" t="s">
        <v>680</v>
      </c>
      <c r="C1623" t="s">
        <v>678</v>
      </c>
      <c r="D1623" t="s">
        <v>695</v>
      </c>
      <c r="E1623" t="s">
        <v>679</v>
      </c>
      <c r="F1623" s="245" t="s">
        <v>1187</v>
      </c>
    </row>
    <row r="1624" spans="1:16" x14ac:dyDescent="0.25">
      <c r="A1624" t="e">
        <v>#N/A</v>
      </c>
      <c r="B1624" s="3" t="e">
        <v>#N/A</v>
      </c>
      <c r="C1624" t="e">
        <v>#N/A</v>
      </c>
      <c r="D1624" t="e">
        <v>#N/A</v>
      </c>
      <c r="E1624" t="e">
        <v>#N/A</v>
      </c>
      <c r="F1624" s="232">
        <v>1</v>
      </c>
      <c r="M1624" t="s">
        <v>65</v>
      </c>
      <c r="N1624" t="s">
        <v>65</v>
      </c>
    </row>
    <row r="1625" spans="1:16" x14ac:dyDescent="0.25">
      <c r="C1625" t="s">
        <v>20</v>
      </c>
      <c r="D1625" t="s">
        <v>20</v>
      </c>
      <c r="E1625" t="s">
        <v>20</v>
      </c>
      <c r="G1625" t="s">
        <v>39</v>
      </c>
      <c r="H1625" t="s">
        <v>39</v>
      </c>
      <c r="I1625" t="s">
        <v>39</v>
      </c>
      <c r="J1625" t="s">
        <v>63</v>
      </c>
      <c r="K1625" t="s">
        <v>62</v>
      </c>
      <c r="L1625" t="s">
        <v>39</v>
      </c>
      <c r="M1625" t="s">
        <v>64</v>
      </c>
      <c r="N1625" t="s">
        <v>64</v>
      </c>
    </row>
    <row r="1626" spans="1:16" x14ac:dyDescent="0.25">
      <c r="A1626" t="s">
        <v>32</v>
      </c>
      <c r="B1626" s="3" t="s">
        <v>33</v>
      </c>
      <c r="C1626" t="s">
        <v>34</v>
      </c>
      <c r="D1626" t="s">
        <v>35</v>
      </c>
      <c r="E1626" t="s">
        <v>814</v>
      </c>
      <c r="F1626" t="s">
        <v>816</v>
      </c>
      <c r="G1626" t="s">
        <v>815</v>
      </c>
      <c r="H1626" t="s">
        <v>36</v>
      </c>
      <c r="I1626" t="s">
        <v>66</v>
      </c>
      <c r="J1626" t="s">
        <v>56</v>
      </c>
      <c r="K1626" t="s">
        <v>57</v>
      </c>
      <c r="L1626" t="s">
        <v>58</v>
      </c>
      <c r="M1626" t="s">
        <v>59</v>
      </c>
      <c r="N1626" t="s">
        <v>60</v>
      </c>
    </row>
    <row r="1627" spans="1:16" x14ac:dyDescent="0.25">
      <c r="A1627">
        <v>1</v>
      </c>
      <c r="B1627" s="3" t="e">
        <v>#N/A</v>
      </c>
      <c r="C1627" t="e">
        <v>#N/A</v>
      </c>
      <c r="D1627" t="e">
        <v>#N/A</v>
      </c>
      <c r="E1627" t="e">
        <v>#N/A</v>
      </c>
      <c r="F1627" t="e">
        <v>#N/A</v>
      </c>
      <c r="G1627" t="e">
        <v>#N/A</v>
      </c>
      <c r="H1627" t="e">
        <v>#N/A</v>
      </c>
      <c r="I1627" t="e">
        <v>#N/A</v>
      </c>
      <c r="J1627" t="e">
        <v>#N/A</v>
      </c>
      <c r="K1627" t="e">
        <v>#N/A</v>
      </c>
      <c r="L1627" t="e">
        <v>#N/A</v>
      </c>
      <c r="M1627" t="e">
        <v>#N/A</v>
      </c>
      <c r="N1627" t="e">
        <v>#N/A</v>
      </c>
    </row>
    <row r="1628" spans="1:16" x14ac:dyDescent="0.25">
      <c r="A1628">
        <v>2</v>
      </c>
      <c r="B1628" s="3" t="e">
        <v>#N/A</v>
      </c>
      <c r="C1628" t="e">
        <v>#N/A</v>
      </c>
      <c r="D1628" t="e">
        <v>#N/A</v>
      </c>
      <c r="E1628" t="e">
        <v>#N/A</v>
      </c>
      <c r="F1628" t="e">
        <v>#N/A</v>
      </c>
      <c r="G1628" t="e">
        <v>#N/A</v>
      </c>
      <c r="H1628" t="e">
        <v>#N/A</v>
      </c>
      <c r="I1628" t="e">
        <v>#N/A</v>
      </c>
      <c r="J1628" t="e">
        <v>#N/A</v>
      </c>
      <c r="K1628" t="e">
        <v>#N/A</v>
      </c>
      <c r="L1628" t="e">
        <v>#N/A</v>
      </c>
      <c r="M1628" t="e">
        <v>#N/A</v>
      </c>
      <c r="N1628" t="e">
        <v>#N/A</v>
      </c>
      <c r="P1628" t="s">
        <v>966</v>
      </c>
    </row>
    <row r="1629" spans="1:16" x14ac:dyDescent="0.25">
      <c r="A1629">
        <v>3</v>
      </c>
    </row>
    <row r="1630" spans="1:16" x14ac:dyDescent="0.25">
      <c r="A1630">
        <v>4</v>
      </c>
    </row>
    <row r="1631" spans="1:16" x14ac:dyDescent="0.25">
      <c r="A1631">
        <v>5</v>
      </c>
    </row>
    <row r="1632" spans="1:16" x14ac:dyDescent="0.25">
      <c r="A1632">
        <v>6</v>
      </c>
    </row>
    <row r="1633" spans="1:16" x14ac:dyDescent="0.25">
      <c r="A1633">
        <v>7</v>
      </c>
    </row>
    <row r="1634" spans="1:16" x14ac:dyDescent="0.25">
      <c r="A1634">
        <v>8</v>
      </c>
    </row>
    <row r="1635" spans="1:16" x14ac:dyDescent="0.25">
      <c r="A1635">
        <v>9</v>
      </c>
    </row>
    <row r="1636" spans="1:16" x14ac:dyDescent="0.25">
      <c r="A1636">
        <v>10</v>
      </c>
    </row>
    <row r="1639" spans="1:16" x14ac:dyDescent="0.25">
      <c r="A1639" t="s">
        <v>677</v>
      </c>
      <c r="N1639">
        <v>88</v>
      </c>
    </row>
    <row r="1640" spans="1:16" x14ac:dyDescent="0.25">
      <c r="A1640" t="s">
        <v>672</v>
      </c>
      <c r="C1640" t="s">
        <v>673</v>
      </c>
    </row>
    <row r="1641" spans="1:16" x14ac:dyDescent="0.25">
      <c r="A1641" t="s">
        <v>983</v>
      </c>
      <c r="C1641" t="e">
        <v>#N/A</v>
      </c>
      <c r="P1641">
        <v>1639</v>
      </c>
    </row>
    <row r="1642" spans="1:16" x14ac:dyDescent="0.25">
      <c r="A1642" t="s">
        <v>681</v>
      </c>
      <c r="B1642" s="3" t="s">
        <v>680</v>
      </c>
      <c r="C1642" t="s">
        <v>678</v>
      </c>
      <c r="D1642" t="s">
        <v>695</v>
      </c>
      <c r="E1642" t="s">
        <v>679</v>
      </c>
      <c r="F1642" s="245" t="s">
        <v>1187</v>
      </c>
    </row>
    <row r="1643" spans="1:16" x14ac:dyDescent="0.25">
      <c r="A1643" t="e">
        <v>#N/A</v>
      </c>
      <c r="B1643" s="3" t="e">
        <v>#N/A</v>
      </c>
      <c r="C1643" t="e">
        <v>#N/A</v>
      </c>
      <c r="D1643" t="e">
        <v>#N/A</v>
      </c>
      <c r="E1643" t="e">
        <v>#N/A</v>
      </c>
      <c r="F1643" s="232">
        <v>1</v>
      </c>
      <c r="M1643" t="s">
        <v>65</v>
      </c>
      <c r="N1643" t="s">
        <v>65</v>
      </c>
    </row>
    <row r="1644" spans="1:16" x14ac:dyDescent="0.25">
      <c r="C1644" t="s">
        <v>20</v>
      </c>
      <c r="D1644" t="s">
        <v>20</v>
      </c>
      <c r="E1644" t="s">
        <v>20</v>
      </c>
      <c r="G1644" t="s">
        <v>39</v>
      </c>
      <c r="H1644" t="s">
        <v>39</v>
      </c>
      <c r="I1644" t="s">
        <v>39</v>
      </c>
      <c r="J1644" t="s">
        <v>63</v>
      </c>
      <c r="K1644" t="s">
        <v>62</v>
      </c>
      <c r="L1644" t="s">
        <v>39</v>
      </c>
      <c r="M1644" t="s">
        <v>64</v>
      </c>
      <c r="N1644" t="s">
        <v>64</v>
      </c>
    </row>
    <row r="1645" spans="1:16" x14ac:dyDescent="0.25">
      <c r="A1645" t="s">
        <v>32</v>
      </c>
      <c r="B1645" s="3" t="s">
        <v>33</v>
      </c>
      <c r="C1645" t="s">
        <v>34</v>
      </c>
      <c r="D1645" t="s">
        <v>35</v>
      </c>
      <c r="E1645" t="s">
        <v>814</v>
      </c>
      <c r="F1645" t="s">
        <v>816</v>
      </c>
      <c r="G1645" t="s">
        <v>815</v>
      </c>
      <c r="H1645" t="s">
        <v>36</v>
      </c>
      <c r="I1645" t="s">
        <v>66</v>
      </c>
      <c r="J1645" t="s">
        <v>56</v>
      </c>
      <c r="K1645" t="s">
        <v>57</v>
      </c>
      <c r="L1645" t="s">
        <v>58</v>
      </c>
      <c r="M1645" t="s">
        <v>59</v>
      </c>
      <c r="N1645" t="s">
        <v>60</v>
      </c>
    </row>
    <row r="1646" spans="1:16" x14ac:dyDescent="0.25">
      <c r="A1646">
        <v>1</v>
      </c>
      <c r="B1646" s="3" t="e">
        <v>#N/A</v>
      </c>
      <c r="C1646" t="e">
        <v>#N/A</v>
      </c>
      <c r="D1646" t="e">
        <v>#N/A</v>
      </c>
      <c r="E1646" t="e">
        <v>#N/A</v>
      </c>
      <c r="F1646" t="e">
        <v>#N/A</v>
      </c>
      <c r="G1646" t="e">
        <v>#N/A</v>
      </c>
      <c r="H1646" t="e">
        <v>#N/A</v>
      </c>
      <c r="I1646" t="e">
        <v>#N/A</v>
      </c>
      <c r="J1646" t="e">
        <v>#N/A</v>
      </c>
      <c r="K1646" t="e">
        <v>#N/A</v>
      </c>
      <c r="L1646" t="e">
        <v>#N/A</v>
      </c>
      <c r="M1646" t="e">
        <v>#N/A</v>
      </c>
      <c r="N1646" t="e">
        <v>#N/A</v>
      </c>
    </row>
    <row r="1647" spans="1:16" x14ac:dyDescent="0.25">
      <c r="A1647">
        <v>2</v>
      </c>
      <c r="B1647" s="3" t="e">
        <v>#N/A</v>
      </c>
      <c r="C1647" t="e">
        <v>#N/A</v>
      </c>
      <c r="D1647" t="e">
        <v>#N/A</v>
      </c>
      <c r="E1647" t="e">
        <v>#N/A</v>
      </c>
      <c r="F1647" t="e">
        <v>#N/A</v>
      </c>
      <c r="G1647" t="e">
        <v>#N/A</v>
      </c>
      <c r="H1647" t="e">
        <v>#N/A</v>
      </c>
      <c r="I1647" t="e">
        <v>#N/A</v>
      </c>
      <c r="J1647" t="e">
        <v>#N/A</v>
      </c>
      <c r="K1647" t="e">
        <v>#N/A</v>
      </c>
      <c r="L1647" t="e">
        <v>#N/A</v>
      </c>
      <c r="M1647" t="e">
        <v>#N/A</v>
      </c>
      <c r="N1647" t="e">
        <v>#N/A</v>
      </c>
      <c r="P1647" t="s">
        <v>966</v>
      </c>
    </row>
    <row r="1648" spans="1:16" x14ac:dyDescent="0.25">
      <c r="A1648">
        <v>3</v>
      </c>
    </row>
    <row r="1649" spans="1:16" x14ac:dyDescent="0.25">
      <c r="A1649">
        <v>4</v>
      </c>
    </row>
    <row r="1650" spans="1:16" x14ac:dyDescent="0.25">
      <c r="A1650">
        <v>5</v>
      </c>
    </row>
    <row r="1651" spans="1:16" x14ac:dyDescent="0.25">
      <c r="A1651">
        <v>6</v>
      </c>
    </row>
    <row r="1652" spans="1:16" x14ac:dyDescent="0.25">
      <c r="A1652">
        <v>7</v>
      </c>
    </row>
    <row r="1653" spans="1:16" x14ac:dyDescent="0.25">
      <c r="A1653">
        <v>8</v>
      </c>
    </row>
    <row r="1654" spans="1:16" x14ac:dyDescent="0.25">
      <c r="A1654">
        <v>9</v>
      </c>
    </row>
    <row r="1655" spans="1:16" x14ac:dyDescent="0.25">
      <c r="A1655">
        <v>10</v>
      </c>
    </row>
    <row r="1658" spans="1:16" x14ac:dyDescent="0.25">
      <c r="A1658" t="s">
        <v>677</v>
      </c>
      <c r="N1658">
        <v>89</v>
      </c>
    </row>
    <row r="1659" spans="1:16" x14ac:dyDescent="0.25">
      <c r="A1659" t="s">
        <v>672</v>
      </c>
      <c r="C1659" t="s">
        <v>673</v>
      </c>
    </row>
    <row r="1660" spans="1:16" x14ac:dyDescent="0.25">
      <c r="A1660" t="s">
        <v>984</v>
      </c>
      <c r="C1660" t="e">
        <v>#N/A</v>
      </c>
      <c r="P1660">
        <v>1658</v>
      </c>
    </row>
    <row r="1661" spans="1:16" x14ac:dyDescent="0.25">
      <c r="A1661" t="s">
        <v>681</v>
      </c>
      <c r="B1661" s="3" t="s">
        <v>680</v>
      </c>
      <c r="C1661" t="s">
        <v>678</v>
      </c>
      <c r="D1661" t="s">
        <v>695</v>
      </c>
      <c r="E1661" t="s">
        <v>679</v>
      </c>
      <c r="F1661" s="245" t="s">
        <v>1187</v>
      </c>
    </row>
    <row r="1662" spans="1:16" x14ac:dyDescent="0.25">
      <c r="A1662" t="e">
        <v>#N/A</v>
      </c>
      <c r="B1662" s="3" t="e">
        <v>#N/A</v>
      </c>
      <c r="C1662" t="e">
        <v>#N/A</v>
      </c>
      <c r="D1662" t="e">
        <v>#N/A</v>
      </c>
      <c r="E1662" t="e">
        <v>#N/A</v>
      </c>
      <c r="F1662" s="232">
        <v>1</v>
      </c>
      <c r="M1662" t="s">
        <v>65</v>
      </c>
      <c r="N1662" t="s">
        <v>65</v>
      </c>
    </row>
    <row r="1663" spans="1:16" x14ac:dyDescent="0.25">
      <c r="C1663" t="s">
        <v>20</v>
      </c>
      <c r="D1663" t="s">
        <v>20</v>
      </c>
      <c r="E1663" t="s">
        <v>20</v>
      </c>
      <c r="G1663" t="s">
        <v>39</v>
      </c>
      <c r="H1663" t="s">
        <v>39</v>
      </c>
      <c r="I1663" t="s">
        <v>39</v>
      </c>
      <c r="J1663" t="s">
        <v>63</v>
      </c>
      <c r="K1663" t="s">
        <v>62</v>
      </c>
      <c r="L1663" t="s">
        <v>39</v>
      </c>
      <c r="M1663" t="s">
        <v>64</v>
      </c>
      <c r="N1663" t="s">
        <v>64</v>
      </c>
    </row>
    <row r="1664" spans="1:16" x14ac:dyDescent="0.25">
      <c r="A1664" t="s">
        <v>32</v>
      </c>
      <c r="B1664" s="3" t="s">
        <v>33</v>
      </c>
      <c r="C1664" t="s">
        <v>34</v>
      </c>
      <c r="D1664" t="s">
        <v>35</v>
      </c>
      <c r="E1664" t="s">
        <v>814</v>
      </c>
      <c r="F1664" t="s">
        <v>816</v>
      </c>
      <c r="G1664" t="s">
        <v>815</v>
      </c>
      <c r="H1664" t="s">
        <v>36</v>
      </c>
      <c r="I1664" t="s">
        <v>66</v>
      </c>
      <c r="J1664" t="s">
        <v>56</v>
      </c>
      <c r="K1664" t="s">
        <v>57</v>
      </c>
      <c r="L1664" t="s">
        <v>58</v>
      </c>
      <c r="M1664" t="s">
        <v>59</v>
      </c>
      <c r="N1664" t="s">
        <v>60</v>
      </c>
    </row>
    <row r="1665" spans="1:16" x14ac:dyDescent="0.25">
      <c r="A1665">
        <v>1</v>
      </c>
      <c r="B1665" s="3" t="e">
        <v>#N/A</v>
      </c>
      <c r="C1665" t="e">
        <v>#N/A</v>
      </c>
      <c r="D1665" t="e">
        <v>#N/A</v>
      </c>
      <c r="E1665" t="e">
        <v>#N/A</v>
      </c>
      <c r="F1665" t="e">
        <v>#N/A</v>
      </c>
      <c r="G1665" t="e">
        <v>#N/A</v>
      </c>
      <c r="H1665" t="e">
        <v>#N/A</v>
      </c>
      <c r="I1665" t="e">
        <v>#N/A</v>
      </c>
      <c r="J1665" t="e">
        <v>#N/A</v>
      </c>
      <c r="K1665" t="e">
        <v>#N/A</v>
      </c>
      <c r="L1665" t="e">
        <v>#N/A</v>
      </c>
      <c r="M1665" t="e">
        <v>#N/A</v>
      </c>
      <c r="N1665" t="e">
        <v>#N/A</v>
      </c>
    </row>
    <row r="1666" spans="1:16" x14ac:dyDescent="0.25">
      <c r="A1666">
        <v>2</v>
      </c>
      <c r="B1666" s="3" t="e">
        <v>#N/A</v>
      </c>
      <c r="C1666" t="e">
        <v>#N/A</v>
      </c>
      <c r="D1666" t="e">
        <v>#N/A</v>
      </c>
      <c r="E1666" t="e">
        <v>#N/A</v>
      </c>
      <c r="F1666" t="e">
        <v>#N/A</v>
      </c>
      <c r="G1666" t="e">
        <v>#N/A</v>
      </c>
      <c r="H1666" t="e">
        <v>#N/A</v>
      </c>
      <c r="I1666" t="e">
        <v>#N/A</v>
      </c>
      <c r="J1666" t="e">
        <v>#N/A</v>
      </c>
      <c r="K1666" t="e">
        <v>#N/A</v>
      </c>
      <c r="L1666" t="e">
        <v>#N/A</v>
      </c>
      <c r="M1666" t="e">
        <v>#N/A</v>
      </c>
      <c r="N1666" t="e">
        <v>#N/A</v>
      </c>
      <c r="P1666" t="s">
        <v>966</v>
      </c>
    </row>
    <row r="1667" spans="1:16" x14ac:dyDescent="0.25">
      <c r="A1667">
        <v>3</v>
      </c>
    </row>
    <row r="1668" spans="1:16" x14ac:dyDescent="0.25">
      <c r="A1668">
        <v>4</v>
      </c>
    </row>
    <row r="1669" spans="1:16" x14ac:dyDescent="0.25">
      <c r="A1669">
        <v>5</v>
      </c>
    </row>
    <row r="1670" spans="1:16" x14ac:dyDescent="0.25">
      <c r="A1670">
        <v>6</v>
      </c>
    </row>
    <row r="1671" spans="1:16" x14ac:dyDescent="0.25">
      <c r="A1671">
        <v>7</v>
      </c>
    </row>
    <row r="1672" spans="1:16" x14ac:dyDescent="0.25">
      <c r="A1672">
        <v>8</v>
      </c>
    </row>
    <row r="1673" spans="1:16" x14ac:dyDescent="0.25">
      <c r="A1673">
        <v>9</v>
      </c>
    </row>
    <row r="1674" spans="1:16" x14ac:dyDescent="0.25">
      <c r="A1674">
        <v>10</v>
      </c>
    </row>
    <row r="1677" spans="1:16" x14ac:dyDescent="0.25">
      <c r="A1677" t="s">
        <v>677</v>
      </c>
      <c r="N1677">
        <v>90</v>
      </c>
    </row>
    <row r="1678" spans="1:16" x14ac:dyDescent="0.25">
      <c r="A1678" t="s">
        <v>672</v>
      </c>
      <c r="C1678" t="s">
        <v>673</v>
      </c>
    </row>
    <row r="1679" spans="1:16" x14ac:dyDescent="0.25">
      <c r="A1679" t="s">
        <v>985</v>
      </c>
      <c r="C1679" t="e">
        <v>#N/A</v>
      </c>
      <c r="P1679">
        <v>1677</v>
      </c>
    </row>
    <row r="1680" spans="1:16" x14ac:dyDescent="0.25">
      <c r="A1680" t="s">
        <v>681</v>
      </c>
      <c r="B1680" s="3" t="s">
        <v>680</v>
      </c>
      <c r="C1680" t="s">
        <v>678</v>
      </c>
      <c r="D1680" t="s">
        <v>695</v>
      </c>
      <c r="E1680" t="s">
        <v>679</v>
      </c>
      <c r="F1680" s="245" t="s">
        <v>1187</v>
      </c>
    </row>
    <row r="1681" spans="1:16" x14ac:dyDescent="0.25">
      <c r="A1681" t="e">
        <v>#N/A</v>
      </c>
      <c r="B1681" s="3" t="e">
        <v>#N/A</v>
      </c>
      <c r="C1681" t="e">
        <v>#N/A</v>
      </c>
      <c r="D1681" t="e">
        <v>#N/A</v>
      </c>
      <c r="E1681" t="e">
        <v>#N/A</v>
      </c>
      <c r="F1681" s="232">
        <v>1</v>
      </c>
      <c r="M1681" t="s">
        <v>65</v>
      </c>
      <c r="N1681" t="s">
        <v>65</v>
      </c>
    </row>
    <row r="1682" spans="1:16" x14ac:dyDescent="0.25">
      <c r="C1682" t="s">
        <v>20</v>
      </c>
      <c r="D1682" t="s">
        <v>20</v>
      </c>
      <c r="E1682" t="s">
        <v>20</v>
      </c>
      <c r="G1682" t="s">
        <v>39</v>
      </c>
      <c r="H1682" t="s">
        <v>39</v>
      </c>
      <c r="I1682" t="s">
        <v>39</v>
      </c>
      <c r="J1682" t="s">
        <v>63</v>
      </c>
      <c r="K1682" t="s">
        <v>62</v>
      </c>
      <c r="L1682" t="s">
        <v>39</v>
      </c>
      <c r="M1682" t="s">
        <v>64</v>
      </c>
      <c r="N1682" t="s">
        <v>64</v>
      </c>
    </row>
    <row r="1683" spans="1:16" x14ac:dyDescent="0.25">
      <c r="A1683" t="s">
        <v>32</v>
      </c>
      <c r="B1683" s="3" t="s">
        <v>33</v>
      </c>
      <c r="C1683" t="s">
        <v>34</v>
      </c>
      <c r="D1683" t="s">
        <v>35</v>
      </c>
      <c r="E1683" t="s">
        <v>814</v>
      </c>
      <c r="F1683" t="s">
        <v>816</v>
      </c>
      <c r="G1683" t="s">
        <v>815</v>
      </c>
      <c r="H1683" t="s">
        <v>36</v>
      </c>
      <c r="I1683" t="s">
        <v>66</v>
      </c>
      <c r="J1683" t="s">
        <v>56</v>
      </c>
      <c r="K1683" t="s">
        <v>57</v>
      </c>
      <c r="L1683" t="s">
        <v>58</v>
      </c>
      <c r="M1683" t="s">
        <v>59</v>
      </c>
      <c r="N1683" t="s">
        <v>60</v>
      </c>
    </row>
    <row r="1684" spans="1:16" x14ac:dyDescent="0.25">
      <c r="A1684">
        <v>1</v>
      </c>
      <c r="B1684" s="3" t="e">
        <v>#N/A</v>
      </c>
      <c r="C1684" t="e">
        <v>#N/A</v>
      </c>
      <c r="D1684" t="e">
        <v>#N/A</v>
      </c>
      <c r="E1684" t="e">
        <v>#N/A</v>
      </c>
      <c r="F1684" t="e">
        <v>#N/A</v>
      </c>
      <c r="G1684" t="e">
        <v>#N/A</v>
      </c>
      <c r="H1684" t="e">
        <v>#N/A</v>
      </c>
      <c r="I1684" t="e">
        <v>#N/A</v>
      </c>
      <c r="J1684" t="e">
        <v>#N/A</v>
      </c>
      <c r="K1684" t="e">
        <v>#N/A</v>
      </c>
      <c r="L1684" t="e">
        <v>#N/A</v>
      </c>
      <c r="M1684" t="e">
        <v>#N/A</v>
      </c>
      <c r="N1684" t="e">
        <v>#N/A</v>
      </c>
    </row>
    <row r="1685" spans="1:16" x14ac:dyDescent="0.25">
      <c r="A1685">
        <v>2</v>
      </c>
      <c r="B1685" s="3" t="e">
        <v>#N/A</v>
      </c>
      <c r="C1685" t="e">
        <v>#N/A</v>
      </c>
      <c r="D1685" t="e">
        <v>#N/A</v>
      </c>
      <c r="E1685" t="e">
        <v>#N/A</v>
      </c>
      <c r="F1685" t="e">
        <v>#N/A</v>
      </c>
      <c r="G1685" t="e">
        <v>#N/A</v>
      </c>
      <c r="H1685" t="e">
        <v>#N/A</v>
      </c>
      <c r="I1685" t="e">
        <v>#N/A</v>
      </c>
      <c r="J1685" t="e">
        <v>#N/A</v>
      </c>
      <c r="K1685" t="e">
        <v>#N/A</v>
      </c>
      <c r="L1685" t="e">
        <v>#N/A</v>
      </c>
      <c r="M1685" t="e">
        <v>#N/A</v>
      </c>
      <c r="N1685" t="e">
        <v>#N/A</v>
      </c>
      <c r="P1685" t="s">
        <v>966</v>
      </c>
    </row>
    <row r="1686" spans="1:16" x14ac:dyDescent="0.25">
      <c r="A1686">
        <v>3</v>
      </c>
    </row>
    <row r="1687" spans="1:16" x14ac:dyDescent="0.25">
      <c r="A1687">
        <v>4</v>
      </c>
    </row>
    <row r="1688" spans="1:16" x14ac:dyDescent="0.25">
      <c r="A1688">
        <v>5</v>
      </c>
    </row>
    <row r="1689" spans="1:16" x14ac:dyDescent="0.25">
      <c r="A1689">
        <v>6</v>
      </c>
    </row>
    <row r="1690" spans="1:16" x14ac:dyDescent="0.25">
      <c r="A1690">
        <v>7</v>
      </c>
    </row>
    <row r="1691" spans="1:16" x14ac:dyDescent="0.25">
      <c r="A1691">
        <v>8</v>
      </c>
    </row>
    <row r="1692" spans="1:16" x14ac:dyDescent="0.25">
      <c r="A1692">
        <v>9</v>
      </c>
    </row>
    <row r="1693" spans="1:16" x14ac:dyDescent="0.25">
      <c r="A1693">
        <v>10</v>
      </c>
    </row>
  </sheetData>
  <autoFilter ref="A1:S1693" xr:uid="{8DAB4F39-7B0A-4CDC-BE33-144416A30CE6}"/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107"/>
  <sheetViews>
    <sheetView zoomScale="80" zoomScaleNormal="80" workbookViewId="0">
      <pane xSplit="2" ySplit="6" topLeftCell="D7" activePane="bottomRight" state="frozen"/>
      <selection pane="topRight" activeCell="E1" sqref="E1"/>
      <selection pane="bottomLeft" activeCell="A7" sqref="A7"/>
      <selection pane="bottomRight" activeCell="D4" sqref="D4"/>
    </sheetView>
  </sheetViews>
  <sheetFormatPr baseColWidth="10" defaultColWidth="8.81640625" defaultRowHeight="12.5" x14ac:dyDescent="0.25"/>
  <cols>
    <col min="1" max="1" width="14.54296875" customWidth="1"/>
    <col min="2" max="2" width="16" style="10" customWidth="1"/>
    <col min="4" max="4" width="11.453125" style="3" customWidth="1"/>
    <col min="6" max="8" width="11.81640625" style="14" customWidth="1"/>
    <col min="9" max="9" width="11.81640625" customWidth="1"/>
    <col min="10" max="10" width="24.36328125" style="14" customWidth="1"/>
    <col min="11" max="11" width="13" style="10" customWidth="1"/>
    <col min="12" max="14" width="11.81640625" style="14" customWidth="1"/>
    <col min="15" max="15" width="11.453125" style="198" customWidth="1"/>
    <col min="16" max="17" width="11.81640625" style="14" customWidth="1"/>
    <col min="19" max="19" width="17.90625" customWidth="1"/>
    <col min="20" max="20" width="11" style="10" customWidth="1"/>
    <col min="21" max="21" width="19.90625" style="3" customWidth="1"/>
  </cols>
  <sheetData>
    <row r="1" spans="1:21" s="162" customFormat="1" x14ac:dyDescent="0.25">
      <c r="A1" s="161"/>
      <c r="B1" s="161"/>
      <c r="D1" s="161"/>
      <c r="F1" s="161"/>
      <c r="G1" s="161"/>
      <c r="H1" s="161"/>
      <c r="I1"/>
      <c r="J1" s="161">
        <v>7</v>
      </c>
      <c r="K1" s="161">
        <v>8</v>
      </c>
      <c r="L1" s="161"/>
      <c r="M1" s="161"/>
      <c r="N1" s="161"/>
      <c r="O1" s="161"/>
      <c r="P1" s="161"/>
      <c r="Q1" s="161"/>
      <c r="R1" s="161"/>
      <c r="S1" s="161">
        <v>15</v>
      </c>
      <c r="T1" s="161">
        <v>16</v>
      </c>
      <c r="U1" s="161">
        <v>17</v>
      </c>
    </row>
    <row r="2" spans="1:21" x14ac:dyDescent="0.25">
      <c r="F2" s="10"/>
      <c r="G2" s="10"/>
      <c r="H2" s="10"/>
      <c r="J2"/>
      <c r="L2" s="10"/>
      <c r="M2" s="10"/>
      <c r="N2" s="10"/>
      <c r="O2" s="204"/>
      <c r="P2" s="10"/>
      <c r="Q2" s="10"/>
      <c r="S2" s="10"/>
      <c r="T2"/>
      <c r="U2" s="10"/>
    </row>
    <row r="3" spans="1:21" x14ac:dyDescent="0.25">
      <c r="D3" s="161"/>
      <c r="F3" s="161"/>
      <c r="G3" s="162"/>
      <c r="H3" s="161"/>
      <c r="J3" s="160"/>
      <c r="K3" s="225"/>
      <c r="L3" s="162"/>
      <c r="M3" s="161"/>
      <c r="N3" s="162"/>
      <c r="O3" s="161"/>
      <c r="P3" s="162"/>
      <c r="Q3" s="161"/>
    </row>
    <row r="4" spans="1:21" ht="13" x14ac:dyDescent="0.3">
      <c r="A4" s="66" t="s">
        <v>682</v>
      </c>
      <c r="D4" s="216">
        <f>COLUMN()</f>
        <v>4</v>
      </c>
      <c r="E4" s="216"/>
      <c r="F4" s="216">
        <f>COLUMN()</f>
        <v>6</v>
      </c>
      <c r="G4" s="216"/>
      <c r="H4" s="216">
        <f>COLUMN()</f>
        <v>8</v>
      </c>
      <c r="J4" s="13"/>
      <c r="K4" s="32"/>
      <c r="L4" s="216"/>
      <c r="M4" s="216">
        <f>COLUMN()</f>
        <v>13</v>
      </c>
      <c r="N4" s="216"/>
      <c r="O4" s="216">
        <f>COLUMN()</f>
        <v>15</v>
      </c>
      <c r="P4" s="216"/>
      <c r="Q4" s="216">
        <f>COLUMN()</f>
        <v>17</v>
      </c>
      <c r="R4" s="216"/>
      <c r="S4" s="248"/>
    </row>
    <row r="5" spans="1:21" ht="15.5" x14ac:dyDescent="0.35">
      <c r="A5" s="68" t="s">
        <v>0</v>
      </c>
      <c r="D5" s="199" t="s">
        <v>989</v>
      </c>
      <c r="F5" s="199" t="s">
        <v>989</v>
      </c>
      <c r="G5"/>
      <c r="H5" s="199" t="s">
        <v>989</v>
      </c>
      <c r="J5" s="226" t="s">
        <v>1169</v>
      </c>
      <c r="L5"/>
      <c r="M5" s="207" t="s">
        <v>990</v>
      </c>
      <c r="N5"/>
      <c r="O5" s="199" t="s">
        <v>989</v>
      </c>
      <c r="P5"/>
      <c r="Q5" s="199" t="s">
        <v>989</v>
      </c>
      <c r="S5" s="68" t="s">
        <v>0</v>
      </c>
      <c r="U5" s="249" t="s">
        <v>1211</v>
      </c>
    </row>
    <row r="6" spans="1:21" ht="13" x14ac:dyDescent="0.3">
      <c r="A6" s="19" t="s">
        <v>23</v>
      </c>
      <c r="B6" s="32"/>
      <c r="D6" s="200" t="s">
        <v>826</v>
      </c>
      <c r="F6" s="200" t="s">
        <v>993</v>
      </c>
      <c r="G6" s="217"/>
      <c r="H6" s="200" t="s">
        <v>994</v>
      </c>
      <c r="J6" s="227" t="s">
        <v>1170</v>
      </c>
      <c r="K6" s="32"/>
      <c r="L6" s="217"/>
      <c r="M6" s="170" t="s">
        <v>995</v>
      </c>
      <c r="N6" s="217"/>
      <c r="O6" s="200" t="s">
        <v>991</v>
      </c>
      <c r="P6" s="217"/>
      <c r="Q6" s="200" t="s">
        <v>992</v>
      </c>
      <c r="S6" s="19" t="s">
        <v>23</v>
      </c>
      <c r="T6" s="32"/>
      <c r="U6" s="250" t="s">
        <v>1212</v>
      </c>
    </row>
    <row r="7" spans="1:21" ht="14.5" x14ac:dyDescent="0.35">
      <c r="A7" s="149" t="s">
        <v>24</v>
      </c>
      <c r="B7" s="36" t="s">
        <v>40</v>
      </c>
      <c r="D7" s="205">
        <v>118</v>
      </c>
      <c r="F7" s="205">
        <v>110</v>
      </c>
      <c r="G7"/>
      <c r="H7" s="205">
        <v>110</v>
      </c>
      <c r="J7" s="228" t="s">
        <v>24</v>
      </c>
      <c r="K7" s="171" t="s">
        <v>40</v>
      </c>
      <c r="L7"/>
      <c r="M7" s="172">
        <v>46</v>
      </c>
      <c r="N7"/>
      <c r="O7" s="205">
        <v>0</v>
      </c>
      <c r="P7"/>
      <c r="Q7" s="205">
        <v>0</v>
      </c>
      <c r="S7" s="251" t="s">
        <v>24</v>
      </c>
      <c r="T7" s="171" t="s">
        <v>40</v>
      </c>
      <c r="U7" s="252">
        <v>38.9</v>
      </c>
    </row>
    <row r="8" spans="1:21" ht="14.5" x14ac:dyDescent="0.35">
      <c r="A8" s="149" t="s">
        <v>25</v>
      </c>
      <c r="B8" s="36" t="s">
        <v>39</v>
      </c>
      <c r="D8" s="205">
        <v>1</v>
      </c>
      <c r="F8" s="205">
        <v>1</v>
      </c>
      <c r="G8"/>
      <c r="H8" s="205">
        <v>1</v>
      </c>
      <c r="J8" s="228" t="s">
        <v>25</v>
      </c>
      <c r="K8" s="171" t="s">
        <v>39</v>
      </c>
      <c r="L8"/>
      <c r="M8" s="172">
        <v>1</v>
      </c>
      <c r="N8"/>
      <c r="O8" s="205">
        <v>0</v>
      </c>
      <c r="P8"/>
      <c r="Q8" s="205">
        <v>0</v>
      </c>
      <c r="S8" s="251" t="s">
        <v>25</v>
      </c>
      <c r="T8" s="171" t="s">
        <v>39</v>
      </c>
      <c r="U8" s="252">
        <v>1</v>
      </c>
    </row>
    <row r="9" spans="1:21" ht="14.5" x14ac:dyDescent="0.35">
      <c r="A9" s="149" t="s">
        <v>1168</v>
      </c>
      <c r="B9" s="107" t="s">
        <v>644</v>
      </c>
      <c r="D9" s="205">
        <v>2.5</v>
      </c>
      <c r="F9" s="205">
        <v>2.34</v>
      </c>
      <c r="G9"/>
      <c r="H9" s="205">
        <v>2.34</v>
      </c>
      <c r="J9" s="228" t="s">
        <v>1168</v>
      </c>
      <c r="K9" s="171" t="s">
        <v>39</v>
      </c>
      <c r="L9"/>
      <c r="M9" s="172">
        <v>2</v>
      </c>
      <c r="N9"/>
      <c r="O9" s="205">
        <v>0</v>
      </c>
      <c r="P9"/>
      <c r="Q9" s="205">
        <v>0</v>
      </c>
      <c r="S9" s="251" t="s">
        <v>1168</v>
      </c>
      <c r="T9" s="37" t="s">
        <v>1213</v>
      </c>
      <c r="U9" s="252">
        <v>2.9</v>
      </c>
    </row>
    <row r="10" spans="1:21" ht="14.5" x14ac:dyDescent="0.35">
      <c r="A10" s="149"/>
      <c r="B10" s="107"/>
      <c r="D10" s="205"/>
      <c r="F10" s="205"/>
      <c r="G10"/>
      <c r="H10" s="205"/>
      <c r="J10" s="228"/>
      <c r="K10" s="171"/>
      <c r="L10"/>
      <c r="M10" s="172"/>
      <c r="N10"/>
      <c r="O10" s="205"/>
      <c r="P10"/>
      <c r="Q10" s="205"/>
      <c r="S10" s="251"/>
      <c r="T10" s="37"/>
      <c r="U10" s="252"/>
    </row>
    <row r="11" spans="1:21" ht="14.5" x14ac:dyDescent="0.35">
      <c r="A11" s="149"/>
      <c r="B11" s="107"/>
      <c r="D11" s="205"/>
      <c r="F11" s="205"/>
      <c r="G11"/>
      <c r="H11" s="205"/>
      <c r="J11" s="228"/>
      <c r="K11" s="171"/>
      <c r="L11"/>
      <c r="M11" s="172"/>
      <c r="N11"/>
      <c r="O11" s="205"/>
      <c r="P11"/>
      <c r="Q11" s="205"/>
      <c r="S11" s="251"/>
      <c r="T11" s="37"/>
      <c r="U11" s="252"/>
    </row>
    <row r="12" spans="1:21" ht="14.5" x14ac:dyDescent="0.35">
      <c r="A12" s="149" t="s">
        <v>26</v>
      </c>
      <c r="B12" s="36" t="s">
        <v>41</v>
      </c>
      <c r="D12" s="205">
        <v>0.02</v>
      </c>
      <c r="F12" s="205">
        <v>0.02</v>
      </c>
      <c r="G12"/>
      <c r="H12" s="205">
        <v>0.02</v>
      </c>
      <c r="J12" s="228" t="s">
        <v>26</v>
      </c>
      <c r="K12" s="171" t="s">
        <v>41</v>
      </c>
      <c r="L12"/>
      <c r="M12" s="172">
        <v>1.61E-2</v>
      </c>
      <c r="N12"/>
      <c r="O12" s="205">
        <v>0</v>
      </c>
      <c r="P12"/>
      <c r="Q12" s="205">
        <v>0</v>
      </c>
      <c r="S12" s="251" t="s">
        <v>26</v>
      </c>
      <c r="T12" s="171" t="s">
        <v>41</v>
      </c>
      <c r="U12" s="252">
        <v>2.1999999999999999E-2</v>
      </c>
    </row>
    <row r="13" spans="1:21" ht="14.5" x14ac:dyDescent="0.35">
      <c r="A13" s="149" t="s">
        <v>792</v>
      </c>
      <c r="B13" s="36" t="s">
        <v>21</v>
      </c>
      <c r="D13" s="205">
        <v>-5</v>
      </c>
      <c r="F13" s="205">
        <v>-5</v>
      </c>
      <c r="G13"/>
      <c r="H13" s="205">
        <v>-5</v>
      </c>
      <c r="J13" s="228" t="s">
        <v>792</v>
      </c>
      <c r="K13" s="171" t="s">
        <v>21</v>
      </c>
      <c r="L13"/>
      <c r="M13" s="172">
        <v>-5</v>
      </c>
      <c r="N13"/>
      <c r="O13" s="205">
        <v>0</v>
      </c>
      <c r="P13"/>
      <c r="Q13" s="205">
        <v>0</v>
      </c>
      <c r="S13" s="251" t="s">
        <v>792</v>
      </c>
      <c r="T13" s="171" t="s">
        <v>21</v>
      </c>
      <c r="U13" s="253">
        <v>8</v>
      </c>
    </row>
    <row r="14" spans="1:21" ht="14.5" x14ac:dyDescent="0.35">
      <c r="A14" s="150" t="s">
        <v>794</v>
      </c>
      <c r="B14" s="36" t="s">
        <v>651</v>
      </c>
      <c r="D14" s="205">
        <v>0.01</v>
      </c>
      <c r="F14" s="205">
        <v>0.01</v>
      </c>
      <c r="G14"/>
      <c r="H14" s="205">
        <v>0.01</v>
      </c>
      <c r="J14" s="229" t="s">
        <v>794</v>
      </c>
      <c r="K14" s="171" t="s">
        <v>651</v>
      </c>
      <c r="L14"/>
      <c r="M14" s="172">
        <v>0</v>
      </c>
      <c r="N14"/>
      <c r="O14" s="205">
        <v>0</v>
      </c>
      <c r="P14"/>
      <c r="Q14" s="205">
        <v>0</v>
      </c>
      <c r="S14" s="155" t="s">
        <v>794</v>
      </c>
      <c r="T14" s="171" t="s">
        <v>651</v>
      </c>
      <c r="U14" s="253">
        <v>0.01</v>
      </c>
    </row>
    <row r="15" spans="1:21" ht="14.5" x14ac:dyDescent="0.35">
      <c r="A15" s="149" t="s">
        <v>791</v>
      </c>
      <c r="B15" s="36" t="s">
        <v>21</v>
      </c>
      <c r="D15" s="205">
        <v>30</v>
      </c>
      <c r="F15" s="205">
        <v>30</v>
      </c>
      <c r="G15"/>
      <c r="H15" s="205">
        <v>30</v>
      </c>
      <c r="J15" s="228" t="s">
        <v>791</v>
      </c>
      <c r="K15" s="171" t="s">
        <v>21</v>
      </c>
      <c r="L15"/>
      <c r="M15" s="172">
        <v>0</v>
      </c>
      <c r="N15"/>
      <c r="O15" s="205">
        <v>0</v>
      </c>
      <c r="P15"/>
      <c r="Q15" s="205">
        <v>0</v>
      </c>
      <c r="S15" s="251" t="s">
        <v>791</v>
      </c>
      <c r="T15" s="171" t="s">
        <v>21</v>
      </c>
      <c r="U15" s="253">
        <v>37</v>
      </c>
    </row>
    <row r="16" spans="1:21" ht="14.5" x14ac:dyDescent="0.35">
      <c r="A16" s="149" t="s">
        <v>793</v>
      </c>
      <c r="B16" s="36"/>
      <c r="D16" s="205">
        <v>0.1</v>
      </c>
      <c r="F16" s="205">
        <v>0.1</v>
      </c>
      <c r="G16"/>
      <c r="H16" s="205">
        <v>0.1</v>
      </c>
      <c r="J16" s="228" t="s">
        <v>793</v>
      </c>
      <c r="K16" s="171"/>
      <c r="L16"/>
      <c r="M16" s="172">
        <v>0</v>
      </c>
      <c r="N16"/>
      <c r="O16" s="205">
        <v>0</v>
      </c>
      <c r="P16"/>
      <c r="Q16" s="205">
        <v>0</v>
      </c>
      <c r="S16" s="251" t="s">
        <v>793</v>
      </c>
      <c r="T16" s="171"/>
      <c r="U16" s="253">
        <v>0.1</v>
      </c>
    </row>
    <row r="17" spans="1:21" ht="14.5" x14ac:dyDescent="0.35">
      <c r="A17" s="149"/>
      <c r="B17" s="36"/>
      <c r="D17" s="205"/>
      <c r="F17" s="205"/>
      <c r="G17"/>
      <c r="H17" s="205"/>
      <c r="J17" s="228"/>
      <c r="K17" s="171"/>
      <c r="L17"/>
      <c r="M17" s="172"/>
      <c r="N17"/>
      <c r="O17" s="205"/>
      <c r="P17"/>
      <c r="Q17" s="205"/>
      <c r="S17" s="251"/>
      <c r="T17" s="171"/>
      <c r="U17" s="254"/>
    </row>
    <row r="18" spans="1:21" ht="14.5" x14ac:dyDescent="0.35">
      <c r="A18" s="149" t="s">
        <v>8</v>
      </c>
      <c r="B18" s="36" t="s">
        <v>21</v>
      </c>
      <c r="D18" s="205">
        <v>0</v>
      </c>
      <c r="F18" s="205">
        <v>0</v>
      </c>
      <c r="G18"/>
      <c r="H18" s="205">
        <v>0</v>
      </c>
      <c r="J18" s="228" t="s">
        <v>8</v>
      </c>
      <c r="K18" s="171" t="s">
        <v>21</v>
      </c>
      <c r="L18"/>
      <c r="M18" s="172">
        <v>2</v>
      </c>
      <c r="N18"/>
      <c r="O18" s="205">
        <v>0</v>
      </c>
      <c r="P18"/>
      <c r="Q18" s="205">
        <v>0</v>
      </c>
      <c r="S18" s="251" t="s">
        <v>8</v>
      </c>
      <c r="T18" s="171" t="s">
        <v>21</v>
      </c>
      <c r="U18" s="252">
        <v>10</v>
      </c>
    </row>
    <row r="19" spans="1:21" ht="14.5" x14ac:dyDescent="0.35">
      <c r="A19" s="149" t="s">
        <v>9</v>
      </c>
      <c r="B19" s="36" t="s">
        <v>21</v>
      </c>
      <c r="D19" s="205">
        <v>15</v>
      </c>
      <c r="F19" s="205">
        <v>15</v>
      </c>
      <c r="G19"/>
      <c r="H19" s="205">
        <v>15</v>
      </c>
      <c r="J19" s="228" t="s">
        <v>9</v>
      </c>
      <c r="K19" s="171" t="s">
        <v>21</v>
      </c>
      <c r="L19"/>
      <c r="M19" s="172">
        <v>14</v>
      </c>
      <c r="N19"/>
      <c r="O19" s="205">
        <v>0</v>
      </c>
      <c r="P19"/>
      <c r="Q19" s="205">
        <v>0</v>
      </c>
      <c r="S19" s="251" t="s">
        <v>9</v>
      </c>
      <c r="T19" s="171" t="s">
        <v>21</v>
      </c>
      <c r="U19" s="252">
        <v>25</v>
      </c>
    </row>
    <row r="20" spans="1:21" ht="14.5" x14ac:dyDescent="0.35">
      <c r="A20" s="149" t="s">
        <v>10</v>
      </c>
      <c r="B20" s="36" t="s">
        <v>21</v>
      </c>
      <c r="D20" s="205">
        <v>22</v>
      </c>
      <c r="F20" s="205">
        <v>22</v>
      </c>
      <c r="G20"/>
      <c r="H20" s="205">
        <v>22</v>
      </c>
      <c r="J20" s="228" t="s">
        <v>10</v>
      </c>
      <c r="K20" s="171" t="s">
        <v>21</v>
      </c>
      <c r="L20"/>
      <c r="M20" s="172">
        <v>30</v>
      </c>
      <c r="N20"/>
      <c r="O20" s="205">
        <v>0</v>
      </c>
      <c r="P20"/>
      <c r="Q20" s="205">
        <v>0</v>
      </c>
      <c r="S20" s="251" t="s">
        <v>10</v>
      </c>
      <c r="T20" s="171" t="s">
        <v>21</v>
      </c>
      <c r="U20" s="252">
        <v>35</v>
      </c>
    </row>
    <row r="21" spans="1:21" ht="14.5" x14ac:dyDescent="0.35">
      <c r="A21" s="149" t="s">
        <v>11</v>
      </c>
      <c r="B21" s="36" t="s">
        <v>21</v>
      </c>
      <c r="D21" s="205">
        <v>35</v>
      </c>
      <c r="F21" s="205">
        <v>35</v>
      </c>
      <c r="G21"/>
      <c r="H21" s="205">
        <v>35</v>
      </c>
      <c r="J21" s="228" t="s">
        <v>11</v>
      </c>
      <c r="K21" s="171" t="s">
        <v>21</v>
      </c>
      <c r="L21"/>
      <c r="M21" s="172">
        <v>38</v>
      </c>
      <c r="N21"/>
      <c r="O21" s="205">
        <v>0</v>
      </c>
      <c r="P21"/>
      <c r="Q21" s="205">
        <v>0</v>
      </c>
      <c r="S21" s="251" t="s">
        <v>11</v>
      </c>
      <c r="T21" s="171" t="s">
        <v>21</v>
      </c>
      <c r="U21" s="252">
        <v>45</v>
      </c>
    </row>
    <row r="22" spans="1:21" ht="14.5" x14ac:dyDescent="0.35">
      <c r="A22" s="149" t="s">
        <v>12</v>
      </c>
      <c r="B22" s="36" t="s">
        <v>39</v>
      </c>
      <c r="D22" s="205">
        <v>0.65</v>
      </c>
      <c r="F22" s="205">
        <v>0.65</v>
      </c>
      <c r="G22"/>
      <c r="H22" s="205">
        <v>0.65</v>
      </c>
      <c r="J22" s="228" t="s">
        <v>12</v>
      </c>
      <c r="K22" s="171" t="s">
        <v>39</v>
      </c>
      <c r="L22"/>
      <c r="M22" s="172">
        <v>0.65</v>
      </c>
      <c r="N22"/>
      <c r="O22" s="205">
        <v>0</v>
      </c>
      <c r="P22"/>
      <c r="Q22" s="205">
        <v>0</v>
      </c>
      <c r="S22" s="251" t="s">
        <v>12</v>
      </c>
      <c r="T22" s="171" t="s">
        <v>39</v>
      </c>
      <c r="U22" s="252">
        <v>0.6</v>
      </c>
    </row>
    <row r="23" spans="1:21" ht="14.5" x14ac:dyDescent="0.35">
      <c r="A23" s="149" t="s">
        <v>13</v>
      </c>
      <c r="B23" s="36" t="s">
        <v>42</v>
      </c>
      <c r="D23" s="205">
        <v>2.2000000000000002</v>
      </c>
      <c r="F23" s="205">
        <v>2.2000000000000002</v>
      </c>
      <c r="G23"/>
      <c r="H23" s="205">
        <v>2.2000000000000002</v>
      </c>
      <c r="J23" s="228" t="s">
        <v>1171</v>
      </c>
      <c r="K23" s="171" t="s">
        <v>42</v>
      </c>
      <c r="L23"/>
      <c r="M23" s="172">
        <v>1.8</v>
      </c>
      <c r="N23"/>
      <c r="O23" s="205">
        <v>0</v>
      </c>
      <c r="P23"/>
      <c r="Q23" s="205">
        <v>0</v>
      </c>
      <c r="S23" s="251" t="s">
        <v>13</v>
      </c>
      <c r="T23" s="171" t="s">
        <v>42</v>
      </c>
      <c r="U23" s="252">
        <v>3.5</v>
      </c>
    </row>
    <row r="24" spans="1:21" s="241" customFormat="1" ht="14.5" x14ac:dyDescent="0.35">
      <c r="A24" s="239"/>
      <c r="B24" s="240"/>
      <c r="D24" s="242"/>
      <c r="F24" s="242"/>
      <c r="H24" s="242"/>
      <c r="J24" s="243"/>
      <c r="K24" s="240"/>
      <c r="M24" s="244"/>
      <c r="O24" s="242"/>
      <c r="Q24" s="242"/>
      <c r="S24" s="251"/>
      <c r="T24" s="171"/>
      <c r="U24" s="252"/>
    </row>
    <row r="25" spans="1:21" ht="14.5" x14ac:dyDescent="0.35">
      <c r="A25" s="150"/>
      <c r="B25" s="36"/>
      <c r="D25" s="205"/>
      <c r="F25" s="205"/>
      <c r="G25"/>
      <c r="H25" s="205"/>
      <c r="J25" s="228"/>
      <c r="K25" s="171"/>
      <c r="L25"/>
      <c r="M25" s="172"/>
      <c r="N25"/>
      <c r="O25" s="205"/>
      <c r="P25"/>
      <c r="Q25" s="205"/>
      <c r="S25" s="155"/>
      <c r="T25" s="171"/>
      <c r="U25" s="255"/>
    </row>
    <row r="26" spans="1:21" ht="11.25" customHeight="1" x14ac:dyDescent="0.35">
      <c r="A26" s="149" t="s">
        <v>108</v>
      </c>
      <c r="B26" s="36" t="s">
        <v>43</v>
      </c>
      <c r="D26" s="205">
        <v>0.6</v>
      </c>
      <c r="F26" s="205">
        <v>0.6</v>
      </c>
      <c r="G26"/>
      <c r="H26" s="205">
        <v>0.6</v>
      </c>
      <c r="J26" s="228" t="s">
        <v>108</v>
      </c>
      <c r="K26" s="171" t="s">
        <v>43</v>
      </c>
      <c r="L26"/>
      <c r="M26" s="172">
        <v>0.53</v>
      </c>
      <c r="N26"/>
      <c r="O26" s="205">
        <v>0</v>
      </c>
      <c r="P26"/>
      <c r="Q26" s="205">
        <v>0</v>
      </c>
      <c r="S26" s="251" t="s">
        <v>108</v>
      </c>
      <c r="T26" s="171" t="s">
        <v>43</v>
      </c>
      <c r="U26" s="252">
        <v>0.7</v>
      </c>
    </row>
    <row r="27" spans="1:21" ht="14.5" x14ac:dyDescent="0.35">
      <c r="A27" s="149" t="s">
        <v>109</v>
      </c>
      <c r="B27" s="36" t="s">
        <v>43</v>
      </c>
      <c r="D27" s="205">
        <v>0.3</v>
      </c>
      <c r="F27" s="205">
        <v>0.3</v>
      </c>
      <c r="G27"/>
      <c r="H27" s="205">
        <v>0.3</v>
      </c>
      <c r="J27" s="228" t="s">
        <v>109</v>
      </c>
      <c r="K27" s="171" t="s">
        <v>43</v>
      </c>
      <c r="L27"/>
      <c r="M27" s="172">
        <v>0.3</v>
      </c>
      <c r="N27"/>
      <c r="O27" s="205">
        <v>0</v>
      </c>
      <c r="P27"/>
      <c r="Q27" s="205">
        <v>0</v>
      </c>
      <c r="S27" s="251" t="s">
        <v>109</v>
      </c>
      <c r="T27" s="171" t="s">
        <v>43</v>
      </c>
      <c r="U27" s="252">
        <v>0.15</v>
      </c>
    </row>
    <row r="28" spans="1:21" ht="14.5" x14ac:dyDescent="0.35">
      <c r="A28" s="149" t="s">
        <v>110</v>
      </c>
      <c r="B28" s="36" t="s">
        <v>44</v>
      </c>
      <c r="D28" s="205">
        <v>160</v>
      </c>
      <c r="F28" s="205">
        <v>160</v>
      </c>
      <c r="G28"/>
      <c r="H28" s="205">
        <v>160</v>
      </c>
      <c r="J28" s="228" t="s">
        <v>110</v>
      </c>
      <c r="K28" s="171" t="s">
        <v>44</v>
      </c>
      <c r="L28"/>
      <c r="M28" s="172">
        <v>180</v>
      </c>
      <c r="N28"/>
      <c r="O28" s="205">
        <v>0</v>
      </c>
      <c r="P28"/>
      <c r="Q28" s="205">
        <v>0</v>
      </c>
      <c r="S28" s="251" t="s">
        <v>110</v>
      </c>
      <c r="T28" s="171" t="s">
        <v>44</v>
      </c>
      <c r="U28" s="252">
        <v>210</v>
      </c>
    </row>
    <row r="29" spans="1:21" ht="14.5" x14ac:dyDescent="0.35">
      <c r="A29" s="149" t="s">
        <v>111</v>
      </c>
      <c r="B29" s="36" t="s">
        <v>45</v>
      </c>
      <c r="D29" s="205">
        <v>0.1</v>
      </c>
      <c r="F29" s="205">
        <v>0.10000000000000002</v>
      </c>
      <c r="G29"/>
      <c r="H29" s="205">
        <v>0.10000000000000002</v>
      </c>
      <c r="J29" s="228" t="s">
        <v>111</v>
      </c>
      <c r="K29" s="171" t="s">
        <v>45</v>
      </c>
      <c r="L29"/>
      <c r="M29" s="172">
        <v>0.13</v>
      </c>
      <c r="N29"/>
      <c r="O29" s="205">
        <v>0</v>
      </c>
      <c r="P29"/>
      <c r="Q29" s="205">
        <v>0</v>
      </c>
      <c r="S29" s="251" t="s">
        <v>111</v>
      </c>
      <c r="T29" s="171" t="s">
        <v>45</v>
      </c>
      <c r="U29" s="252">
        <v>0.05</v>
      </c>
    </row>
    <row r="30" spans="1:21" ht="14.5" x14ac:dyDescent="0.35">
      <c r="A30" s="149" t="s">
        <v>14</v>
      </c>
      <c r="B30" s="36" t="s">
        <v>45</v>
      </c>
      <c r="D30" s="205">
        <v>0.22</v>
      </c>
      <c r="F30" s="205">
        <v>0.22</v>
      </c>
      <c r="G30"/>
      <c r="H30" s="205">
        <v>0.22</v>
      </c>
      <c r="J30" s="228" t="s">
        <v>14</v>
      </c>
      <c r="K30" s="10" t="s">
        <v>52</v>
      </c>
      <c r="L30"/>
      <c r="M30" s="172">
        <v>0.22</v>
      </c>
      <c r="N30"/>
      <c r="O30" s="205">
        <v>0</v>
      </c>
      <c r="P30"/>
      <c r="Q30" s="205">
        <v>0</v>
      </c>
      <c r="S30" s="251" t="s">
        <v>14</v>
      </c>
      <c r="T30" s="171" t="s">
        <v>45</v>
      </c>
      <c r="U30" s="252">
        <v>0.22</v>
      </c>
    </row>
    <row r="31" spans="1:21" ht="14.5" x14ac:dyDescent="0.35">
      <c r="A31" s="149" t="s">
        <v>99</v>
      </c>
      <c r="B31" s="36" t="s">
        <v>45</v>
      </c>
      <c r="D31" s="205">
        <v>1</v>
      </c>
      <c r="F31" s="205">
        <v>1</v>
      </c>
      <c r="G31"/>
      <c r="H31" s="205">
        <v>1</v>
      </c>
      <c r="J31" s="228" t="s">
        <v>1172</v>
      </c>
      <c r="K31" s="10" t="s">
        <v>52</v>
      </c>
      <c r="L31"/>
      <c r="M31" s="173">
        <v>1</v>
      </c>
      <c r="N31"/>
      <c r="O31" s="205">
        <v>0</v>
      </c>
      <c r="P31"/>
      <c r="Q31" s="205">
        <v>0</v>
      </c>
      <c r="S31" s="251" t="s">
        <v>99</v>
      </c>
      <c r="T31" s="171" t="s">
        <v>45</v>
      </c>
      <c r="U31" s="252">
        <v>1</v>
      </c>
    </row>
    <row r="32" spans="1:21" ht="14.5" x14ac:dyDescent="0.35">
      <c r="A32" s="150" t="s">
        <v>637</v>
      </c>
      <c r="B32" s="36" t="s">
        <v>643</v>
      </c>
      <c r="D32" s="205">
        <v>8.0000000000000002E-3</v>
      </c>
      <c r="F32" s="205">
        <v>0.01</v>
      </c>
      <c r="G32"/>
      <c r="H32" s="205">
        <v>0.01</v>
      </c>
      <c r="J32" s="228" t="s">
        <v>637</v>
      </c>
      <c r="K32" s="171" t="s">
        <v>1173</v>
      </c>
      <c r="L32"/>
      <c r="M32" s="172">
        <v>0.01</v>
      </c>
      <c r="N32"/>
      <c r="O32" s="205">
        <v>0</v>
      </c>
      <c r="P32"/>
      <c r="Q32" s="205">
        <v>0</v>
      </c>
      <c r="S32" s="155" t="s">
        <v>637</v>
      </c>
      <c r="T32" s="171" t="s">
        <v>643</v>
      </c>
      <c r="U32" s="158">
        <v>1.4999999999999999E-2</v>
      </c>
    </row>
    <row r="33" spans="1:21" ht="14.5" x14ac:dyDescent="0.35">
      <c r="A33" s="150" t="s">
        <v>638</v>
      </c>
      <c r="B33" s="36" t="s">
        <v>642</v>
      </c>
      <c r="D33" s="205">
        <v>0</v>
      </c>
      <c r="F33" s="205">
        <v>0</v>
      </c>
      <c r="G33"/>
      <c r="H33" s="205">
        <v>0</v>
      </c>
      <c r="J33" s="228" t="s">
        <v>638</v>
      </c>
      <c r="K33" s="171" t="s">
        <v>53</v>
      </c>
      <c r="L33"/>
      <c r="M33" s="172">
        <v>0</v>
      </c>
      <c r="N33"/>
      <c r="O33" s="205">
        <v>0</v>
      </c>
      <c r="P33"/>
      <c r="Q33" s="205">
        <v>0</v>
      </c>
      <c r="S33" s="155" t="s">
        <v>638</v>
      </c>
      <c r="T33" s="171" t="s">
        <v>642</v>
      </c>
      <c r="U33" s="158">
        <v>0</v>
      </c>
    </row>
    <row r="34" spans="1:21" ht="14.5" x14ac:dyDescent="0.35">
      <c r="A34" s="150" t="s">
        <v>639</v>
      </c>
      <c r="B34" s="36" t="s">
        <v>642</v>
      </c>
      <c r="D34" s="205">
        <v>600</v>
      </c>
      <c r="F34" s="205">
        <v>600</v>
      </c>
      <c r="G34"/>
      <c r="H34" s="205">
        <v>600</v>
      </c>
      <c r="J34" s="228" t="s">
        <v>639</v>
      </c>
      <c r="K34" s="171" t="s">
        <v>53</v>
      </c>
      <c r="L34"/>
      <c r="M34" s="172">
        <v>0</v>
      </c>
      <c r="N34"/>
      <c r="O34" s="205">
        <v>0</v>
      </c>
      <c r="P34"/>
      <c r="Q34" s="205">
        <v>0</v>
      </c>
      <c r="S34" s="155" t="s">
        <v>639</v>
      </c>
      <c r="T34" s="171" t="s">
        <v>642</v>
      </c>
      <c r="U34" s="158">
        <v>0</v>
      </c>
    </row>
    <row r="35" spans="1:21" ht="14.5" x14ac:dyDescent="0.35">
      <c r="A35" s="150" t="s">
        <v>640</v>
      </c>
      <c r="B35" s="36" t="s">
        <v>642</v>
      </c>
      <c r="D35" s="205">
        <v>1200</v>
      </c>
      <c r="F35" s="205">
        <v>1200</v>
      </c>
      <c r="G35"/>
      <c r="H35" s="205">
        <v>1200</v>
      </c>
      <c r="J35" s="228" t="s">
        <v>640</v>
      </c>
      <c r="K35" s="171" t="s">
        <v>53</v>
      </c>
      <c r="L35"/>
      <c r="M35" s="172">
        <v>9999</v>
      </c>
      <c r="N35"/>
      <c r="O35" s="205">
        <v>0</v>
      </c>
      <c r="P35"/>
      <c r="Q35" s="205">
        <v>0</v>
      </c>
      <c r="S35" s="155" t="s">
        <v>640</v>
      </c>
      <c r="T35" s="171" t="s">
        <v>642</v>
      </c>
      <c r="U35" s="158">
        <v>9999</v>
      </c>
    </row>
    <row r="36" spans="1:21" ht="14.5" x14ac:dyDescent="0.35">
      <c r="A36" s="150" t="s">
        <v>641</v>
      </c>
      <c r="B36" s="36" t="s">
        <v>642</v>
      </c>
      <c r="D36" s="205">
        <v>3200</v>
      </c>
      <c r="F36" s="205">
        <v>3200</v>
      </c>
      <c r="G36"/>
      <c r="H36" s="205">
        <v>3200</v>
      </c>
      <c r="J36" s="228" t="s">
        <v>641</v>
      </c>
      <c r="K36" s="171" t="s">
        <v>53</v>
      </c>
      <c r="L36"/>
      <c r="M36" s="172">
        <v>9999</v>
      </c>
      <c r="N36"/>
      <c r="O36" s="205">
        <v>0</v>
      </c>
      <c r="P36"/>
      <c r="Q36" s="205">
        <v>0</v>
      </c>
      <c r="S36" s="155" t="s">
        <v>641</v>
      </c>
      <c r="T36" s="171" t="s">
        <v>642</v>
      </c>
      <c r="U36" s="158">
        <v>9999</v>
      </c>
    </row>
    <row r="37" spans="1:21" s="169" customFormat="1" ht="14.5" x14ac:dyDescent="0.35">
      <c r="A37" s="151"/>
      <c r="B37" s="168"/>
      <c r="D37" s="205"/>
      <c r="F37" s="205"/>
      <c r="G37"/>
      <c r="H37" s="205"/>
      <c r="I37"/>
      <c r="J37" s="230"/>
      <c r="K37" s="168"/>
      <c r="L37"/>
      <c r="M37" s="174"/>
      <c r="N37"/>
      <c r="O37" s="205"/>
      <c r="P37"/>
      <c r="Q37" s="205"/>
      <c r="S37" s="256"/>
      <c r="T37" s="168"/>
      <c r="U37" s="255"/>
    </row>
    <row r="38" spans="1:21" ht="14.5" x14ac:dyDescent="0.35">
      <c r="A38" s="223" t="s">
        <v>1188</v>
      </c>
      <c r="B38" s="171" t="s">
        <v>1206</v>
      </c>
      <c r="D38" s="205">
        <v>-1</v>
      </c>
      <c r="F38" s="205">
        <v>-1</v>
      </c>
      <c r="G38"/>
      <c r="H38" s="205">
        <v>-1</v>
      </c>
      <c r="J38" s="230"/>
      <c r="K38" s="171"/>
      <c r="L38"/>
      <c r="M38" s="172"/>
      <c r="N38"/>
      <c r="O38" s="205">
        <v>-1</v>
      </c>
      <c r="P38"/>
      <c r="Q38" s="205">
        <v>-1</v>
      </c>
      <c r="S38" s="256"/>
      <c r="T38" s="171"/>
      <c r="U38" s="255"/>
    </row>
    <row r="39" spans="1:21" ht="14.5" x14ac:dyDescent="0.35">
      <c r="A39" s="223" t="s">
        <v>1189</v>
      </c>
      <c r="B39" s="171" t="s">
        <v>1206</v>
      </c>
      <c r="D39" s="205">
        <v>0</v>
      </c>
      <c r="F39" s="205">
        <v>0</v>
      </c>
      <c r="G39"/>
      <c r="H39" s="205">
        <v>0</v>
      </c>
      <c r="J39" s="230"/>
      <c r="K39" s="171"/>
      <c r="L39"/>
      <c r="M39" s="172"/>
      <c r="N39"/>
      <c r="O39" s="205">
        <v>0</v>
      </c>
      <c r="P39"/>
      <c r="Q39" s="205">
        <v>0</v>
      </c>
      <c r="S39" s="256"/>
      <c r="T39" s="171"/>
      <c r="U39" s="255"/>
    </row>
    <row r="40" spans="1:21" ht="14.5" x14ac:dyDescent="0.35">
      <c r="A40" s="224" t="s">
        <v>1190</v>
      </c>
      <c r="B40" s="171" t="s">
        <v>1206</v>
      </c>
      <c r="D40" s="205">
        <v>8</v>
      </c>
      <c r="F40" s="205">
        <v>8</v>
      </c>
      <c r="G40"/>
      <c r="H40" s="205">
        <v>8</v>
      </c>
      <c r="J40" s="231"/>
      <c r="K40" s="171"/>
      <c r="L40"/>
      <c r="M40" s="172"/>
      <c r="N40"/>
      <c r="O40" s="205">
        <v>8</v>
      </c>
      <c r="P40"/>
      <c r="Q40" s="205">
        <v>8</v>
      </c>
      <c r="S40" s="159"/>
      <c r="T40" s="171"/>
      <c r="U40" s="255"/>
    </row>
    <row r="41" spans="1:21" ht="14.5" x14ac:dyDescent="0.35">
      <c r="A41" s="223" t="s">
        <v>1191</v>
      </c>
      <c r="B41" s="171" t="s">
        <v>1206</v>
      </c>
      <c r="D41" s="205">
        <v>12</v>
      </c>
      <c r="F41" s="205">
        <v>12</v>
      </c>
      <c r="G41"/>
      <c r="H41" s="205">
        <v>12</v>
      </c>
      <c r="J41" s="230"/>
      <c r="K41" s="37"/>
      <c r="L41"/>
      <c r="M41" s="172"/>
      <c r="N41"/>
      <c r="O41" s="205">
        <v>12</v>
      </c>
      <c r="P41"/>
      <c r="Q41" s="205">
        <v>12</v>
      </c>
      <c r="S41" s="256"/>
      <c r="T41" s="37"/>
      <c r="U41" s="255"/>
    </row>
    <row r="42" spans="1:21" ht="14.5" x14ac:dyDescent="0.35">
      <c r="A42" s="223" t="s">
        <v>1192</v>
      </c>
      <c r="B42" s="171" t="s">
        <v>1207</v>
      </c>
      <c r="D42" s="205">
        <v>50</v>
      </c>
      <c r="F42" s="205">
        <v>50</v>
      </c>
      <c r="G42"/>
      <c r="H42" s="205">
        <v>50</v>
      </c>
      <c r="J42" s="230"/>
      <c r="K42" s="171"/>
      <c r="L42"/>
      <c r="M42" s="172"/>
      <c r="N42"/>
      <c r="O42" s="205">
        <v>50</v>
      </c>
      <c r="P42"/>
      <c r="Q42" s="205">
        <v>50</v>
      </c>
      <c r="S42" s="256"/>
      <c r="T42" s="171"/>
      <c r="U42" s="255"/>
    </row>
    <row r="43" spans="1:21" ht="14.5" x14ac:dyDescent="0.35">
      <c r="A43" s="151"/>
      <c r="B43" s="36"/>
      <c r="D43" s="205"/>
      <c r="F43" s="205"/>
      <c r="G43"/>
      <c r="H43" s="205"/>
      <c r="J43" s="230"/>
      <c r="K43" s="171"/>
      <c r="L43"/>
      <c r="M43" s="172"/>
      <c r="N43"/>
      <c r="O43" s="205"/>
      <c r="P43"/>
      <c r="Q43" s="205"/>
      <c r="S43" s="256"/>
      <c r="T43" s="171"/>
      <c r="U43" s="255"/>
    </row>
    <row r="44" spans="1:21" ht="14.5" x14ac:dyDescent="0.35">
      <c r="A44" s="149"/>
      <c r="B44" s="36"/>
      <c r="D44" s="205"/>
      <c r="F44" s="205"/>
      <c r="G44"/>
      <c r="H44" s="205"/>
      <c r="J44" s="228"/>
      <c r="L44"/>
      <c r="M44" s="172"/>
      <c r="N44"/>
      <c r="O44" s="205"/>
      <c r="P44"/>
      <c r="Q44" s="205"/>
      <c r="S44" s="251"/>
      <c r="T44" s="171"/>
      <c r="U44" s="255"/>
    </row>
    <row r="45" spans="1:21" ht="14.5" x14ac:dyDescent="0.35">
      <c r="A45" s="149" t="s">
        <v>100</v>
      </c>
      <c r="B45" s="36" t="s">
        <v>19</v>
      </c>
      <c r="D45" s="205">
        <v>200</v>
      </c>
      <c r="F45" s="205">
        <v>200</v>
      </c>
      <c r="G45"/>
      <c r="H45" s="205">
        <v>200</v>
      </c>
      <c r="J45" s="228" t="s">
        <v>1174</v>
      </c>
      <c r="K45" s="171" t="s">
        <v>19</v>
      </c>
      <c r="L45"/>
      <c r="M45" s="172">
        <v>200</v>
      </c>
      <c r="N45"/>
      <c r="O45" s="205">
        <v>0</v>
      </c>
      <c r="P45"/>
      <c r="Q45" s="205">
        <v>0</v>
      </c>
      <c r="S45" s="251" t="s">
        <v>100</v>
      </c>
      <c r="T45" s="171" t="s">
        <v>19</v>
      </c>
      <c r="U45" s="252">
        <v>150</v>
      </c>
    </row>
    <row r="46" spans="1:21" ht="14.5" x14ac:dyDescent="0.35">
      <c r="A46" s="149" t="s">
        <v>112</v>
      </c>
      <c r="B46" s="36" t="s">
        <v>19</v>
      </c>
      <c r="D46" s="205">
        <v>1000</v>
      </c>
      <c r="F46" s="205">
        <v>1000</v>
      </c>
      <c r="G46"/>
      <c r="H46" s="205">
        <v>1000</v>
      </c>
      <c r="J46" s="228" t="s">
        <v>1175</v>
      </c>
      <c r="K46" s="171" t="s">
        <v>19</v>
      </c>
      <c r="L46"/>
      <c r="M46" s="172">
        <v>1000</v>
      </c>
      <c r="N46"/>
      <c r="O46" s="205">
        <v>0</v>
      </c>
      <c r="P46"/>
      <c r="Q46" s="205">
        <v>0</v>
      </c>
      <c r="S46" s="251" t="s">
        <v>112</v>
      </c>
      <c r="T46" s="171" t="s">
        <v>19</v>
      </c>
      <c r="U46" s="252">
        <v>1100</v>
      </c>
    </row>
    <row r="47" spans="1:21" ht="14.5" x14ac:dyDescent="0.35">
      <c r="A47" s="149" t="s">
        <v>38</v>
      </c>
      <c r="B47" s="36" t="s">
        <v>694</v>
      </c>
      <c r="D47" s="205">
        <v>30</v>
      </c>
      <c r="F47" s="205">
        <v>30</v>
      </c>
      <c r="G47"/>
      <c r="H47" s="205">
        <v>30</v>
      </c>
      <c r="J47" s="228" t="s">
        <v>38</v>
      </c>
      <c r="K47" s="171" t="s">
        <v>1176</v>
      </c>
      <c r="L47"/>
      <c r="M47" s="172">
        <v>17</v>
      </c>
      <c r="N47"/>
      <c r="O47" s="205">
        <v>0</v>
      </c>
      <c r="P47"/>
      <c r="Q47" s="205">
        <v>0</v>
      </c>
      <c r="S47" s="251" t="s">
        <v>38</v>
      </c>
      <c r="T47" s="171" t="s">
        <v>694</v>
      </c>
      <c r="U47" s="252">
        <v>33</v>
      </c>
    </row>
    <row r="48" spans="1:21" ht="14.5" x14ac:dyDescent="0.35">
      <c r="A48" s="214" t="s">
        <v>1177</v>
      </c>
      <c r="B48" s="36" t="s">
        <v>101</v>
      </c>
      <c r="D48" s="205">
        <v>5.8</v>
      </c>
      <c r="F48" s="205">
        <v>5.8</v>
      </c>
      <c r="G48"/>
      <c r="H48" s="205">
        <v>5.8</v>
      </c>
      <c r="J48" s="228" t="s">
        <v>1177</v>
      </c>
      <c r="K48" s="171" t="s">
        <v>101</v>
      </c>
      <c r="L48"/>
      <c r="M48" s="172">
        <v>5</v>
      </c>
      <c r="N48"/>
      <c r="O48" s="205">
        <v>0</v>
      </c>
      <c r="P48"/>
      <c r="Q48" s="205">
        <v>0</v>
      </c>
      <c r="S48" s="251" t="s">
        <v>1177</v>
      </c>
      <c r="T48" s="171" t="s">
        <v>101</v>
      </c>
      <c r="U48" s="252">
        <v>9</v>
      </c>
    </row>
    <row r="49" spans="1:21" ht="14.5" x14ac:dyDescent="0.35">
      <c r="A49" s="214"/>
      <c r="B49" s="36"/>
      <c r="D49" s="205"/>
      <c r="F49" s="205"/>
      <c r="G49"/>
      <c r="H49" s="205"/>
      <c r="J49" s="228"/>
      <c r="K49" s="171"/>
      <c r="L49"/>
      <c r="M49" s="172"/>
      <c r="N49"/>
      <c r="O49" s="205"/>
      <c r="P49"/>
      <c r="Q49" s="205"/>
      <c r="S49" s="251"/>
      <c r="T49" s="171"/>
      <c r="U49" s="252"/>
    </row>
    <row r="50" spans="1:21" ht="14.5" x14ac:dyDescent="0.35">
      <c r="A50" s="149" t="s">
        <v>2</v>
      </c>
      <c r="B50" s="36" t="s">
        <v>39</v>
      </c>
      <c r="D50" s="205">
        <v>0.3</v>
      </c>
      <c r="F50" s="205">
        <v>0.3</v>
      </c>
      <c r="G50"/>
      <c r="H50" s="205">
        <v>0.3</v>
      </c>
      <c r="J50" s="228" t="s">
        <v>2</v>
      </c>
      <c r="K50" s="171" t="s">
        <v>39</v>
      </c>
      <c r="L50"/>
      <c r="M50" s="172">
        <v>0.3</v>
      </c>
      <c r="N50"/>
      <c r="O50" s="205">
        <v>0</v>
      </c>
      <c r="P50"/>
      <c r="Q50" s="205">
        <v>0</v>
      </c>
      <c r="S50" s="251" t="s">
        <v>2</v>
      </c>
      <c r="T50" s="171" t="s">
        <v>39</v>
      </c>
      <c r="U50" s="252">
        <v>0.25</v>
      </c>
    </row>
    <row r="51" spans="1:21" ht="14.5" x14ac:dyDescent="0.35">
      <c r="A51" s="149" t="s">
        <v>1</v>
      </c>
      <c r="B51" s="36" t="s">
        <v>39</v>
      </c>
      <c r="D51" s="205">
        <v>0.5</v>
      </c>
      <c r="F51" s="205">
        <v>0.40000000000000008</v>
      </c>
      <c r="G51"/>
      <c r="H51" s="205">
        <v>0.40000000000000008</v>
      </c>
      <c r="J51" s="228" t="s">
        <v>1</v>
      </c>
      <c r="K51" s="171" t="s">
        <v>39</v>
      </c>
      <c r="L51"/>
      <c r="M51" s="172">
        <v>0.4</v>
      </c>
      <c r="N51"/>
      <c r="O51" s="205">
        <v>0</v>
      </c>
      <c r="P51"/>
      <c r="Q51" s="205">
        <v>0</v>
      </c>
      <c r="S51" s="251" t="s">
        <v>1</v>
      </c>
      <c r="T51" s="171" t="s">
        <v>39</v>
      </c>
      <c r="U51" s="252">
        <v>0.35</v>
      </c>
    </row>
    <row r="52" spans="1:21" ht="14.5" x14ac:dyDescent="0.35">
      <c r="A52" s="149" t="s">
        <v>3</v>
      </c>
      <c r="B52" s="36" t="s">
        <v>39</v>
      </c>
      <c r="D52" s="205">
        <v>0.4</v>
      </c>
      <c r="F52" s="205">
        <v>0.40000000000000008</v>
      </c>
      <c r="G52"/>
      <c r="H52" s="205">
        <v>0.40000000000000008</v>
      </c>
      <c r="J52" s="228" t="s">
        <v>3</v>
      </c>
      <c r="K52" s="171" t="s">
        <v>39</v>
      </c>
      <c r="L52"/>
      <c r="M52" s="172">
        <v>0</v>
      </c>
      <c r="N52"/>
      <c r="O52" s="205">
        <v>0</v>
      </c>
      <c r="P52"/>
      <c r="Q52" s="205">
        <v>0</v>
      </c>
      <c r="S52" s="251" t="s">
        <v>3</v>
      </c>
      <c r="T52" s="171" t="s">
        <v>39</v>
      </c>
      <c r="U52" s="252">
        <v>0</v>
      </c>
    </row>
    <row r="53" spans="1:21" ht="14.5" x14ac:dyDescent="0.35">
      <c r="A53" s="149" t="s">
        <v>796</v>
      </c>
      <c r="B53" s="246" t="s">
        <v>39</v>
      </c>
      <c r="D53" s="205">
        <v>0</v>
      </c>
      <c r="F53" s="205">
        <v>0</v>
      </c>
      <c r="G53"/>
      <c r="H53" s="205">
        <v>0</v>
      </c>
      <c r="J53" s="228" t="s">
        <v>796</v>
      </c>
      <c r="K53" s="10" t="s">
        <v>39</v>
      </c>
      <c r="L53"/>
      <c r="M53" s="172">
        <v>0.5</v>
      </c>
      <c r="N53"/>
      <c r="O53" s="205">
        <v>0</v>
      </c>
      <c r="P53"/>
      <c r="Q53" s="205">
        <v>0</v>
      </c>
      <c r="S53" s="251" t="s">
        <v>796</v>
      </c>
      <c r="T53" s="171"/>
      <c r="U53" s="255"/>
    </row>
    <row r="54" spans="1:21" ht="14.5" x14ac:dyDescent="0.35">
      <c r="A54" s="150" t="s">
        <v>1193</v>
      </c>
      <c r="B54" s="36" t="s">
        <v>182</v>
      </c>
      <c r="D54" s="205">
        <v>20</v>
      </c>
      <c r="F54" s="205">
        <v>20</v>
      </c>
      <c r="G54"/>
      <c r="H54" s="205">
        <v>20</v>
      </c>
      <c r="J54" s="229" t="s">
        <v>648</v>
      </c>
      <c r="K54" s="171" t="s">
        <v>182</v>
      </c>
      <c r="L54"/>
      <c r="M54" s="172">
        <v>20</v>
      </c>
      <c r="N54"/>
      <c r="O54" s="205">
        <v>0</v>
      </c>
      <c r="P54"/>
      <c r="Q54" s="205">
        <v>0</v>
      </c>
      <c r="S54" s="155" t="s">
        <v>648</v>
      </c>
      <c r="T54" s="171" t="s">
        <v>182</v>
      </c>
      <c r="U54" s="252">
        <v>50</v>
      </c>
    </row>
    <row r="55" spans="1:21" ht="13" x14ac:dyDescent="0.3">
      <c r="A55" s="223" t="s">
        <v>1194</v>
      </c>
      <c r="B55" s="247" t="s">
        <v>39</v>
      </c>
      <c r="D55" s="201">
        <v>1</v>
      </c>
      <c r="F55" s="201">
        <v>1</v>
      </c>
      <c r="G55"/>
      <c r="H55" s="201">
        <v>1</v>
      </c>
      <c r="J55" s="223" t="s">
        <v>1194</v>
      </c>
      <c r="K55" s="247" t="s">
        <v>39</v>
      </c>
      <c r="L55"/>
      <c r="M55" s="172">
        <v>1</v>
      </c>
      <c r="N55"/>
      <c r="O55" s="172">
        <v>1</v>
      </c>
      <c r="P55"/>
      <c r="Q55" s="172">
        <v>1</v>
      </c>
      <c r="S55" s="223" t="s">
        <v>1194</v>
      </c>
      <c r="T55" s="247" t="s">
        <v>39</v>
      </c>
      <c r="U55" s="255"/>
    </row>
    <row r="56" spans="1:21" ht="13" x14ac:dyDescent="0.3">
      <c r="A56" s="223" t="s">
        <v>1195</v>
      </c>
      <c r="B56" s="232" t="s">
        <v>450</v>
      </c>
      <c r="D56" s="201">
        <v>5</v>
      </c>
      <c r="F56" s="201">
        <v>5</v>
      </c>
      <c r="G56"/>
      <c r="H56" s="201">
        <v>5</v>
      </c>
      <c r="J56" s="223" t="s">
        <v>1195</v>
      </c>
      <c r="K56" s="232" t="s">
        <v>450</v>
      </c>
      <c r="L56"/>
      <c r="M56" s="172">
        <v>5</v>
      </c>
      <c r="N56"/>
      <c r="O56" s="172">
        <v>5</v>
      </c>
      <c r="P56"/>
      <c r="Q56" s="172">
        <v>5</v>
      </c>
      <c r="S56" s="223" t="s">
        <v>1195</v>
      </c>
      <c r="T56" s="232" t="s">
        <v>450</v>
      </c>
      <c r="U56" s="255"/>
    </row>
    <row r="57" spans="1:21" ht="13" x14ac:dyDescent="0.3">
      <c r="A57" s="150"/>
      <c r="B57" s="36"/>
      <c r="D57" s="202"/>
      <c r="F57" s="202"/>
      <c r="G57"/>
      <c r="H57" s="202"/>
      <c r="J57" s="150"/>
      <c r="K57" s="36"/>
      <c r="L57"/>
      <c r="M57" s="172"/>
      <c r="N57"/>
      <c r="O57" s="202"/>
      <c r="P57"/>
      <c r="Q57" s="202"/>
      <c r="S57" s="159"/>
      <c r="T57" s="171"/>
      <c r="U57" s="255"/>
    </row>
    <row r="58" spans="1:21" ht="13" x14ac:dyDescent="0.3">
      <c r="A58" s="150" t="s">
        <v>1196</v>
      </c>
      <c r="B58" s="171" t="s">
        <v>1208</v>
      </c>
      <c r="D58" s="202">
        <v>0</v>
      </c>
      <c r="F58" s="202">
        <v>0</v>
      </c>
      <c r="G58"/>
      <c r="H58" s="202">
        <v>0</v>
      </c>
      <c r="J58" s="150" t="s">
        <v>1196</v>
      </c>
      <c r="K58" s="171" t="s">
        <v>1208</v>
      </c>
      <c r="L58"/>
      <c r="M58" s="172">
        <v>0</v>
      </c>
      <c r="N58"/>
      <c r="O58" s="202">
        <v>0</v>
      </c>
      <c r="P58"/>
      <c r="Q58" s="202">
        <v>0</v>
      </c>
      <c r="S58" s="150" t="s">
        <v>1196</v>
      </c>
      <c r="T58" s="171" t="s">
        <v>1208</v>
      </c>
      <c r="U58" s="255"/>
    </row>
    <row r="59" spans="1:21" ht="13" x14ac:dyDescent="0.3">
      <c r="A59" s="150" t="s">
        <v>1197</v>
      </c>
      <c r="B59" s="171" t="s">
        <v>52</v>
      </c>
      <c r="D59" s="202">
        <v>0</v>
      </c>
      <c r="F59" s="202">
        <v>0</v>
      </c>
      <c r="G59"/>
      <c r="H59" s="202">
        <v>0</v>
      </c>
      <c r="J59" s="150" t="s">
        <v>1197</v>
      </c>
      <c r="K59" s="171" t="s">
        <v>52</v>
      </c>
      <c r="L59"/>
      <c r="M59" s="172">
        <v>0</v>
      </c>
      <c r="N59"/>
      <c r="O59" s="202">
        <v>0</v>
      </c>
      <c r="P59"/>
      <c r="Q59" s="202">
        <v>0</v>
      </c>
      <c r="S59" s="150" t="s">
        <v>1197</v>
      </c>
      <c r="T59" s="171" t="s">
        <v>52</v>
      </c>
      <c r="U59" s="255"/>
    </row>
    <row r="60" spans="1:21" ht="13" x14ac:dyDescent="0.3">
      <c r="A60" s="152"/>
      <c r="B60" s="36"/>
      <c r="D60" s="202"/>
      <c r="F60" s="202"/>
      <c r="G60"/>
      <c r="H60" s="202"/>
      <c r="J60" s="231"/>
      <c r="L60"/>
      <c r="M60" s="172"/>
      <c r="N60"/>
      <c r="O60" s="202"/>
      <c r="P60"/>
      <c r="Q60" s="202"/>
      <c r="S60" s="159"/>
      <c r="T60" s="171"/>
      <c r="U60" s="255"/>
    </row>
    <row r="61" spans="1:21" ht="13" x14ac:dyDescent="0.3">
      <c r="A61" s="149" t="s">
        <v>46</v>
      </c>
      <c r="B61" s="36" t="s">
        <v>51</v>
      </c>
      <c r="D61" s="202">
        <v>1.8</v>
      </c>
      <c r="F61" s="202">
        <v>1.5</v>
      </c>
      <c r="G61"/>
      <c r="H61" s="202">
        <v>1.5</v>
      </c>
      <c r="J61" s="228" t="s">
        <v>46</v>
      </c>
      <c r="K61" s="171" t="s">
        <v>51</v>
      </c>
      <c r="L61"/>
      <c r="M61" s="172">
        <v>2.2999999999999998</v>
      </c>
      <c r="N61"/>
      <c r="O61" s="202">
        <v>0</v>
      </c>
      <c r="P61"/>
      <c r="Q61" s="202">
        <v>0</v>
      </c>
      <c r="S61" s="251" t="s">
        <v>46</v>
      </c>
      <c r="T61" s="171" t="s">
        <v>51</v>
      </c>
      <c r="U61" s="252">
        <v>1.35</v>
      </c>
    </row>
    <row r="62" spans="1:21" ht="13" x14ac:dyDescent="0.3">
      <c r="A62" s="149" t="s">
        <v>47</v>
      </c>
      <c r="B62" s="36" t="s">
        <v>53</v>
      </c>
      <c r="D62" s="202">
        <v>0.4</v>
      </c>
      <c r="F62" s="202">
        <v>0.4</v>
      </c>
      <c r="G62"/>
      <c r="H62" s="202">
        <v>0.4</v>
      </c>
      <c r="J62" s="228" t="s">
        <v>47</v>
      </c>
      <c r="K62" s="171" t="s">
        <v>53</v>
      </c>
      <c r="L62"/>
      <c r="M62" s="172">
        <v>0.68</v>
      </c>
      <c r="N62"/>
      <c r="O62" s="202">
        <v>0</v>
      </c>
      <c r="P62"/>
      <c r="Q62" s="202">
        <v>0</v>
      </c>
      <c r="S62" s="251" t="s">
        <v>47</v>
      </c>
      <c r="T62" s="171" t="s">
        <v>53</v>
      </c>
      <c r="U62" s="252">
        <v>0.4</v>
      </c>
    </row>
    <row r="63" spans="1:21" ht="13" x14ac:dyDescent="0.3">
      <c r="A63" s="149" t="s">
        <v>48</v>
      </c>
      <c r="B63" s="36" t="s">
        <v>52</v>
      </c>
      <c r="D63" s="202">
        <v>1.4999999999999999E-2</v>
      </c>
      <c r="F63" s="202">
        <v>1.4999999999999999E-2</v>
      </c>
      <c r="G63"/>
      <c r="H63" s="202">
        <v>1.4999999999999999E-2</v>
      </c>
      <c r="J63" s="228" t="s">
        <v>48</v>
      </c>
      <c r="K63" s="171" t="s">
        <v>52</v>
      </c>
      <c r="L63"/>
      <c r="M63" s="172">
        <v>1.37E-2</v>
      </c>
      <c r="N63"/>
      <c r="O63" s="202">
        <v>0</v>
      </c>
      <c r="P63"/>
      <c r="Q63" s="202">
        <v>0</v>
      </c>
      <c r="S63" s="251" t="s">
        <v>48</v>
      </c>
      <c r="T63" s="171" t="s">
        <v>52</v>
      </c>
      <c r="U63" s="252">
        <v>1.06E-2</v>
      </c>
    </row>
    <row r="64" spans="1:21" ht="13" x14ac:dyDescent="0.3">
      <c r="A64" s="149" t="s">
        <v>49</v>
      </c>
      <c r="B64" s="40" t="s">
        <v>52</v>
      </c>
      <c r="D64" s="202">
        <v>5.1000000000000004E-3</v>
      </c>
      <c r="F64" s="202">
        <v>5.0000000000000001E-3</v>
      </c>
      <c r="G64"/>
      <c r="H64" s="202">
        <v>5.0000000000000001E-3</v>
      </c>
      <c r="J64" s="228" t="s">
        <v>49</v>
      </c>
      <c r="K64" s="232" t="s">
        <v>52</v>
      </c>
      <c r="L64"/>
      <c r="M64" s="172">
        <v>3.8999999999999998E-3</v>
      </c>
      <c r="N64"/>
      <c r="O64" s="202">
        <v>0</v>
      </c>
      <c r="P64"/>
      <c r="Q64" s="202">
        <v>0</v>
      </c>
      <c r="S64" s="251" t="s">
        <v>49</v>
      </c>
      <c r="T64" s="232" t="s">
        <v>52</v>
      </c>
      <c r="U64" s="252">
        <v>2.5000000000000001E-3</v>
      </c>
    </row>
    <row r="65" spans="1:21" ht="13" x14ac:dyDescent="0.3">
      <c r="A65" s="149" t="s">
        <v>819</v>
      </c>
      <c r="B65" s="10" t="s">
        <v>52</v>
      </c>
      <c r="D65" s="202">
        <v>2.0899999999999998E-2</v>
      </c>
      <c r="F65" s="202">
        <v>2.1299999999999999E-2</v>
      </c>
      <c r="G65"/>
      <c r="H65" s="202">
        <v>2.1299999999999999E-2</v>
      </c>
      <c r="J65" s="228" t="s">
        <v>819</v>
      </c>
      <c r="K65" s="10" t="s">
        <v>52</v>
      </c>
      <c r="L65"/>
      <c r="M65" s="172">
        <v>3.3700000000000001E-2</v>
      </c>
      <c r="N65"/>
      <c r="O65" s="202">
        <v>0</v>
      </c>
      <c r="P65"/>
      <c r="Q65" s="202">
        <v>0</v>
      </c>
      <c r="S65" s="251" t="s">
        <v>819</v>
      </c>
      <c r="T65" s="10" t="s">
        <v>52</v>
      </c>
      <c r="U65" s="252">
        <v>1.0999999999999999E-2</v>
      </c>
    </row>
    <row r="66" spans="1:21" ht="13" x14ac:dyDescent="0.3">
      <c r="A66" s="149" t="s">
        <v>795</v>
      </c>
      <c r="D66" s="202">
        <v>2.0899999999999998E-2</v>
      </c>
      <c r="F66" s="202">
        <v>2.1299999999999999E-2</v>
      </c>
      <c r="G66"/>
      <c r="H66" s="202">
        <v>2.1299999999999999E-2</v>
      </c>
      <c r="J66" s="228" t="s">
        <v>795</v>
      </c>
      <c r="L66"/>
      <c r="M66" s="172">
        <v>3.3700000000000001E-2</v>
      </c>
      <c r="N66"/>
      <c r="O66" s="202">
        <v>0</v>
      </c>
      <c r="P66"/>
      <c r="Q66" s="202">
        <v>0</v>
      </c>
      <c r="S66" s="251" t="s">
        <v>795</v>
      </c>
      <c r="U66" s="252">
        <v>1.0999999999999999E-2</v>
      </c>
    </row>
    <row r="67" spans="1:21" ht="13" x14ac:dyDescent="0.3">
      <c r="A67" s="149"/>
      <c r="B67" s="36"/>
      <c r="D67" s="202">
        <v>0.25</v>
      </c>
      <c r="F67" s="202">
        <v>0.25</v>
      </c>
      <c r="G67"/>
      <c r="H67" s="202">
        <v>0.25</v>
      </c>
      <c r="J67" s="228" t="s">
        <v>50</v>
      </c>
      <c r="K67" s="171" t="s">
        <v>54</v>
      </c>
      <c r="L67"/>
      <c r="M67" s="172">
        <v>0.45</v>
      </c>
      <c r="N67"/>
      <c r="O67" s="202">
        <v>0</v>
      </c>
      <c r="P67"/>
      <c r="Q67" s="202">
        <v>0</v>
      </c>
      <c r="S67" s="251"/>
      <c r="T67" s="171"/>
      <c r="U67" s="252"/>
    </row>
    <row r="68" spans="1:21" ht="14.5" x14ac:dyDescent="0.35">
      <c r="A68" s="149"/>
      <c r="B68" s="36"/>
      <c r="D68" s="205"/>
      <c r="F68" s="205"/>
      <c r="G68"/>
      <c r="H68" s="205"/>
      <c r="J68" s="233"/>
      <c r="L68"/>
      <c r="M68" s="175"/>
      <c r="N68"/>
      <c r="O68" s="205"/>
      <c r="P68"/>
      <c r="Q68" s="205"/>
      <c r="S68" s="251"/>
      <c r="T68" s="171"/>
      <c r="U68" s="255"/>
    </row>
    <row r="69" spans="1:21" ht="14.5" x14ac:dyDescent="0.35">
      <c r="A69" s="149" t="s">
        <v>4</v>
      </c>
      <c r="B69" s="36" t="s">
        <v>21</v>
      </c>
      <c r="D69" s="205">
        <v>0</v>
      </c>
      <c r="F69" s="205">
        <v>0</v>
      </c>
      <c r="G69"/>
      <c r="H69" s="205">
        <v>0</v>
      </c>
      <c r="J69" s="228" t="s">
        <v>4</v>
      </c>
      <c r="K69" s="171" t="s">
        <v>21</v>
      </c>
      <c r="L69"/>
      <c r="M69" s="172">
        <v>2</v>
      </c>
      <c r="N69"/>
      <c r="O69" s="205">
        <v>0</v>
      </c>
      <c r="P69"/>
      <c r="Q69" s="205">
        <v>0</v>
      </c>
      <c r="S69" s="251" t="s">
        <v>4</v>
      </c>
      <c r="T69" s="171" t="s">
        <v>21</v>
      </c>
      <c r="U69" s="252">
        <v>8</v>
      </c>
    </row>
    <row r="70" spans="1:21" ht="14.5" x14ac:dyDescent="0.35">
      <c r="A70" s="149" t="s">
        <v>5</v>
      </c>
      <c r="B70" s="36" t="s">
        <v>21</v>
      </c>
      <c r="D70" s="205">
        <v>27.5</v>
      </c>
      <c r="F70" s="205">
        <v>27.5</v>
      </c>
      <c r="G70"/>
      <c r="H70" s="205">
        <v>27.5</v>
      </c>
      <c r="J70" s="234" t="s">
        <v>5</v>
      </c>
      <c r="K70" s="171" t="s">
        <v>21</v>
      </c>
      <c r="L70"/>
      <c r="M70" s="176">
        <v>21</v>
      </c>
      <c r="N70"/>
      <c r="O70" s="205">
        <v>0</v>
      </c>
      <c r="P70"/>
      <c r="Q70" s="205">
        <v>0</v>
      </c>
      <c r="S70" s="251" t="s">
        <v>5</v>
      </c>
      <c r="T70" s="171" t="s">
        <v>21</v>
      </c>
      <c r="U70" s="252">
        <v>34</v>
      </c>
    </row>
    <row r="71" spans="1:21" ht="14.5" x14ac:dyDescent="0.35">
      <c r="A71" s="149" t="s">
        <v>6</v>
      </c>
      <c r="B71" s="36" t="s">
        <v>21</v>
      </c>
      <c r="D71" s="205">
        <v>27.5</v>
      </c>
      <c r="F71" s="205">
        <v>27.5</v>
      </c>
      <c r="G71"/>
      <c r="H71" s="205">
        <v>27.5</v>
      </c>
      <c r="J71" s="234" t="s">
        <v>6</v>
      </c>
      <c r="K71" s="171" t="s">
        <v>21</v>
      </c>
      <c r="L71"/>
      <c r="M71" s="176">
        <v>30</v>
      </c>
      <c r="N71"/>
      <c r="O71" s="205">
        <v>0</v>
      </c>
      <c r="P71"/>
      <c r="Q71" s="205">
        <v>0</v>
      </c>
      <c r="S71" s="251" t="s">
        <v>6</v>
      </c>
      <c r="T71" s="171" t="s">
        <v>21</v>
      </c>
      <c r="U71" s="252">
        <v>37</v>
      </c>
    </row>
    <row r="72" spans="1:21" ht="14.5" x14ac:dyDescent="0.35">
      <c r="A72" s="149" t="s">
        <v>7</v>
      </c>
      <c r="B72" s="36" t="s">
        <v>21</v>
      </c>
      <c r="D72" s="205">
        <v>40</v>
      </c>
      <c r="F72" s="205">
        <v>40</v>
      </c>
      <c r="G72"/>
      <c r="H72" s="205">
        <v>40</v>
      </c>
      <c r="J72" s="234" t="s">
        <v>7</v>
      </c>
      <c r="K72" s="171" t="s">
        <v>21</v>
      </c>
      <c r="L72"/>
      <c r="M72" s="176">
        <v>40</v>
      </c>
      <c r="N72"/>
      <c r="O72" s="205">
        <v>0</v>
      </c>
      <c r="P72"/>
      <c r="Q72" s="205">
        <v>0</v>
      </c>
      <c r="S72" s="251" t="s">
        <v>7</v>
      </c>
      <c r="T72" s="171" t="s">
        <v>21</v>
      </c>
      <c r="U72" s="252">
        <v>45</v>
      </c>
    </row>
    <row r="73" spans="1:21" ht="13" x14ac:dyDescent="0.3">
      <c r="A73" s="190"/>
      <c r="B73" s="36"/>
      <c r="D73" s="201"/>
      <c r="F73" s="201"/>
      <c r="G73"/>
      <c r="H73" s="201"/>
      <c r="J73" s="234"/>
      <c r="K73" s="171"/>
      <c r="L73"/>
      <c r="M73" s="176"/>
      <c r="N73"/>
      <c r="O73" s="201"/>
      <c r="P73"/>
      <c r="Q73" s="201"/>
      <c r="S73" s="251"/>
      <c r="T73" s="171"/>
      <c r="U73" s="255"/>
    </row>
    <row r="74" spans="1:21" ht="14.5" x14ac:dyDescent="0.35">
      <c r="A74" s="149" t="s">
        <v>634</v>
      </c>
      <c r="B74" s="246" t="s">
        <v>1209</v>
      </c>
      <c r="D74" s="205">
        <v>2E-3</v>
      </c>
      <c r="F74" s="205">
        <v>8.0000000000000002E-3</v>
      </c>
      <c r="G74"/>
      <c r="H74" s="205">
        <v>8.0000000000000002E-3</v>
      </c>
      <c r="J74" s="234" t="s">
        <v>634</v>
      </c>
      <c r="K74" s="246" t="s">
        <v>39</v>
      </c>
      <c r="L74"/>
      <c r="M74" s="176" t="s">
        <v>39</v>
      </c>
      <c r="N74"/>
      <c r="O74" s="205">
        <v>0</v>
      </c>
      <c r="P74"/>
      <c r="Q74" s="205">
        <v>0</v>
      </c>
      <c r="S74" s="251" t="s">
        <v>634</v>
      </c>
      <c r="T74" s="171" t="s">
        <v>39</v>
      </c>
      <c r="U74" s="257" t="s">
        <v>39</v>
      </c>
    </row>
    <row r="75" spans="1:21" ht="14.5" x14ac:dyDescent="0.35">
      <c r="A75" s="149"/>
      <c r="B75" s="36"/>
      <c r="D75" s="205"/>
      <c r="F75" s="205"/>
      <c r="G75"/>
      <c r="H75" s="205"/>
      <c r="J75" s="234"/>
      <c r="K75" s="171"/>
      <c r="L75"/>
      <c r="M75" s="176"/>
      <c r="N75"/>
      <c r="O75" s="205"/>
      <c r="P75"/>
      <c r="Q75" s="205"/>
      <c r="S75" s="251"/>
      <c r="T75" s="171"/>
      <c r="U75" s="255"/>
    </row>
    <row r="76" spans="1:21" ht="14.5" x14ac:dyDescent="0.35">
      <c r="A76" s="149" t="s">
        <v>635</v>
      </c>
      <c r="B76" s="171" t="s">
        <v>534</v>
      </c>
      <c r="D76" s="205">
        <v>14</v>
      </c>
      <c r="F76" s="205">
        <v>21</v>
      </c>
      <c r="G76"/>
      <c r="H76" s="205">
        <v>21</v>
      </c>
      <c r="J76" s="235" t="s">
        <v>1178</v>
      </c>
      <c r="K76" s="171" t="s">
        <v>534</v>
      </c>
      <c r="L76"/>
      <c r="M76" s="172">
        <v>0</v>
      </c>
      <c r="N76"/>
      <c r="O76" s="205">
        <v>0</v>
      </c>
      <c r="P76"/>
      <c r="Q76" s="205">
        <v>0</v>
      </c>
      <c r="S76" s="251" t="s">
        <v>635</v>
      </c>
      <c r="T76" s="171" t="s">
        <v>21</v>
      </c>
      <c r="U76" s="158">
        <v>12.5</v>
      </c>
    </row>
    <row r="77" spans="1:21" ht="14.5" x14ac:dyDescent="0.35">
      <c r="A77" s="149" t="s">
        <v>636</v>
      </c>
      <c r="B77" s="246" t="s">
        <v>1210</v>
      </c>
      <c r="D77" s="205">
        <v>0.17</v>
      </c>
      <c r="F77" s="205">
        <v>0</v>
      </c>
      <c r="G77"/>
      <c r="H77" s="205">
        <v>0</v>
      </c>
      <c r="J77" s="235" t="s">
        <v>636</v>
      </c>
      <c r="K77" s="232" t="s">
        <v>1179</v>
      </c>
      <c r="L77"/>
      <c r="M77" s="172">
        <v>0.05</v>
      </c>
      <c r="N77"/>
      <c r="O77" s="205">
        <v>0</v>
      </c>
      <c r="P77"/>
      <c r="Q77" s="205">
        <v>0</v>
      </c>
      <c r="S77" s="251" t="s">
        <v>636</v>
      </c>
      <c r="T77" s="171" t="s">
        <v>21</v>
      </c>
      <c r="U77" s="158">
        <v>0.52</v>
      </c>
    </row>
    <row r="78" spans="1:21" ht="14.5" x14ac:dyDescent="0.35">
      <c r="A78" s="149"/>
      <c r="B78" s="14"/>
      <c r="D78" s="205"/>
      <c r="F78" s="205"/>
      <c r="G78"/>
      <c r="H78" s="205"/>
      <c r="J78" s="234"/>
      <c r="K78" s="232"/>
      <c r="L78"/>
      <c r="M78" s="177"/>
      <c r="N78"/>
      <c r="O78" s="205"/>
      <c r="P78"/>
      <c r="Q78" s="205"/>
      <c r="S78" s="251"/>
      <c r="T78" s="14"/>
      <c r="U78" s="255"/>
    </row>
    <row r="79" spans="1:21" ht="14.5" x14ac:dyDescent="0.35">
      <c r="A79" s="191" t="s">
        <v>1198</v>
      </c>
      <c r="B79" s="36" t="s">
        <v>520</v>
      </c>
      <c r="D79" s="205">
        <v>6</v>
      </c>
      <c r="F79" s="205">
        <v>4</v>
      </c>
      <c r="G79"/>
      <c r="H79" s="205">
        <v>4</v>
      </c>
      <c r="J79" s="236" t="s">
        <v>1180</v>
      </c>
      <c r="K79" s="171" t="s">
        <v>520</v>
      </c>
      <c r="L79"/>
      <c r="M79" s="172">
        <v>8.5</v>
      </c>
      <c r="N79"/>
      <c r="O79" s="205">
        <v>0</v>
      </c>
      <c r="P79"/>
      <c r="Q79" s="205">
        <v>0</v>
      </c>
      <c r="S79" s="258" t="s">
        <v>696</v>
      </c>
      <c r="T79" s="171" t="s">
        <v>520</v>
      </c>
      <c r="U79" s="158">
        <v>3</v>
      </c>
    </row>
    <row r="80" spans="1:21" ht="14.5" x14ac:dyDescent="0.35">
      <c r="A80" s="215" t="s">
        <v>1199</v>
      </c>
      <c r="B80" s="36" t="s">
        <v>520</v>
      </c>
      <c r="D80" s="205">
        <v>5</v>
      </c>
      <c r="F80" s="205">
        <v>9.4925465837500003</v>
      </c>
      <c r="G80"/>
      <c r="H80" s="205">
        <v>11.6</v>
      </c>
      <c r="J80" s="236" t="s">
        <v>1181</v>
      </c>
      <c r="K80" s="171" t="s">
        <v>520</v>
      </c>
      <c r="L80"/>
      <c r="M80" s="172">
        <v>36</v>
      </c>
      <c r="N80"/>
      <c r="O80" s="205">
        <v>0</v>
      </c>
      <c r="P80"/>
      <c r="Q80" s="205">
        <v>0</v>
      </c>
      <c r="S80" s="258" t="s">
        <v>1214</v>
      </c>
      <c r="T80" s="171" t="s">
        <v>520</v>
      </c>
      <c r="U80" s="158">
        <v>8.5</v>
      </c>
    </row>
    <row r="81" spans="1:21" ht="14.5" x14ac:dyDescent="0.35">
      <c r="A81" s="215" t="s">
        <v>1200</v>
      </c>
      <c r="B81" s="36" t="s">
        <v>520</v>
      </c>
      <c r="D81" s="205">
        <v>8</v>
      </c>
      <c r="F81" s="205">
        <v>7.7740683243499999</v>
      </c>
      <c r="G81"/>
      <c r="H81" s="205">
        <v>9.5</v>
      </c>
      <c r="J81" s="236" t="s">
        <v>1182</v>
      </c>
      <c r="K81" s="171" t="s">
        <v>520</v>
      </c>
      <c r="L81"/>
      <c r="M81" s="172">
        <v>5.7</v>
      </c>
      <c r="N81"/>
      <c r="O81" s="205">
        <v>0</v>
      </c>
      <c r="P81"/>
      <c r="Q81" s="205">
        <v>0</v>
      </c>
      <c r="S81" s="258" t="s">
        <v>1215</v>
      </c>
      <c r="T81" s="171" t="s">
        <v>520</v>
      </c>
      <c r="U81" s="158">
        <v>33.799999999999997</v>
      </c>
    </row>
    <row r="82" spans="1:21" ht="14.5" x14ac:dyDescent="0.35">
      <c r="A82" s="215" t="s">
        <v>1201</v>
      </c>
      <c r="B82" s="36" t="s">
        <v>520</v>
      </c>
      <c r="D82" s="205">
        <v>6</v>
      </c>
      <c r="F82" s="205">
        <v>2.5822646555555551</v>
      </c>
      <c r="G82"/>
      <c r="H82" s="205">
        <v>3.155555555555555</v>
      </c>
      <c r="J82" s="236" t="s">
        <v>1183</v>
      </c>
      <c r="K82" s="171" t="s">
        <v>520</v>
      </c>
      <c r="L82"/>
      <c r="M82" s="172">
        <v>4.3</v>
      </c>
      <c r="N82"/>
      <c r="O82" s="205">
        <v>0</v>
      </c>
      <c r="P82"/>
      <c r="Q82" s="205">
        <v>0</v>
      </c>
      <c r="S82" s="248"/>
      <c r="T82" s="171"/>
      <c r="U82" s="178"/>
    </row>
    <row r="83" spans="1:21" ht="14.5" x14ac:dyDescent="0.35">
      <c r="A83" s="215" t="s">
        <v>1202</v>
      </c>
      <c r="B83" s="36" t="s">
        <v>520</v>
      </c>
      <c r="D83" s="205">
        <v>6</v>
      </c>
      <c r="F83" s="205">
        <v>0.64556843888888871</v>
      </c>
      <c r="G83"/>
      <c r="H83" s="205">
        <v>0.78888888888888875</v>
      </c>
      <c r="J83" s="236" t="s">
        <v>1184</v>
      </c>
      <c r="K83" s="171" t="s">
        <v>520</v>
      </c>
      <c r="L83"/>
      <c r="M83" s="172">
        <v>22</v>
      </c>
      <c r="N83"/>
      <c r="O83" s="205">
        <v>0</v>
      </c>
      <c r="P83"/>
      <c r="Q83" s="205">
        <v>0</v>
      </c>
      <c r="S83" s="248"/>
      <c r="T83" s="171"/>
      <c r="U83" s="178"/>
    </row>
    <row r="84" spans="1:21" ht="14.5" x14ac:dyDescent="0.35">
      <c r="A84" s="215" t="s">
        <v>1203</v>
      </c>
      <c r="B84" s="36" t="s">
        <v>520</v>
      </c>
      <c r="D84" s="205">
        <v>15</v>
      </c>
      <c r="F84" s="205">
        <v>3.155555555555555</v>
      </c>
      <c r="G84"/>
      <c r="H84" s="205">
        <v>3.155555555555555</v>
      </c>
      <c r="J84" s="236" t="s">
        <v>1185</v>
      </c>
      <c r="K84" s="171" t="s">
        <v>520</v>
      </c>
      <c r="L84"/>
      <c r="M84" s="172">
        <v>7</v>
      </c>
      <c r="N84"/>
      <c r="O84" s="205">
        <v>0</v>
      </c>
      <c r="P84"/>
      <c r="Q84" s="205">
        <v>0</v>
      </c>
      <c r="S84" s="248"/>
      <c r="T84" s="171"/>
      <c r="U84" s="178"/>
    </row>
    <row r="85" spans="1:21" ht="14.5" x14ac:dyDescent="0.35">
      <c r="A85" s="215" t="s">
        <v>1204</v>
      </c>
      <c r="B85" s="36" t="s">
        <v>520</v>
      </c>
      <c r="D85" s="205">
        <v>43</v>
      </c>
      <c r="F85" s="205">
        <v>40.4</v>
      </c>
      <c r="G85"/>
      <c r="H85" s="205">
        <v>37.6</v>
      </c>
      <c r="J85" s="11"/>
      <c r="K85" s="232"/>
      <c r="L85"/>
      <c r="M85" s="32"/>
      <c r="N85"/>
      <c r="O85" s="205">
        <v>0</v>
      </c>
      <c r="P85"/>
      <c r="Q85" s="205">
        <v>0</v>
      </c>
      <c r="S85" s="248"/>
      <c r="T85" s="171"/>
      <c r="U85" s="178"/>
    </row>
    <row r="86" spans="1:21" ht="14.5" x14ac:dyDescent="0.35">
      <c r="A86" s="215" t="s">
        <v>1205</v>
      </c>
      <c r="B86" s="36" t="s">
        <v>520</v>
      </c>
      <c r="D86" s="205">
        <v>8</v>
      </c>
      <c r="F86" s="205">
        <v>8</v>
      </c>
      <c r="G86"/>
      <c r="H86" s="205">
        <v>8</v>
      </c>
      <c r="J86" s="11"/>
      <c r="K86" s="232"/>
      <c r="L86"/>
      <c r="M86" s="32"/>
      <c r="N86"/>
      <c r="O86" s="205">
        <v>0</v>
      </c>
      <c r="P86"/>
      <c r="Q86" s="205">
        <v>0</v>
      </c>
      <c r="S86" s="248"/>
      <c r="T86" s="171"/>
      <c r="U86" s="178"/>
    </row>
    <row r="87" spans="1:21" s="10" customFormat="1" ht="13" x14ac:dyDescent="0.3">
      <c r="B87" s="36"/>
      <c r="D87" s="204"/>
      <c r="F87" s="204"/>
      <c r="G87"/>
      <c r="H87" s="204"/>
      <c r="I87"/>
      <c r="J87" s="11"/>
      <c r="K87" s="232"/>
      <c r="L87"/>
      <c r="M87" s="32"/>
      <c r="N87"/>
      <c r="O87" s="204"/>
      <c r="P87"/>
      <c r="Q87" s="204"/>
      <c r="T87" s="171"/>
      <c r="U87" s="259"/>
    </row>
    <row r="88" spans="1:21" s="165" customFormat="1" ht="13" x14ac:dyDescent="0.3">
      <c r="A88" s="156" t="s">
        <v>797</v>
      </c>
      <c r="B88" s="164" t="s">
        <v>520</v>
      </c>
      <c r="D88" s="203">
        <v>0</v>
      </c>
      <c r="F88" s="203">
        <v>0</v>
      </c>
      <c r="G88"/>
      <c r="H88" s="203">
        <v>0</v>
      </c>
      <c r="I88"/>
      <c r="J88" s="156" t="s">
        <v>797</v>
      </c>
      <c r="K88" s="164" t="s">
        <v>520</v>
      </c>
      <c r="L88"/>
      <c r="M88" s="163">
        <v>8.5</v>
      </c>
      <c r="N88"/>
      <c r="O88" s="203">
        <v>0</v>
      </c>
      <c r="P88"/>
      <c r="Q88" s="203">
        <v>0</v>
      </c>
      <c r="S88" s="156" t="s">
        <v>797</v>
      </c>
      <c r="T88" s="164" t="s">
        <v>520</v>
      </c>
      <c r="U88" s="163" t="s">
        <v>1216</v>
      </c>
    </row>
    <row r="89" spans="1:21" s="165" customFormat="1" ht="13" x14ac:dyDescent="0.3">
      <c r="A89" s="157" t="s">
        <v>798</v>
      </c>
      <c r="B89" s="164" t="s">
        <v>520</v>
      </c>
      <c r="D89" s="203">
        <v>0</v>
      </c>
      <c r="F89" s="203">
        <v>0</v>
      </c>
      <c r="G89"/>
      <c r="H89" s="203">
        <v>0</v>
      </c>
      <c r="I89"/>
      <c r="J89" s="157" t="s">
        <v>798</v>
      </c>
      <c r="K89" s="164" t="s">
        <v>520</v>
      </c>
      <c r="L89"/>
      <c r="M89" s="163">
        <v>76.5</v>
      </c>
      <c r="N89"/>
      <c r="O89" s="203">
        <v>0</v>
      </c>
      <c r="P89"/>
      <c r="Q89" s="203">
        <v>0</v>
      </c>
      <c r="S89" s="157" t="s">
        <v>798</v>
      </c>
      <c r="T89" s="164" t="s">
        <v>520</v>
      </c>
      <c r="U89" s="163" t="s">
        <v>1216</v>
      </c>
    </row>
    <row r="90" spans="1:21" ht="13" x14ac:dyDescent="0.3">
      <c r="A90" s="155" t="s">
        <v>799</v>
      </c>
      <c r="B90" s="36" t="s">
        <v>520</v>
      </c>
      <c r="D90" s="203">
        <v>0</v>
      </c>
      <c r="F90" s="203">
        <v>0</v>
      </c>
      <c r="G90"/>
      <c r="H90" s="203">
        <v>0</v>
      </c>
      <c r="J90" s="155" t="s">
        <v>799</v>
      </c>
      <c r="K90" s="171" t="s">
        <v>520</v>
      </c>
      <c r="L90"/>
      <c r="M90" s="158">
        <v>54.5</v>
      </c>
      <c r="N90"/>
      <c r="O90" s="203">
        <v>0</v>
      </c>
      <c r="P90"/>
      <c r="Q90" s="203">
        <v>0</v>
      </c>
      <c r="S90" s="155" t="s">
        <v>799</v>
      </c>
      <c r="T90" s="171" t="s">
        <v>520</v>
      </c>
      <c r="U90" s="163" t="s">
        <v>1216</v>
      </c>
    </row>
    <row r="91" spans="1:21" ht="13" x14ac:dyDescent="0.3">
      <c r="A91" s="155" t="s">
        <v>800</v>
      </c>
      <c r="B91" s="36" t="s">
        <v>520</v>
      </c>
      <c r="D91" s="203">
        <v>0</v>
      </c>
      <c r="F91" s="203">
        <v>0</v>
      </c>
      <c r="G91"/>
      <c r="H91" s="203">
        <v>0</v>
      </c>
      <c r="J91" s="155" t="s">
        <v>800</v>
      </c>
      <c r="K91" s="171" t="s">
        <v>520</v>
      </c>
      <c r="L91"/>
      <c r="M91" s="158">
        <v>76.5</v>
      </c>
      <c r="N91"/>
      <c r="O91" s="203">
        <v>0</v>
      </c>
      <c r="P91"/>
      <c r="Q91" s="203">
        <v>0</v>
      </c>
      <c r="S91" s="155" t="s">
        <v>800</v>
      </c>
      <c r="T91" s="171" t="s">
        <v>520</v>
      </c>
      <c r="U91" s="163" t="s">
        <v>1216</v>
      </c>
    </row>
    <row r="92" spans="1:21" s="165" customFormat="1" ht="13" x14ac:dyDescent="0.3">
      <c r="A92" s="156" t="s">
        <v>801</v>
      </c>
      <c r="B92" s="164" t="s">
        <v>520</v>
      </c>
      <c r="D92" s="203">
        <v>0</v>
      </c>
      <c r="F92" s="203">
        <v>0</v>
      </c>
      <c r="G92"/>
      <c r="H92" s="203">
        <v>0</v>
      </c>
      <c r="I92"/>
      <c r="J92" s="156" t="s">
        <v>801</v>
      </c>
      <c r="K92" s="164" t="s">
        <v>520</v>
      </c>
      <c r="L92"/>
      <c r="M92" s="163">
        <v>52.5</v>
      </c>
      <c r="N92"/>
      <c r="O92" s="203">
        <v>0</v>
      </c>
      <c r="P92"/>
      <c r="Q92" s="203">
        <v>0</v>
      </c>
      <c r="S92" s="156" t="s">
        <v>801</v>
      </c>
      <c r="T92" s="164" t="s">
        <v>520</v>
      </c>
      <c r="U92" s="163" t="s">
        <v>1216</v>
      </c>
    </row>
    <row r="93" spans="1:21" s="165" customFormat="1" ht="13" x14ac:dyDescent="0.3">
      <c r="A93" s="156" t="s">
        <v>802</v>
      </c>
      <c r="B93" s="164" t="s">
        <v>520</v>
      </c>
      <c r="D93" s="203">
        <v>0</v>
      </c>
      <c r="F93" s="203">
        <v>0</v>
      </c>
      <c r="G93"/>
      <c r="H93" s="203">
        <v>0</v>
      </c>
      <c r="I93"/>
      <c r="J93" s="156" t="s">
        <v>802</v>
      </c>
      <c r="K93" s="164" t="s">
        <v>520</v>
      </c>
      <c r="L93"/>
      <c r="M93" s="163">
        <v>60.1</v>
      </c>
      <c r="N93"/>
      <c r="O93" s="203">
        <v>0</v>
      </c>
      <c r="P93"/>
      <c r="Q93" s="203">
        <v>0</v>
      </c>
      <c r="S93" s="156" t="s">
        <v>802</v>
      </c>
      <c r="T93" s="164" t="s">
        <v>520</v>
      </c>
      <c r="U93" s="163" t="s">
        <v>1216</v>
      </c>
    </row>
    <row r="94" spans="1:21" s="165" customFormat="1" ht="13" x14ac:dyDescent="0.3">
      <c r="A94" s="156" t="s">
        <v>803</v>
      </c>
      <c r="B94" s="164" t="s">
        <v>520</v>
      </c>
      <c r="D94" s="203">
        <v>0</v>
      </c>
      <c r="F94" s="203">
        <v>0</v>
      </c>
      <c r="G94"/>
      <c r="H94" s="203">
        <v>0</v>
      </c>
      <c r="I94"/>
      <c r="J94" s="156" t="s">
        <v>803</v>
      </c>
      <c r="K94" s="164" t="s">
        <v>520</v>
      </c>
      <c r="L94"/>
      <c r="M94" s="163">
        <v>54.5</v>
      </c>
      <c r="N94"/>
      <c r="O94" s="203">
        <v>0</v>
      </c>
      <c r="P94"/>
      <c r="Q94" s="203">
        <v>0</v>
      </c>
      <c r="S94" s="156" t="s">
        <v>803</v>
      </c>
      <c r="T94" s="164" t="s">
        <v>520</v>
      </c>
      <c r="U94" s="163" t="s">
        <v>1216</v>
      </c>
    </row>
    <row r="95" spans="1:21" ht="13" x14ac:dyDescent="0.3">
      <c r="A95" s="159" t="s">
        <v>804</v>
      </c>
      <c r="B95" s="36" t="s">
        <v>520</v>
      </c>
      <c r="D95" s="203">
        <v>0</v>
      </c>
      <c r="F95" s="203">
        <v>0</v>
      </c>
      <c r="G95"/>
      <c r="H95" s="203">
        <v>0</v>
      </c>
      <c r="J95" s="159" t="s">
        <v>804</v>
      </c>
      <c r="K95" s="171" t="s">
        <v>520</v>
      </c>
      <c r="L95"/>
      <c r="M95" s="158">
        <v>12</v>
      </c>
      <c r="N95"/>
      <c r="O95" s="203">
        <v>0</v>
      </c>
      <c r="P95"/>
      <c r="Q95" s="203">
        <v>0</v>
      </c>
      <c r="S95" s="159" t="s">
        <v>804</v>
      </c>
      <c r="T95" s="171" t="s">
        <v>520</v>
      </c>
      <c r="U95" s="163" t="s">
        <v>39</v>
      </c>
    </row>
    <row r="96" spans="1:21" s="153" customFormat="1" ht="13" x14ac:dyDescent="0.3">
      <c r="D96" s="184"/>
      <c r="F96" s="154"/>
      <c r="G96" s="154"/>
      <c r="H96" s="154"/>
      <c r="I96"/>
      <c r="J96" s="237"/>
      <c r="K96" s="238"/>
      <c r="L96" s="154"/>
      <c r="M96" s="154"/>
      <c r="N96" s="154"/>
      <c r="O96" s="206"/>
      <c r="P96" s="154"/>
      <c r="Q96" s="154"/>
      <c r="U96" s="184"/>
    </row>
    <row r="97" spans="4:21" s="40" customFormat="1" x14ac:dyDescent="0.25">
      <c r="D97" s="67"/>
      <c r="F97" s="6"/>
      <c r="G97" s="6"/>
      <c r="H97" s="6"/>
      <c r="I97"/>
      <c r="J97" s="179"/>
      <c r="K97" s="232"/>
      <c r="L97" s="6"/>
      <c r="M97" s="6"/>
      <c r="N97" s="6"/>
      <c r="O97" s="204"/>
      <c r="P97" s="6"/>
      <c r="Q97" s="6"/>
      <c r="S97" s="232"/>
      <c r="T97" s="232"/>
      <c r="U97" s="178"/>
    </row>
    <row r="98" spans="4:21" s="40" customFormat="1" x14ac:dyDescent="0.25">
      <c r="D98" s="67"/>
      <c r="F98" s="6"/>
      <c r="G98" s="6"/>
      <c r="H98" s="6"/>
      <c r="I98"/>
      <c r="J98" s="179"/>
      <c r="K98" s="232"/>
      <c r="L98" s="6"/>
      <c r="M98" s="6"/>
      <c r="N98" s="6"/>
      <c r="O98" s="204"/>
      <c r="P98" s="6"/>
      <c r="Q98" s="6"/>
      <c r="S98" s="232"/>
      <c r="T98" s="232"/>
      <c r="U98" s="178"/>
    </row>
    <row r="99" spans="4:21" x14ac:dyDescent="0.25">
      <c r="J99" s="15"/>
      <c r="S99" s="232"/>
      <c r="T99" s="232"/>
      <c r="U99" s="178"/>
    </row>
    <row r="100" spans="4:21" x14ac:dyDescent="0.25">
      <c r="J100" s="15"/>
      <c r="S100" s="232"/>
      <c r="T100" s="232"/>
      <c r="U100" s="178"/>
    </row>
    <row r="101" spans="4:21" x14ac:dyDescent="0.25">
      <c r="J101" s="15"/>
      <c r="S101" s="232"/>
      <c r="T101" s="232"/>
      <c r="U101" s="178"/>
    </row>
    <row r="102" spans="4:21" x14ac:dyDescent="0.25">
      <c r="J102" s="15"/>
      <c r="S102" s="232"/>
      <c r="T102" s="232"/>
      <c r="U102" s="178"/>
    </row>
    <row r="103" spans="4:21" x14ac:dyDescent="0.25">
      <c r="J103" s="15"/>
      <c r="S103" s="232"/>
      <c r="T103" s="232"/>
      <c r="U103" s="178"/>
    </row>
    <row r="104" spans="4:21" x14ac:dyDescent="0.25">
      <c r="J104"/>
      <c r="S104" s="232"/>
      <c r="T104" s="232"/>
      <c r="U104" s="178"/>
    </row>
    <row r="105" spans="4:21" x14ac:dyDescent="0.25">
      <c r="J105" s="3"/>
    </row>
    <row r="106" spans="4:21" x14ac:dyDescent="0.25">
      <c r="J106" s="29"/>
    </row>
    <row r="107" spans="4:21" x14ac:dyDescent="0.25">
      <c r="J107" s="29"/>
    </row>
  </sheetData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B67"/>
  <sheetViews>
    <sheetView topLeftCell="A4" zoomScale="80" zoomScaleNormal="80" workbookViewId="0">
      <selection activeCell="P37" sqref="P37"/>
    </sheetView>
  </sheetViews>
  <sheetFormatPr baseColWidth="10" defaultColWidth="8.81640625" defaultRowHeight="12.5" x14ac:dyDescent="0.25"/>
  <cols>
    <col min="2" max="13" width="6.54296875" style="48" customWidth="1"/>
    <col min="14" max="14" width="6.54296875" style="49" customWidth="1"/>
  </cols>
  <sheetData>
    <row r="1" spans="1:28" x14ac:dyDescent="0.25">
      <c r="A1" t="s">
        <v>504</v>
      </c>
    </row>
    <row r="2" spans="1:28" x14ac:dyDescent="0.25">
      <c r="A2" s="50"/>
      <c r="B2" s="51" t="s">
        <v>505</v>
      </c>
      <c r="C2" s="51" t="s">
        <v>506</v>
      </c>
      <c r="D2" s="51" t="s">
        <v>507</v>
      </c>
      <c r="E2" s="51" t="s">
        <v>508</v>
      </c>
      <c r="F2" s="51" t="s">
        <v>509</v>
      </c>
      <c r="G2" s="51" t="s">
        <v>510</v>
      </c>
      <c r="H2" s="51" t="s">
        <v>511</v>
      </c>
      <c r="I2" s="51" t="s">
        <v>512</v>
      </c>
      <c r="J2" s="51" t="s">
        <v>513</v>
      </c>
      <c r="K2" s="51" t="s">
        <v>514</v>
      </c>
      <c r="L2" s="51" t="s">
        <v>515</v>
      </c>
      <c r="M2" s="51" t="s">
        <v>516</v>
      </c>
      <c r="P2" s="130"/>
      <c r="Q2" s="130" t="s">
        <v>778</v>
      </c>
      <c r="R2" s="130" t="s">
        <v>779</v>
      </c>
      <c r="S2" s="130" t="s">
        <v>780</v>
      </c>
      <c r="T2" s="130" t="s">
        <v>781</v>
      </c>
      <c r="U2" s="130" t="s">
        <v>782</v>
      </c>
      <c r="V2" s="130" t="s">
        <v>783</v>
      </c>
      <c r="W2" s="130" t="s">
        <v>784</v>
      </c>
      <c r="X2" s="130" t="s">
        <v>785</v>
      </c>
      <c r="Y2" s="130" t="s">
        <v>786</v>
      </c>
      <c r="Z2" s="130" t="s">
        <v>787</v>
      </c>
      <c r="AA2" s="130" t="s">
        <v>788</v>
      </c>
      <c r="AB2" s="130" t="s">
        <v>789</v>
      </c>
    </row>
    <row r="3" spans="1:28" x14ac:dyDescent="0.25">
      <c r="A3" s="48">
        <v>1</v>
      </c>
      <c r="B3" s="49">
        <v>1</v>
      </c>
      <c r="C3" s="49">
        <v>32</v>
      </c>
      <c r="D3" s="49">
        <v>60</v>
      </c>
      <c r="E3" s="49">
        <v>91</v>
      </c>
      <c r="F3" s="49">
        <v>121</v>
      </c>
      <c r="G3" s="49">
        <v>152</v>
      </c>
      <c r="H3" s="49">
        <v>182</v>
      </c>
      <c r="I3" s="49">
        <v>213</v>
      </c>
      <c r="J3" s="49">
        <v>244</v>
      </c>
      <c r="K3" s="49">
        <v>274</v>
      </c>
      <c r="L3" s="49">
        <v>305</v>
      </c>
      <c r="M3" s="49">
        <v>335</v>
      </c>
      <c r="N3"/>
      <c r="P3" s="130">
        <v>1</v>
      </c>
      <c r="Q3" s="140">
        <v>79</v>
      </c>
      <c r="R3" s="140">
        <v>110</v>
      </c>
      <c r="S3" s="140">
        <v>141</v>
      </c>
      <c r="T3" s="140">
        <v>172</v>
      </c>
      <c r="U3" s="140">
        <v>203</v>
      </c>
      <c r="V3" s="140">
        <v>234</v>
      </c>
      <c r="W3" s="140">
        <v>265</v>
      </c>
      <c r="X3" s="140">
        <v>295</v>
      </c>
      <c r="Y3" s="140">
        <v>325</v>
      </c>
      <c r="Z3" s="140">
        <v>355</v>
      </c>
      <c r="AA3" s="140">
        <v>20</v>
      </c>
      <c r="AB3" s="140">
        <v>50</v>
      </c>
    </row>
    <row r="4" spans="1:28" x14ac:dyDescent="0.25">
      <c r="A4" s="48">
        <v>2</v>
      </c>
      <c r="B4" s="49">
        <v>2</v>
      </c>
      <c r="C4" s="49">
        <v>33</v>
      </c>
      <c r="D4" s="49">
        <v>61</v>
      </c>
      <c r="E4" s="49">
        <v>92</v>
      </c>
      <c r="F4" s="49">
        <v>122</v>
      </c>
      <c r="G4" s="49">
        <v>153</v>
      </c>
      <c r="H4" s="49">
        <v>183</v>
      </c>
      <c r="I4" s="49">
        <v>214</v>
      </c>
      <c r="J4" s="49">
        <v>245</v>
      </c>
      <c r="K4" s="49">
        <v>275</v>
      </c>
      <c r="L4" s="49">
        <v>306</v>
      </c>
      <c r="M4" s="49">
        <v>336</v>
      </c>
      <c r="N4"/>
      <c r="P4" s="130">
        <f t="shared" ref="P4:AB19" si="0">P3+1</f>
        <v>2</v>
      </c>
      <c r="Q4" s="140">
        <f t="shared" si="0"/>
        <v>80</v>
      </c>
      <c r="R4" s="140">
        <f t="shared" si="0"/>
        <v>111</v>
      </c>
      <c r="S4" s="140">
        <f t="shared" si="0"/>
        <v>142</v>
      </c>
      <c r="T4" s="140">
        <f t="shared" si="0"/>
        <v>173</v>
      </c>
      <c r="U4" s="140">
        <f t="shared" si="0"/>
        <v>204</v>
      </c>
      <c r="V4" s="140">
        <f t="shared" si="0"/>
        <v>235</v>
      </c>
      <c r="W4" s="140">
        <f t="shared" si="0"/>
        <v>266</v>
      </c>
      <c r="X4" s="140">
        <f t="shared" si="0"/>
        <v>296</v>
      </c>
      <c r="Y4" s="140">
        <f t="shared" si="0"/>
        <v>326</v>
      </c>
      <c r="Z4" s="140">
        <f t="shared" si="0"/>
        <v>356</v>
      </c>
      <c r="AA4" s="140">
        <f t="shared" si="0"/>
        <v>21</v>
      </c>
      <c r="AB4" s="140">
        <f t="shared" si="0"/>
        <v>51</v>
      </c>
    </row>
    <row r="5" spans="1:28" x14ac:dyDescent="0.25">
      <c r="A5" s="48">
        <v>3</v>
      </c>
      <c r="B5" s="49">
        <v>3</v>
      </c>
      <c r="C5" s="49">
        <v>34</v>
      </c>
      <c r="D5" s="49">
        <v>62</v>
      </c>
      <c r="E5" s="49">
        <v>93</v>
      </c>
      <c r="F5" s="49">
        <v>123</v>
      </c>
      <c r="G5" s="49">
        <v>154</v>
      </c>
      <c r="H5" s="49">
        <v>184</v>
      </c>
      <c r="I5" s="49">
        <v>215</v>
      </c>
      <c r="J5" s="49">
        <v>246</v>
      </c>
      <c r="K5" s="49">
        <v>276</v>
      </c>
      <c r="L5" s="49">
        <v>307</v>
      </c>
      <c r="M5" s="49">
        <v>337</v>
      </c>
      <c r="N5"/>
      <c r="P5" s="130">
        <f t="shared" si="0"/>
        <v>3</v>
      </c>
      <c r="Q5" s="140">
        <f t="shared" si="0"/>
        <v>81</v>
      </c>
      <c r="R5" s="140">
        <f t="shared" si="0"/>
        <v>112</v>
      </c>
      <c r="S5" s="140">
        <f t="shared" si="0"/>
        <v>143</v>
      </c>
      <c r="T5" s="140">
        <f t="shared" si="0"/>
        <v>174</v>
      </c>
      <c r="U5" s="140">
        <f t="shared" si="0"/>
        <v>205</v>
      </c>
      <c r="V5" s="140">
        <f t="shared" si="0"/>
        <v>236</v>
      </c>
      <c r="W5" s="140">
        <f t="shared" si="0"/>
        <v>267</v>
      </c>
      <c r="X5" s="140">
        <f t="shared" si="0"/>
        <v>297</v>
      </c>
      <c r="Y5" s="140">
        <f t="shared" si="0"/>
        <v>327</v>
      </c>
      <c r="Z5" s="140">
        <f t="shared" si="0"/>
        <v>357</v>
      </c>
      <c r="AA5" s="140">
        <f t="shared" si="0"/>
        <v>22</v>
      </c>
      <c r="AB5" s="140">
        <f t="shared" si="0"/>
        <v>52</v>
      </c>
    </row>
    <row r="6" spans="1:28" x14ac:dyDescent="0.25">
      <c r="A6" s="48">
        <v>4</v>
      </c>
      <c r="B6" s="49">
        <v>4</v>
      </c>
      <c r="C6" s="49">
        <v>35</v>
      </c>
      <c r="D6" s="49">
        <v>63</v>
      </c>
      <c r="E6" s="49">
        <v>94</v>
      </c>
      <c r="F6" s="49">
        <v>124</v>
      </c>
      <c r="G6" s="49">
        <v>155</v>
      </c>
      <c r="H6" s="49">
        <v>185</v>
      </c>
      <c r="I6" s="49">
        <v>216</v>
      </c>
      <c r="J6" s="49">
        <v>247</v>
      </c>
      <c r="K6" s="49">
        <v>277</v>
      </c>
      <c r="L6" s="49">
        <v>308</v>
      </c>
      <c r="M6" s="49">
        <v>338</v>
      </c>
      <c r="N6"/>
      <c r="P6" s="130">
        <f t="shared" si="0"/>
        <v>4</v>
      </c>
      <c r="Q6" s="140">
        <f t="shared" si="0"/>
        <v>82</v>
      </c>
      <c r="R6" s="140">
        <f t="shared" si="0"/>
        <v>113</v>
      </c>
      <c r="S6" s="140">
        <f t="shared" si="0"/>
        <v>144</v>
      </c>
      <c r="T6" s="140">
        <f t="shared" si="0"/>
        <v>175</v>
      </c>
      <c r="U6" s="140">
        <f t="shared" si="0"/>
        <v>206</v>
      </c>
      <c r="V6" s="140">
        <f t="shared" si="0"/>
        <v>237</v>
      </c>
      <c r="W6" s="140">
        <f t="shared" si="0"/>
        <v>268</v>
      </c>
      <c r="X6" s="140">
        <f t="shared" si="0"/>
        <v>298</v>
      </c>
      <c r="Y6" s="140">
        <f t="shared" si="0"/>
        <v>328</v>
      </c>
      <c r="Z6" s="140">
        <f t="shared" si="0"/>
        <v>358</v>
      </c>
      <c r="AA6" s="140">
        <f t="shared" si="0"/>
        <v>23</v>
      </c>
      <c r="AB6" s="140">
        <f t="shared" si="0"/>
        <v>53</v>
      </c>
    </row>
    <row r="7" spans="1:28" x14ac:dyDescent="0.25">
      <c r="A7" s="48">
        <v>5</v>
      </c>
      <c r="B7" s="49">
        <v>5</v>
      </c>
      <c r="C7" s="49">
        <v>36</v>
      </c>
      <c r="D7" s="49">
        <v>64</v>
      </c>
      <c r="E7" s="49">
        <v>95</v>
      </c>
      <c r="F7" s="49">
        <v>125</v>
      </c>
      <c r="G7" s="49">
        <v>156</v>
      </c>
      <c r="H7" s="49">
        <v>186</v>
      </c>
      <c r="I7" s="49">
        <v>217</v>
      </c>
      <c r="J7" s="49">
        <v>248</v>
      </c>
      <c r="K7" s="49">
        <v>278</v>
      </c>
      <c r="L7" s="49">
        <v>309</v>
      </c>
      <c r="M7" s="49">
        <v>339</v>
      </c>
      <c r="N7"/>
      <c r="P7" s="130">
        <f t="shared" si="0"/>
        <v>5</v>
      </c>
      <c r="Q7" s="140">
        <f t="shared" si="0"/>
        <v>83</v>
      </c>
      <c r="R7" s="140">
        <f t="shared" si="0"/>
        <v>114</v>
      </c>
      <c r="S7" s="140">
        <f t="shared" si="0"/>
        <v>145</v>
      </c>
      <c r="T7" s="140">
        <f t="shared" si="0"/>
        <v>176</v>
      </c>
      <c r="U7" s="140">
        <f t="shared" si="0"/>
        <v>207</v>
      </c>
      <c r="V7" s="140">
        <f t="shared" si="0"/>
        <v>238</v>
      </c>
      <c r="W7" s="140">
        <f t="shared" si="0"/>
        <v>269</v>
      </c>
      <c r="X7" s="140">
        <f t="shared" si="0"/>
        <v>299</v>
      </c>
      <c r="Y7" s="140">
        <f t="shared" si="0"/>
        <v>329</v>
      </c>
      <c r="Z7" s="140">
        <f t="shared" si="0"/>
        <v>359</v>
      </c>
      <c r="AA7" s="140">
        <f t="shared" si="0"/>
        <v>24</v>
      </c>
      <c r="AB7" s="140">
        <f t="shared" si="0"/>
        <v>54</v>
      </c>
    </row>
    <row r="8" spans="1:28" x14ac:dyDescent="0.25">
      <c r="A8" s="48">
        <v>6</v>
      </c>
      <c r="B8" s="49">
        <v>6</v>
      </c>
      <c r="C8" s="49">
        <v>37</v>
      </c>
      <c r="D8" s="49">
        <v>65</v>
      </c>
      <c r="E8" s="49">
        <v>96</v>
      </c>
      <c r="F8" s="49">
        <v>126</v>
      </c>
      <c r="G8" s="49">
        <v>157</v>
      </c>
      <c r="H8" s="49">
        <v>187</v>
      </c>
      <c r="I8" s="49">
        <v>218</v>
      </c>
      <c r="J8" s="49">
        <v>249</v>
      </c>
      <c r="K8" s="49">
        <v>279</v>
      </c>
      <c r="L8" s="49">
        <v>310</v>
      </c>
      <c r="M8" s="49">
        <v>340</v>
      </c>
      <c r="N8"/>
      <c r="P8" s="130">
        <f t="shared" si="0"/>
        <v>6</v>
      </c>
      <c r="Q8" s="140">
        <f t="shared" si="0"/>
        <v>84</v>
      </c>
      <c r="R8" s="140">
        <f t="shared" si="0"/>
        <v>115</v>
      </c>
      <c r="S8" s="140">
        <f t="shared" si="0"/>
        <v>146</v>
      </c>
      <c r="T8" s="140">
        <f t="shared" si="0"/>
        <v>177</v>
      </c>
      <c r="U8" s="140">
        <f t="shared" si="0"/>
        <v>208</v>
      </c>
      <c r="V8" s="140">
        <f t="shared" si="0"/>
        <v>239</v>
      </c>
      <c r="W8" s="140">
        <f t="shared" si="0"/>
        <v>270</v>
      </c>
      <c r="X8" s="140">
        <f t="shared" si="0"/>
        <v>300</v>
      </c>
      <c r="Y8" s="140">
        <f t="shared" si="0"/>
        <v>330</v>
      </c>
      <c r="Z8" s="140">
        <f t="shared" si="0"/>
        <v>360</v>
      </c>
      <c r="AA8" s="140">
        <f t="shared" si="0"/>
        <v>25</v>
      </c>
      <c r="AB8" s="140">
        <f t="shared" si="0"/>
        <v>55</v>
      </c>
    </row>
    <row r="9" spans="1:28" x14ac:dyDescent="0.25">
      <c r="A9" s="48">
        <v>7</v>
      </c>
      <c r="B9" s="49">
        <v>7</v>
      </c>
      <c r="C9" s="49">
        <v>38</v>
      </c>
      <c r="D9" s="49">
        <v>66</v>
      </c>
      <c r="E9" s="49">
        <v>97</v>
      </c>
      <c r="F9" s="49">
        <v>127</v>
      </c>
      <c r="G9" s="49">
        <v>158</v>
      </c>
      <c r="H9" s="49">
        <v>188</v>
      </c>
      <c r="I9" s="49">
        <v>219</v>
      </c>
      <c r="J9" s="49">
        <v>250</v>
      </c>
      <c r="K9" s="49">
        <v>280</v>
      </c>
      <c r="L9" s="49">
        <v>311</v>
      </c>
      <c r="M9" s="49">
        <v>341</v>
      </c>
      <c r="N9"/>
      <c r="P9" s="130">
        <f t="shared" si="0"/>
        <v>7</v>
      </c>
      <c r="Q9" s="140">
        <f t="shared" si="0"/>
        <v>85</v>
      </c>
      <c r="R9" s="140">
        <f t="shared" si="0"/>
        <v>116</v>
      </c>
      <c r="S9" s="140">
        <f t="shared" si="0"/>
        <v>147</v>
      </c>
      <c r="T9" s="140">
        <f t="shared" si="0"/>
        <v>178</v>
      </c>
      <c r="U9" s="140">
        <f t="shared" si="0"/>
        <v>209</v>
      </c>
      <c r="V9" s="140">
        <f t="shared" si="0"/>
        <v>240</v>
      </c>
      <c r="W9" s="140">
        <f t="shared" si="0"/>
        <v>271</v>
      </c>
      <c r="X9" s="140">
        <f t="shared" si="0"/>
        <v>301</v>
      </c>
      <c r="Y9" s="140">
        <f t="shared" si="0"/>
        <v>331</v>
      </c>
      <c r="Z9" s="140">
        <f t="shared" si="0"/>
        <v>361</v>
      </c>
      <c r="AA9" s="140">
        <f t="shared" si="0"/>
        <v>26</v>
      </c>
      <c r="AB9" s="140">
        <f t="shared" si="0"/>
        <v>56</v>
      </c>
    </row>
    <row r="10" spans="1:28" x14ac:dyDescent="0.25">
      <c r="A10" s="48">
        <v>8</v>
      </c>
      <c r="B10" s="49">
        <v>8</v>
      </c>
      <c r="C10" s="49">
        <v>39</v>
      </c>
      <c r="D10" s="49">
        <v>67</v>
      </c>
      <c r="E10" s="49">
        <v>98</v>
      </c>
      <c r="F10" s="49">
        <v>128</v>
      </c>
      <c r="G10" s="49">
        <v>159</v>
      </c>
      <c r="H10" s="49">
        <v>189</v>
      </c>
      <c r="I10" s="49">
        <v>220</v>
      </c>
      <c r="J10" s="49">
        <v>251</v>
      </c>
      <c r="K10" s="49">
        <v>281</v>
      </c>
      <c r="L10" s="49">
        <v>312</v>
      </c>
      <c r="M10" s="49">
        <v>342</v>
      </c>
      <c r="N10"/>
      <c r="P10" s="130">
        <f t="shared" si="0"/>
        <v>8</v>
      </c>
      <c r="Q10" s="140">
        <f t="shared" si="0"/>
        <v>86</v>
      </c>
      <c r="R10" s="140">
        <f t="shared" si="0"/>
        <v>117</v>
      </c>
      <c r="S10" s="140">
        <f t="shared" si="0"/>
        <v>148</v>
      </c>
      <c r="T10" s="140">
        <f t="shared" si="0"/>
        <v>179</v>
      </c>
      <c r="U10" s="140">
        <f t="shared" si="0"/>
        <v>210</v>
      </c>
      <c r="V10" s="140">
        <f t="shared" si="0"/>
        <v>241</v>
      </c>
      <c r="W10" s="140">
        <f t="shared" si="0"/>
        <v>272</v>
      </c>
      <c r="X10" s="140">
        <f t="shared" si="0"/>
        <v>302</v>
      </c>
      <c r="Y10" s="140">
        <f t="shared" si="0"/>
        <v>332</v>
      </c>
      <c r="Z10" s="140">
        <f t="shared" si="0"/>
        <v>362</v>
      </c>
      <c r="AA10" s="140">
        <f t="shared" si="0"/>
        <v>27</v>
      </c>
      <c r="AB10" s="140">
        <f t="shared" si="0"/>
        <v>57</v>
      </c>
    </row>
    <row r="11" spans="1:28" x14ac:dyDescent="0.25">
      <c r="A11" s="48">
        <v>9</v>
      </c>
      <c r="B11" s="49">
        <v>9</v>
      </c>
      <c r="C11" s="49">
        <v>40</v>
      </c>
      <c r="D11" s="49">
        <v>68</v>
      </c>
      <c r="E11" s="49">
        <v>99</v>
      </c>
      <c r="F11" s="49">
        <v>129</v>
      </c>
      <c r="G11" s="49">
        <v>160</v>
      </c>
      <c r="H11" s="49">
        <v>190</v>
      </c>
      <c r="I11" s="49">
        <v>221</v>
      </c>
      <c r="J11" s="49">
        <v>252</v>
      </c>
      <c r="K11" s="49">
        <v>282</v>
      </c>
      <c r="L11" s="49">
        <v>313</v>
      </c>
      <c r="M11" s="49">
        <v>343</v>
      </c>
      <c r="N11"/>
      <c r="P11" s="130">
        <f t="shared" si="0"/>
        <v>9</v>
      </c>
      <c r="Q11" s="140">
        <f t="shared" si="0"/>
        <v>87</v>
      </c>
      <c r="R11" s="140">
        <f t="shared" si="0"/>
        <v>118</v>
      </c>
      <c r="S11" s="140">
        <f t="shared" si="0"/>
        <v>149</v>
      </c>
      <c r="T11" s="140">
        <f t="shared" si="0"/>
        <v>180</v>
      </c>
      <c r="U11" s="140">
        <f t="shared" si="0"/>
        <v>211</v>
      </c>
      <c r="V11" s="140">
        <f t="shared" si="0"/>
        <v>242</v>
      </c>
      <c r="W11" s="140">
        <f t="shared" si="0"/>
        <v>273</v>
      </c>
      <c r="X11" s="140">
        <f t="shared" si="0"/>
        <v>303</v>
      </c>
      <c r="Y11" s="140">
        <f t="shared" si="0"/>
        <v>333</v>
      </c>
      <c r="Z11" s="140">
        <f t="shared" si="0"/>
        <v>363</v>
      </c>
      <c r="AA11" s="140">
        <f t="shared" si="0"/>
        <v>28</v>
      </c>
      <c r="AB11" s="140">
        <f t="shared" si="0"/>
        <v>58</v>
      </c>
    </row>
    <row r="12" spans="1:28" x14ac:dyDescent="0.25">
      <c r="A12" s="48">
        <v>10</v>
      </c>
      <c r="B12" s="49">
        <v>10</v>
      </c>
      <c r="C12" s="49">
        <v>41</v>
      </c>
      <c r="D12" s="49">
        <v>69</v>
      </c>
      <c r="E12" s="49">
        <v>100</v>
      </c>
      <c r="F12" s="49">
        <v>130</v>
      </c>
      <c r="G12" s="49">
        <v>161</v>
      </c>
      <c r="H12" s="49">
        <v>191</v>
      </c>
      <c r="I12" s="49">
        <v>222</v>
      </c>
      <c r="J12" s="49">
        <v>253</v>
      </c>
      <c r="K12" s="49">
        <v>283</v>
      </c>
      <c r="L12" s="49">
        <v>314</v>
      </c>
      <c r="M12" s="49">
        <v>344</v>
      </c>
      <c r="N12"/>
      <c r="P12" s="130">
        <f t="shared" si="0"/>
        <v>10</v>
      </c>
      <c r="Q12" s="140">
        <f t="shared" si="0"/>
        <v>88</v>
      </c>
      <c r="R12" s="140">
        <f t="shared" si="0"/>
        <v>119</v>
      </c>
      <c r="S12" s="140">
        <f t="shared" si="0"/>
        <v>150</v>
      </c>
      <c r="T12" s="140">
        <f t="shared" si="0"/>
        <v>181</v>
      </c>
      <c r="U12" s="140">
        <f t="shared" si="0"/>
        <v>212</v>
      </c>
      <c r="V12" s="140">
        <f t="shared" si="0"/>
        <v>243</v>
      </c>
      <c r="W12" s="140">
        <f t="shared" si="0"/>
        <v>274</v>
      </c>
      <c r="X12" s="140">
        <f t="shared" si="0"/>
        <v>304</v>
      </c>
      <c r="Y12" s="140">
        <f t="shared" si="0"/>
        <v>334</v>
      </c>
      <c r="Z12" s="140">
        <f t="shared" si="0"/>
        <v>364</v>
      </c>
      <c r="AA12" s="140">
        <f t="shared" si="0"/>
        <v>29</v>
      </c>
      <c r="AB12" s="140">
        <f t="shared" si="0"/>
        <v>59</v>
      </c>
    </row>
    <row r="13" spans="1:28" x14ac:dyDescent="0.25">
      <c r="A13" s="48">
        <v>11</v>
      </c>
      <c r="B13" s="49">
        <v>11</v>
      </c>
      <c r="C13" s="49">
        <v>42</v>
      </c>
      <c r="D13" s="49">
        <v>70</v>
      </c>
      <c r="E13" s="49">
        <v>101</v>
      </c>
      <c r="F13" s="49">
        <v>131</v>
      </c>
      <c r="G13" s="49">
        <v>162</v>
      </c>
      <c r="H13" s="49">
        <v>192</v>
      </c>
      <c r="I13" s="49">
        <v>223</v>
      </c>
      <c r="J13" s="49">
        <v>254</v>
      </c>
      <c r="K13" s="49">
        <v>284</v>
      </c>
      <c r="L13" s="49">
        <v>315</v>
      </c>
      <c r="M13" s="49">
        <v>345</v>
      </c>
      <c r="N13"/>
      <c r="P13" s="130">
        <f t="shared" si="0"/>
        <v>11</v>
      </c>
      <c r="Q13" s="140">
        <f t="shared" si="0"/>
        <v>89</v>
      </c>
      <c r="R13" s="140">
        <f t="shared" si="0"/>
        <v>120</v>
      </c>
      <c r="S13" s="140">
        <f t="shared" si="0"/>
        <v>151</v>
      </c>
      <c r="T13" s="140">
        <f t="shared" si="0"/>
        <v>182</v>
      </c>
      <c r="U13" s="140">
        <f t="shared" si="0"/>
        <v>213</v>
      </c>
      <c r="V13" s="140">
        <f t="shared" si="0"/>
        <v>244</v>
      </c>
      <c r="W13" s="140">
        <f t="shared" si="0"/>
        <v>275</v>
      </c>
      <c r="X13" s="140">
        <f t="shared" si="0"/>
        <v>305</v>
      </c>
      <c r="Y13" s="140">
        <f t="shared" si="0"/>
        <v>335</v>
      </c>
      <c r="Z13" s="140">
        <f t="shared" si="0"/>
        <v>365</v>
      </c>
      <c r="AA13" s="140">
        <f t="shared" si="0"/>
        <v>30</v>
      </c>
      <c r="AB13" s="140">
        <f t="shared" si="0"/>
        <v>60</v>
      </c>
    </row>
    <row r="14" spans="1:28" x14ac:dyDescent="0.25">
      <c r="A14" s="48">
        <v>12</v>
      </c>
      <c r="B14" s="49">
        <v>12</v>
      </c>
      <c r="C14" s="49">
        <v>43</v>
      </c>
      <c r="D14" s="49">
        <v>71</v>
      </c>
      <c r="E14" s="49">
        <v>102</v>
      </c>
      <c r="F14" s="49">
        <v>132</v>
      </c>
      <c r="G14" s="49">
        <v>163</v>
      </c>
      <c r="H14" s="49">
        <v>193</v>
      </c>
      <c r="I14" s="49">
        <v>224</v>
      </c>
      <c r="J14" s="49">
        <v>255</v>
      </c>
      <c r="K14" s="49">
        <v>285</v>
      </c>
      <c r="L14" s="49">
        <v>316</v>
      </c>
      <c r="M14" s="49">
        <v>346</v>
      </c>
      <c r="N14"/>
      <c r="P14" s="130">
        <f t="shared" si="0"/>
        <v>12</v>
      </c>
      <c r="Q14" s="140">
        <f t="shared" si="0"/>
        <v>90</v>
      </c>
      <c r="R14" s="140">
        <f t="shared" si="0"/>
        <v>121</v>
      </c>
      <c r="S14" s="140">
        <f t="shared" si="0"/>
        <v>152</v>
      </c>
      <c r="T14" s="140">
        <f t="shared" si="0"/>
        <v>183</v>
      </c>
      <c r="U14" s="140">
        <f t="shared" si="0"/>
        <v>214</v>
      </c>
      <c r="V14" s="140">
        <f t="shared" si="0"/>
        <v>245</v>
      </c>
      <c r="W14" s="140">
        <f t="shared" si="0"/>
        <v>276</v>
      </c>
      <c r="X14" s="140">
        <f t="shared" si="0"/>
        <v>306</v>
      </c>
      <c r="Y14" s="140">
        <f t="shared" si="0"/>
        <v>336</v>
      </c>
      <c r="Z14" s="140">
        <v>1</v>
      </c>
      <c r="AA14" s="140">
        <f t="shared" si="0"/>
        <v>31</v>
      </c>
      <c r="AB14" s="140">
        <f t="shared" si="0"/>
        <v>61</v>
      </c>
    </row>
    <row r="15" spans="1:28" x14ac:dyDescent="0.25">
      <c r="A15" s="48">
        <v>13</v>
      </c>
      <c r="B15" s="49">
        <v>13</v>
      </c>
      <c r="C15" s="49">
        <v>44</v>
      </c>
      <c r="D15" s="49">
        <v>72</v>
      </c>
      <c r="E15" s="49">
        <v>103</v>
      </c>
      <c r="F15" s="49">
        <v>133</v>
      </c>
      <c r="G15" s="49">
        <v>164</v>
      </c>
      <c r="H15" s="49">
        <v>194</v>
      </c>
      <c r="I15" s="49">
        <v>225</v>
      </c>
      <c r="J15" s="49">
        <v>256</v>
      </c>
      <c r="K15" s="49">
        <v>286</v>
      </c>
      <c r="L15" s="49">
        <v>317</v>
      </c>
      <c r="M15" s="49">
        <v>347</v>
      </c>
      <c r="N15"/>
      <c r="P15" s="130">
        <f t="shared" si="0"/>
        <v>13</v>
      </c>
      <c r="Q15" s="140">
        <f t="shared" si="0"/>
        <v>91</v>
      </c>
      <c r="R15" s="140">
        <f t="shared" si="0"/>
        <v>122</v>
      </c>
      <c r="S15" s="140">
        <f t="shared" si="0"/>
        <v>153</v>
      </c>
      <c r="T15" s="140">
        <f t="shared" si="0"/>
        <v>184</v>
      </c>
      <c r="U15" s="140">
        <f t="shared" si="0"/>
        <v>215</v>
      </c>
      <c r="V15" s="140">
        <f t="shared" si="0"/>
        <v>246</v>
      </c>
      <c r="W15" s="140">
        <f t="shared" si="0"/>
        <v>277</v>
      </c>
      <c r="X15" s="140">
        <f t="shared" si="0"/>
        <v>307</v>
      </c>
      <c r="Y15" s="140">
        <f t="shared" si="0"/>
        <v>337</v>
      </c>
      <c r="Z15" s="140">
        <f t="shared" si="0"/>
        <v>2</v>
      </c>
      <c r="AA15" s="140">
        <f t="shared" si="0"/>
        <v>32</v>
      </c>
      <c r="AB15" s="140">
        <f t="shared" si="0"/>
        <v>62</v>
      </c>
    </row>
    <row r="16" spans="1:28" x14ac:dyDescent="0.25">
      <c r="A16" s="48">
        <v>14</v>
      </c>
      <c r="B16" s="49">
        <v>14</v>
      </c>
      <c r="C16" s="49">
        <v>45</v>
      </c>
      <c r="D16" s="49">
        <v>73</v>
      </c>
      <c r="E16" s="49">
        <v>104</v>
      </c>
      <c r="F16" s="49">
        <v>134</v>
      </c>
      <c r="G16" s="49">
        <v>165</v>
      </c>
      <c r="H16" s="49">
        <v>195</v>
      </c>
      <c r="I16" s="49">
        <v>226</v>
      </c>
      <c r="J16" s="49">
        <v>257</v>
      </c>
      <c r="K16" s="49">
        <v>287</v>
      </c>
      <c r="L16" s="49">
        <v>318</v>
      </c>
      <c r="M16" s="49">
        <v>348</v>
      </c>
      <c r="N16"/>
      <c r="P16" s="130">
        <f t="shared" si="0"/>
        <v>14</v>
      </c>
      <c r="Q16" s="140">
        <f t="shared" si="0"/>
        <v>92</v>
      </c>
      <c r="R16" s="140">
        <f t="shared" si="0"/>
        <v>123</v>
      </c>
      <c r="S16" s="140">
        <f t="shared" si="0"/>
        <v>154</v>
      </c>
      <c r="T16" s="140">
        <f t="shared" si="0"/>
        <v>185</v>
      </c>
      <c r="U16" s="140">
        <f t="shared" si="0"/>
        <v>216</v>
      </c>
      <c r="V16" s="140">
        <f t="shared" si="0"/>
        <v>247</v>
      </c>
      <c r="W16" s="140">
        <f t="shared" si="0"/>
        <v>278</v>
      </c>
      <c r="X16" s="140">
        <f t="shared" si="0"/>
        <v>308</v>
      </c>
      <c r="Y16" s="140">
        <f t="shared" si="0"/>
        <v>338</v>
      </c>
      <c r="Z16" s="140">
        <f t="shared" si="0"/>
        <v>3</v>
      </c>
      <c r="AA16" s="140">
        <f t="shared" si="0"/>
        <v>33</v>
      </c>
      <c r="AB16" s="140">
        <f t="shared" si="0"/>
        <v>63</v>
      </c>
    </row>
    <row r="17" spans="1:28" x14ac:dyDescent="0.25">
      <c r="A17" s="48">
        <v>15</v>
      </c>
      <c r="B17" s="49">
        <v>15</v>
      </c>
      <c r="C17" s="49">
        <v>46</v>
      </c>
      <c r="D17" s="49">
        <v>74</v>
      </c>
      <c r="E17" s="49">
        <v>105</v>
      </c>
      <c r="F17" s="49">
        <v>135</v>
      </c>
      <c r="G17" s="49">
        <v>166</v>
      </c>
      <c r="H17" s="49">
        <v>196</v>
      </c>
      <c r="I17" s="49">
        <v>227</v>
      </c>
      <c r="J17" s="49">
        <v>258</v>
      </c>
      <c r="K17" s="49">
        <v>288</v>
      </c>
      <c r="L17" s="49">
        <v>319</v>
      </c>
      <c r="M17" s="49">
        <v>349</v>
      </c>
      <c r="N17"/>
      <c r="P17" s="130">
        <f t="shared" si="0"/>
        <v>15</v>
      </c>
      <c r="Q17" s="140">
        <f t="shared" si="0"/>
        <v>93</v>
      </c>
      <c r="R17" s="140">
        <f t="shared" si="0"/>
        <v>124</v>
      </c>
      <c r="S17" s="140">
        <f t="shared" si="0"/>
        <v>155</v>
      </c>
      <c r="T17" s="140">
        <f t="shared" si="0"/>
        <v>186</v>
      </c>
      <c r="U17" s="140">
        <f t="shared" si="0"/>
        <v>217</v>
      </c>
      <c r="V17" s="140">
        <f t="shared" si="0"/>
        <v>248</v>
      </c>
      <c r="W17" s="140">
        <f t="shared" si="0"/>
        <v>279</v>
      </c>
      <c r="X17" s="140">
        <f t="shared" si="0"/>
        <v>309</v>
      </c>
      <c r="Y17" s="140">
        <f t="shared" si="0"/>
        <v>339</v>
      </c>
      <c r="Z17" s="140">
        <f t="shared" si="0"/>
        <v>4</v>
      </c>
      <c r="AA17" s="140">
        <f t="shared" si="0"/>
        <v>34</v>
      </c>
      <c r="AB17" s="140">
        <f t="shared" si="0"/>
        <v>64</v>
      </c>
    </row>
    <row r="18" spans="1:28" x14ac:dyDescent="0.25">
      <c r="A18" s="48">
        <v>16</v>
      </c>
      <c r="B18" s="49">
        <v>16</v>
      </c>
      <c r="C18" s="49">
        <v>47</v>
      </c>
      <c r="D18" s="49">
        <v>75</v>
      </c>
      <c r="E18" s="49">
        <v>106</v>
      </c>
      <c r="F18" s="49">
        <v>136</v>
      </c>
      <c r="G18" s="49">
        <v>167</v>
      </c>
      <c r="H18" s="49">
        <v>197</v>
      </c>
      <c r="I18" s="49">
        <v>228</v>
      </c>
      <c r="J18" s="49">
        <v>259</v>
      </c>
      <c r="K18" s="49">
        <v>289</v>
      </c>
      <c r="L18" s="49">
        <v>320</v>
      </c>
      <c r="M18" s="49">
        <v>350</v>
      </c>
      <c r="N18"/>
      <c r="P18" s="130">
        <f t="shared" si="0"/>
        <v>16</v>
      </c>
      <c r="Q18" s="140">
        <f t="shared" si="0"/>
        <v>94</v>
      </c>
      <c r="R18" s="140">
        <f t="shared" si="0"/>
        <v>125</v>
      </c>
      <c r="S18" s="140">
        <f t="shared" si="0"/>
        <v>156</v>
      </c>
      <c r="T18" s="140">
        <f t="shared" si="0"/>
        <v>187</v>
      </c>
      <c r="U18" s="140">
        <f t="shared" si="0"/>
        <v>218</v>
      </c>
      <c r="V18" s="140">
        <f t="shared" si="0"/>
        <v>249</v>
      </c>
      <c r="W18" s="140">
        <f t="shared" si="0"/>
        <v>280</v>
      </c>
      <c r="X18" s="140">
        <f t="shared" si="0"/>
        <v>310</v>
      </c>
      <c r="Y18" s="140">
        <f t="shared" si="0"/>
        <v>340</v>
      </c>
      <c r="Z18" s="140">
        <f t="shared" si="0"/>
        <v>5</v>
      </c>
      <c r="AA18" s="140">
        <f t="shared" si="0"/>
        <v>35</v>
      </c>
      <c r="AB18" s="140">
        <f t="shared" si="0"/>
        <v>65</v>
      </c>
    </row>
    <row r="19" spans="1:28" x14ac:dyDescent="0.25">
      <c r="A19" s="48">
        <v>17</v>
      </c>
      <c r="B19" s="49">
        <v>17</v>
      </c>
      <c r="C19" s="49">
        <v>48</v>
      </c>
      <c r="D19" s="49">
        <v>76</v>
      </c>
      <c r="E19" s="49">
        <v>107</v>
      </c>
      <c r="F19" s="49">
        <v>137</v>
      </c>
      <c r="G19" s="49">
        <v>168</v>
      </c>
      <c r="H19" s="49">
        <v>198</v>
      </c>
      <c r="I19" s="49">
        <v>229</v>
      </c>
      <c r="J19" s="49">
        <v>260</v>
      </c>
      <c r="K19" s="49">
        <v>290</v>
      </c>
      <c r="L19" s="49">
        <v>321</v>
      </c>
      <c r="M19" s="49">
        <v>351</v>
      </c>
      <c r="N19"/>
      <c r="P19" s="130">
        <f t="shared" si="0"/>
        <v>17</v>
      </c>
      <c r="Q19" s="140">
        <f t="shared" si="0"/>
        <v>95</v>
      </c>
      <c r="R19" s="140">
        <f t="shared" si="0"/>
        <v>126</v>
      </c>
      <c r="S19" s="140">
        <f t="shared" si="0"/>
        <v>157</v>
      </c>
      <c r="T19" s="140">
        <f t="shared" si="0"/>
        <v>188</v>
      </c>
      <c r="U19" s="140">
        <f t="shared" si="0"/>
        <v>219</v>
      </c>
      <c r="V19" s="140">
        <f t="shared" si="0"/>
        <v>250</v>
      </c>
      <c r="W19" s="140">
        <f t="shared" si="0"/>
        <v>281</v>
      </c>
      <c r="X19" s="140">
        <f t="shared" si="0"/>
        <v>311</v>
      </c>
      <c r="Y19" s="140">
        <f t="shared" si="0"/>
        <v>341</v>
      </c>
      <c r="Z19" s="140">
        <f t="shared" si="0"/>
        <v>6</v>
      </c>
      <c r="AA19" s="140">
        <f t="shared" si="0"/>
        <v>36</v>
      </c>
      <c r="AB19" s="140">
        <f t="shared" si="0"/>
        <v>66</v>
      </c>
    </row>
    <row r="20" spans="1:28" x14ac:dyDescent="0.25">
      <c r="A20" s="48">
        <v>18</v>
      </c>
      <c r="B20" s="49">
        <v>18</v>
      </c>
      <c r="C20" s="49">
        <v>49</v>
      </c>
      <c r="D20" s="49">
        <v>77</v>
      </c>
      <c r="E20" s="49">
        <v>108</v>
      </c>
      <c r="F20" s="49">
        <v>138</v>
      </c>
      <c r="G20" s="49">
        <v>169</v>
      </c>
      <c r="H20" s="49">
        <v>199</v>
      </c>
      <c r="I20" s="49">
        <v>230</v>
      </c>
      <c r="J20" s="49">
        <v>261</v>
      </c>
      <c r="K20" s="49">
        <v>291</v>
      </c>
      <c r="L20" s="49">
        <v>322</v>
      </c>
      <c r="M20" s="49">
        <v>352</v>
      </c>
      <c r="N20"/>
      <c r="P20" s="130">
        <f t="shared" ref="P20:AB33" si="1">P19+1</f>
        <v>18</v>
      </c>
      <c r="Q20" s="140">
        <f t="shared" si="1"/>
        <v>96</v>
      </c>
      <c r="R20" s="140">
        <f t="shared" si="1"/>
        <v>127</v>
      </c>
      <c r="S20" s="140">
        <f t="shared" si="1"/>
        <v>158</v>
      </c>
      <c r="T20" s="140">
        <f t="shared" si="1"/>
        <v>189</v>
      </c>
      <c r="U20" s="140">
        <f t="shared" si="1"/>
        <v>220</v>
      </c>
      <c r="V20" s="140">
        <f t="shared" si="1"/>
        <v>251</v>
      </c>
      <c r="W20" s="140">
        <f t="shared" si="1"/>
        <v>282</v>
      </c>
      <c r="X20" s="140">
        <f t="shared" si="1"/>
        <v>312</v>
      </c>
      <c r="Y20" s="140">
        <f t="shared" si="1"/>
        <v>342</v>
      </c>
      <c r="Z20" s="140">
        <f t="shared" si="1"/>
        <v>7</v>
      </c>
      <c r="AA20" s="140">
        <f t="shared" si="1"/>
        <v>37</v>
      </c>
      <c r="AB20" s="140">
        <f t="shared" si="1"/>
        <v>67</v>
      </c>
    </row>
    <row r="21" spans="1:28" x14ac:dyDescent="0.25">
      <c r="A21" s="48">
        <v>19</v>
      </c>
      <c r="B21" s="49">
        <v>19</v>
      </c>
      <c r="C21" s="49">
        <v>50</v>
      </c>
      <c r="D21" s="49">
        <v>78</v>
      </c>
      <c r="E21" s="49">
        <v>109</v>
      </c>
      <c r="F21" s="49">
        <v>139</v>
      </c>
      <c r="G21" s="49">
        <v>170</v>
      </c>
      <c r="H21" s="49">
        <v>200</v>
      </c>
      <c r="I21" s="49">
        <v>231</v>
      </c>
      <c r="J21" s="49">
        <v>262</v>
      </c>
      <c r="K21" s="49">
        <v>292</v>
      </c>
      <c r="L21" s="49">
        <v>323</v>
      </c>
      <c r="M21" s="49">
        <v>353</v>
      </c>
      <c r="N21"/>
      <c r="P21" s="130">
        <f t="shared" si="1"/>
        <v>19</v>
      </c>
      <c r="Q21" s="140">
        <f t="shared" si="1"/>
        <v>97</v>
      </c>
      <c r="R21" s="140">
        <f t="shared" si="1"/>
        <v>128</v>
      </c>
      <c r="S21" s="140">
        <f t="shared" si="1"/>
        <v>159</v>
      </c>
      <c r="T21" s="140">
        <f t="shared" si="1"/>
        <v>190</v>
      </c>
      <c r="U21" s="140">
        <f t="shared" si="1"/>
        <v>221</v>
      </c>
      <c r="V21" s="140">
        <f t="shared" si="1"/>
        <v>252</v>
      </c>
      <c r="W21" s="140">
        <f t="shared" si="1"/>
        <v>283</v>
      </c>
      <c r="X21" s="140">
        <f t="shared" si="1"/>
        <v>313</v>
      </c>
      <c r="Y21" s="140">
        <f t="shared" si="1"/>
        <v>343</v>
      </c>
      <c r="Z21" s="140">
        <f t="shared" si="1"/>
        <v>8</v>
      </c>
      <c r="AA21" s="140">
        <f t="shared" si="1"/>
        <v>38</v>
      </c>
      <c r="AB21" s="140">
        <f t="shared" si="1"/>
        <v>68</v>
      </c>
    </row>
    <row r="22" spans="1:28" x14ac:dyDescent="0.25">
      <c r="A22" s="48">
        <v>20</v>
      </c>
      <c r="B22" s="49">
        <v>20</v>
      </c>
      <c r="C22" s="49">
        <v>51</v>
      </c>
      <c r="D22" s="49">
        <v>79</v>
      </c>
      <c r="E22" s="49">
        <v>110</v>
      </c>
      <c r="F22" s="49">
        <v>140</v>
      </c>
      <c r="G22" s="49">
        <v>171</v>
      </c>
      <c r="H22" s="49">
        <v>201</v>
      </c>
      <c r="I22" s="49">
        <v>232</v>
      </c>
      <c r="J22" s="49">
        <v>263</v>
      </c>
      <c r="K22" s="49">
        <v>293</v>
      </c>
      <c r="L22" s="49">
        <v>324</v>
      </c>
      <c r="M22" s="49">
        <v>354</v>
      </c>
      <c r="N22"/>
      <c r="P22" s="130">
        <f t="shared" si="1"/>
        <v>20</v>
      </c>
      <c r="Q22" s="140">
        <f t="shared" si="1"/>
        <v>98</v>
      </c>
      <c r="R22" s="140">
        <f t="shared" si="1"/>
        <v>129</v>
      </c>
      <c r="S22" s="140">
        <f t="shared" si="1"/>
        <v>160</v>
      </c>
      <c r="T22" s="140">
        <f t="shared" si="1"/>
        <v>191</v>
      </c>
      <c r="U22" s="140">
        <f t="shared" si="1"/>
        <v>222</v>
      </c>
      <c r="V22" s="140">
        <f t="shared" si="1"/>
        <v>253</v>
      </c>
      <c r="W22" s="140">
        <f t="shared" si="1"/>
        <v>284</v>
      </c>
      <c r="X22" s="140">
        <f t="shared" si="1"/>
        <v>314</v>
      </c>
      <c r="Y22" s="140">
        <f t="shared" si="1"/>
        <v>344</v>
      </c>
      <c r="Z22" s="140">
        <f t="shared" si="1"/>
        <v>9</v>
      </c>
      <c r="AA22" s="140">
        <f t="shared" si="1"/>
        <v>39</v>
      </c>
      <c r="AB22" s="140">
        <f t="shared" si="1"/>
        <v>69</v>
      </c>
    </row>
    <row r="23" spans="1:28" x14ac:dyDescent="0.25">
      <c r="A23" s="48">
        <v>21</v>
      </c>
      <c r="B23" s="49">
        <v>21</v>
      </c>
      <c r="C23" s="49">
        <v>52</v>
      </c>
      <c r="D23" s="49">
        <v>80</v>
      </c>
      <c r="E23" s="49">
        <v>111</v>
      </c>
      <c r="F23" s="49">
        <v>141</v>
      </c>
      <c r="G23" s="49">
        <v>172</v>
      </c>
      <c r="H23" s="49">
        <v>202</v>
      </c>
      <c r="I23" s="49">
        <v>233</v>
      </c>
      <c r="J23" s="49">
        <v>264</v>
      </c>
      <c r="K23" s="49">
        <v>294</v>
      </c>
      <c r="L23" s="49">
        <v>325</v>
      </c>
      <c r="M23" s="49">
        <v>355</v>
      </c>
      <c r="N23"/>
      <c r="P23" s="130">
        <f t="shared" si="1"/>
        <v>21</v>
      </c>
      <c r="Q23" s="140">
        <f t="shared" si="1"/>
        <v>99</v>
      </c>
      <c r="R23" s="140">
        <f t="shared" si="1"/>
        <v>130</v>
      </c>
      <c r="S23" s="140">
        <f t="shared" si="1"/>
        <v>161</v>
      </c>
      <c r="T23" s="140">
        <f t="shared" si="1"/>
        <v>192</v>
      </c>
      <c r="U23" s="140">
        <f t="shared" si="1"/>
        <v>223</v>
      </c>
      <c r="V23" s="140">
        <f t="shared" si="1"/>
        <v>254</v>
      </c>
      <c r="W23" s="140">
        <f t="shared" si="1"/>
        <v>285</v>
      </c>
      <c r="X23" s="140">
        <f t="shared" si="1"/>
        <v>315</v>
      </c>
      <c r="Y23" s="140">
        <f t="shared" si="1"/>
        <v>345</v>
      </c>
      <c r="Z23" s="140">
        <f t="shared" si="1"/>
        <v>10</v>
      </c>
      <c r="AA23" s="140">
        <f t="shared" si="1"/>
        <v>40</v>
      </c>
      <c r="AB23" s="140">
        <f t="shared" si="1"/>
        <v>70</v>
      </c>
    </row>
    <row r="24" spans="1:28" x14ac:dyDescent="0.25">
      <c r="A24" s="48">
        <v>22</v>
      </c>
      <c r="B24" s="49">
        <v>22</v>
      </c>
      <c r="C24" s="49">
        <v>53</v>
      </c>
      <c r="D24" s="49">
        <v>81</v>
      </c>
      <c r="E24" s="49">
        <v>112</v>
      </c>
      <c r="F24" s="49">
        <v>142</v>
      </c>
      <c r="G24" s="49">
        <v>173</v>
      </c>
      <c r="H24" s="49">
        <v>203</v>
      </c>
      <c r="I24" s="49">
        <v>234</v>
      </c>
      <c r="J24" s="49">
        <v>265</v>
      </c>
      <c r="K24" s="49">
        <v>295</v>
      </c>
      <c r="L24" s="49">
        <v>326</v>
      </c>
      <c r="M24" s="49">
        <v>356</v>
      </c>
      <c r="N24"/>
      <c r="P24" s="130">
        <f t="shared" si="1"/>
        <v>22</v>
      </c>
      <c r="Q24" s="140">
        <f t="shared" si="1"/>
        <v>100</v>
      </c>
      <c r="R24" s="140">
        <f t="shared" si="1"/>
        <v>131</v>
      </c>
      <c r="S24" s="140">
        <f t="shared" si="1"/>
        <v>162</v>
      </c>
      <c r="T24" s="140">
        <f t="shared" si="1"/>
        <v>193</v>
      </c>
      <c r="U24" s="140">
        <f t="shared" si="1"/>
        <v>224</v>
      </c>
      <c r="V24" s="140">
        <f t="shared" si="1"/>
        <v>255</v>
      </c>
      <c r="W24" s="140">
        <f t="shared" si="1"/>
        <v>286</v>
      </c>
      <c r="X24" s="140">
        <f t="shared" si="1"/>
        <v>316</v>
      </c>
      <c r="Y24" s="140">
        <f t="shared" si="1"/>
        <v>346</v>
      </c>
      <c r="Z24" s="140">
        <f t="shared" si="1"/>
        <v>11</v>
      </c>
      <c r="AA24" s="140">
        <f t="shared" si="1"/>
        <v>41</v>
      </c>
      <c r="AB24" s="140">
        <f t="shared" si="1"/>
        <v>71</v>
      </c>
    </row>
    <row r="25" spans="1:28" x14ac:dyDescent="0.25">
      <c r="A25" s="48">
        <v>23</v>
      </c>
      <c r="B25" s="49">
        <v>23</v>
      </c>
      <c r="C25" s="49">
        <v>54</v>
      </c>
      <c r="D25" s="49">
        <v>82</v>
      </c>
      <c r="E25" s="49">
        <v>113</v>
      </c>
      <c r="F25" s="49">
        <v>143</v>
      </c>
      <c r="G25" s="49">
        <v>174</v>
      </c>
      <c r="H25" s="49">
        <v>204</v>
      </c>
      <c r="I25" s="49">
        <v>235</v>
      </c>
      <c r="J25" s="49">
        <v>266</v>
      </c>
      <c r="K25" s="49">
        <v>296</v>
      </c>
      <c r="L25" s="49">
        <v>327</v>
      </c>
      <c r="M25" s="49">
        <v>357</v>
      </c>
      <c r="N25"/>
      <c r="P25" s="130">
        <f t="shared" si="1"/>
        <v>23</v>
      </c>
      <c r="Q25" s="140">
        <f t="shared" si="1"/>
        <v>101</v>
      </c>
      <c r="R25" s="140">
        <f t="shared" si="1"/>
        <v>132</v>
      </c>
      <c r="S25" s="140">
        <f t="shared" si="1"/>
        <v>163</v>
      </c>
      <c r="T25" s="140">
        <f t="shared" si="1"/>
        <v>194</v>
      </c>
      <c r="U25" s="140">
        <f t="shared" si="1"/>
        <v>225</v>
      </c>
      <c r="V25" s="140">
        <f t="shared" si="1"/>
        <v>256</v>
      </c>
      <c r="W25" s="140">
        <f t="shared" si="1"/>
        <v>287</v>
      </c>
      <c r="X25" s="140">
        <f t="shared" si="1"/>
        <v>317</v>
      </c>
      <c r="Y25" s="140">
        <f t="shared" si="1"/>
        <v>347</v>
      </c>
      <c r="Z25" s="140">
        <f t="shared" si="1"/>
        <v>12</v>
      </c>
      <c r="AA25" s="140">
        <f t="shared" si="1"/>
        <v>42</v>
      </c>
      <c r="AB25" s="140">
        <f t="shared" si="1"/>
        <v>72</v>
      </c>
    </row>
    <row r="26" spans="1:28" x14ac:dyDescent="0.25">
      <c r="A26" s="48">
        <v>24</v>
      </c>
      <c r="B26" s="49">
        <v>24</v>
      </c>
      <c r="C26" s="49">
        <v>55</v>
      </c>
      <c r="D26" s="49">
        <v>83</v>
      </c>
      <c r="E26" s="49">
        <v>114</v>
      </c>
      <c r="F26" s="49">
        <v>144</v>
      </c>
      <c r="G26" s="49">
        <v>175</v>
      </c>
      <c r="H26" s="49">
        <v>205</v>
      </c>
      <c r="I26" s="49">
        <v>236</v>
      </c>
      <c r="J26" s="49">
        <v>267</v>
      </c>
      <c r="K26" s="49">
        <v>297</v>
      </c>
      <c r="L26" s="49">
        <v>328</v>
      </c>
      <c r="M26" s="49">
        <v>358</v>
      </c>
      <c r="N26"/>
      <c r="P26" s="130">
        <f t="shared" si="1"/>
        <v>24</v>
      </c>
      <c r="Q26" s="140">
        <f t="shared" si="1"/>
        <v>102</v>
      </c>
      <c r="R26" s="140">
        <f t="shared" si="1"/>
        <v>133</v>
      </c>
      <c r="S26" s="140">
        <f t="shared" si="1"/>
        <v>164</v>
      </c>
      <c r="T26" s="140">
        <f t="shared" si="1"/>
        <v>195</v>
      </c>
      <c r="U26" s="140">
        <f t="shared" si="1"/>
        <v>226</v>
      </c>
      <c r="V26" s="140">
        <f t="shared" si="1"/>
        <v>257</v>
      </c>
      <c r="W26" s="140">
        <f t="shared" si="1"/>
        <v>288</v>
      </c>
      <c r="X26" s="140">
        <f t="shared" si="1"/>
        <v>318</v>
      </c>
      <c r="Y26" s="140">
        <f t="shared" si="1"/>
        <v>348</v>
      </c>
      <c r="Z26" s="140">
        <f t="shared" si="1"/>
        <v>13</v>
      </c>
      <c r="AA26" s="140">
        <f t="shared" si="1"/>
        <v>43</v>
      </c>
      <c r="AB26" s="140">
        <f t="shared" si="1"/>
        <v>73</v>
      </c>
    </row>
    <row r="27" spans="1:28" x14ac:dyDescent="0.25">
      <c r="A27" s="48">
        <v>25</v>
      </c>
      <c r="B27" s="49">
        <v>25</v>
      </c>
      <c r="C27" s="49">
        <v>56</v>
      </c>
      <c r="D27" s="49">
        <v>84</v>
      </c>
      <c r="E27" s="49">
        <v>115</v>
      </c>
      <c r="F27" s="49">
        <v>145</v>
      </c>
      <c r="G27" s="49">
        <v>176</v>
      </c>
      <c r="H27" s="49">
        <v>206</v>
      </c>
      <c r="I27" s="49">
        <v>237</v>
      </c>
      <c r="J27" s="49">
        <v>268</v>
      </c>
      <c r="K27" s="49">
        <v>298</v>
      </c>
      <c r="L27" s="49">
        <v>329</v>
      </c>
      <c r="M27" s="49">
        <v>359</v>
      </c>
      <c r="N27"/>
      <c r="P27" s="130">
        <f t="shared" si="1"/>
        <v>25</v>
      </c>
      <c r="Q27" s="140">
        <f t="shared" si="1"/>
        <v>103</v>
      </c>
      <c r="R27" s="140">
        <f t="shared" si="1"/>
        <v>134</v>
      </c>
      <c r="S27" s="140">
        <f t="shared" si="1"/>
        <v>165</v>
      </c>
      <c r="T27" s="140">
        <f t="shared" si="1"/>
        <v>196</v>
      </c>
      <c r="U27" s="140">
        <f t="shared" si="1"/>
        <v>227</v>
      </c>
      <c r="V27" s="140">
        <f t="shared" si="1"/>
        <v>258</v>
      </c>
      <c r="W27" s="140">
        <f t="shared" si="1"/>
        <v>289</v>
      </c>
      <c r="X27" s="140">
        <f t="shared" si="1"/>
        <v>319</v>
      </c>
      <c r="Y27" s="140">
        <f t="shared" si="1"/>
        <v>349</v>
      </c>
      <c r="Z27" s="140">
        <f t="shared" si="1"/>
        <v>14</v>
      </c>
      <c r="AA27" s="140">
        <f t="shared" si="1"/>
        <v>44</v>
      </c>
      <c r="AB27" s="140">
        <f t="shared" si="1"/>
        <v>74</v>
      </c>
    </row>
    <row r="28" spans="1:28" x14ac:dyDescent="0.25">
      <c r="A28" s="48">
        <v>26</v>
      </c>
      <c r="B28" s="49">
        <v>26</v>
      </c>
      <c r="C28" s="49">
        <v>57</v>
      </c>
      <c r="D28" s="49">
        <v>85</v>
      </c>
      <c r="E28" s="49">
        <v>116</v>
      </c>
      <c r="F28" s="49">
        <v>146</v>
      </c>
      <c r="G28" s="49">
        <v>177</v>
      </c>
      <c r="H28" s="49">
        <v>207</v>
      </c>
      <c r="I28" s="49">
        <v>238</v>
      </c>
      <c r="J28" s="49">
        <v>269</v>
      </c>
      <c r="K28" s="49">
        <v>299</v>
      </c>
      <c r="L28" s="49">
        <v>330</v>
      </c>
      <c r="M28" s="49">
        <v>360</v>
      </c>
      <c r="N28"/>
      <c r="P28" s="130">
        <f t="shared" si="1"/>
        <v>26</v>
      </c>
      <c r="Q28" s="140">
        <f t="shared" si="1"/>
        <v>104</v>
      </c>
      <c r="R28" s="140">
        <f t="shared" si="1"/>
        <v>135</v>
      </c>
      <c r="S28" s="140">
        <f t="shared" si="1"/>
        <v>166</v>
      </c>
      <c r="T28" s="140">
        <f t="shared" si="1"/>
        <v>197</v>
      </c>
      <c r="U28" s="140">
        <f t="shared" si="1"/>
        <v>228</v>
      </c>
      <c r="V28" s="140">
        <f t="shared" si="1"/>
        <v>259</v>
      </c>
      <c r="W28" s="140">
        <f t="shared" si="1"/>
        <v>290</v>
      </c>
      <c r="X28" s="140">
        <f t="shared" si="1"/>
        <v>320</v>
      </c>
      <c r="Y28" s="140">
        <f t="shared" si="1"/>
        <v>350</v>
      </c>
      <c r="Z28" s="140">
        <f t="shared" si="1"/>
        <v>15</v>
      </c>
      <c r="AA28" s="140">
        <f t="shared" si="1"/>
        <v>45</v>
      </c>
      <c r="AB28" s="140">
        <f t="shared" si="1"/>
        <v>75</v>
      </c>
    </row>
    <row r="29" spans="1:28" x14ac:dyDescent="0.25">
      <c r="A29" s="48">
        <v>27</v>
      </c>
      <c r="B29" s="49">
        <v>27</v>
      </c>
      <c r="C29" s="49">
        <v>58</v>
      </c>
      <c r="D29" s="49">
        <v>86</v>
      </c>
      <c r="E29" s="49">
        <v>117</v>
      </c>
      <c r="F29" s="49">
        <v>147</v>
      </c>
      <c r="G29" s="49">
        <v>178</v>
      </c>
      <c r="H29" s="49">
        <v>208</v>
      </c>
      <c r="I29" s="49">
        <v>239</v>
      </c>
      <c r="J29" s="49">
        <v>270</v>
      </c>
      <c r="K29" s="49">
        <v>300</v>
      </c>
      <c r="L29" s="49">
        <v>331</v>
      </c>
      <c r="M29" s="49">
        <v>361</v>
      </c>
      <c r="N29"/>
      <c r="P29" s="130">
        <f t="shared" si="1"/>
        <v>27</v>
      </c>
      <c r="Q29" s="140">
        <f t="shared" si="1"/>
        <v>105</v>
      </c>
      <c r="R29" s="140">
        <f t="shared" si="1"/>
        <v>136</v>
      </c>
      <c r="S29" s="140">
        <f t="shared" si="1"/>
        <v>167</v>
      </c>
      <c r="T29" s="140">
        <f t="shared" si="1"/>
        <v>198</v>
      </c>
      <c r="U29" s="140">
        <f t="shared" si="1"/>
        <v>229</v>
      </c>
      <c r="V29" s="140">
        <f t="shared" si="1"/>
        <v>260</v>
      </c>
      <c r="W29" s="140">
        <f t="shared" si="1"/>
        <v>291</v>
      </c>
      <c r="X29" s="140">
        <f t="shared" si="1"/>
        <v>321</v>
      </c>
      <c r="Y29" s="140">
        <f t="shared" si="1"/>
        <v>351</v>
      </c>
      <c r="Z29" s="140">
        <f t="shared" si="1"/>
        <v>16</v>
      </c>
      <c r="AA29" s="140">
        <f t="shared" si="1"/>
        <v>46</v>
      </c>
      <c r="AB29" s="140">
        <f t="shared" si="1"/>
        <v>76</v>
      </c>
    </row>
    <row r="30" spans="1:28" x14ac:dyDescent="0.25">
      <c r="A30" s="48">
        <v>28</v>
      </c>
      <c r="B30" s="49">
        <v>28</v>
      </c>
      <c r="C30" s="49">
        <v>59</v>
      </c>
      <c r="D30" s="49">
        <v>87</v>
      </c>
      <c r="E30" s="49">
        <v>118</v>
      </c>
      <c r="F30" s="49">
        <v>148</v>
      </c>
      <c r="G30" s="49">
        <v>179</v>
      </c>
      <c r="H30" s="49">
        <v>209</v>
      </c>
      <c r="I30" s="49">
        <v>240</v>
      </c>
      <c r="J30" s="49">
        <v>271</v>
      </c>
      <c r="K30" s="49">
        <v>301</v>
      </c>
      <c r="L30" s="49">
        <v>332</v>
      </c>
      <c r="M30" s="49">
        <v>362</v>
      </c>
      <c r="N30"/>
      <c r="P30" s="130">
        <f t="shared" si="1"/>
        <v>28</v>
      </c>
      <c r="Q30" s="140">
        <f t="shared" si="1"/>
        <v>106</v>
      </c>
      <c r="R30" s="140">
        <f t="shared" si="1"/>
        <v>137</v>
      </c>
      <c r="S30" s="140">
        <f t="shared" si="1"/>
        <v>168</v>
      </c>
      <c r="T30" s="140">
        <f t="shared" si="1"/>
        <v>199</v>
      </c>
      <c r="U30" s="140">
        <f t="shared" si="1"/>
        <v>230</v>
      </c>
      <c r="V30" s="140">
        <f t="shared" si="1"/>
        <v>261</v>
      </c>
      <c r="W30" s="140">
        <f t="shared" si="1"/>
        <v>292</v>
      </c>
      <c r="X30" s="140">
        <f t="shared" si="1"/>
        <v>322</v>
      </c>
      <c r="Y30" s="140">
        <f t="shared" si="1"/>
        <v>352</v>
      </c>
      <c r="Z30" s="140">
        <f t="shared" si="1"/>
        <v>17</v>
      </c>
      <c r="AA30" s="140">
        <f t="shared" si="1"/>
        <v>47</v>
      </c>
      <c r="AB30" s="140">
        <f t="shared" si="1"/>
        <v>77</v>
      </c>
    </row>
    <row r="31" spans="1:28" x14ac:dyDescent="0.25">
      <c r="A31" s="48">
        <v>29</v>
      </c>
      <c r="B31" s="49">
        <v>29</v>
      </c>
      <c r="C31" s="49"/>
      <c r="D31" s="49">
        <v>88</v>
      </c>
      <c r="E31" s="49">
        <v>119</v>
      </c>
      <c r="F31" s="49">
        <v>149</v>
      </c>
      <c r="G31" s="49">
        <v>180</v>
      </c>
      <c r="H31" s="49">
        <v>210</v>
      </c>
      <c r="I31" s="49">
        <v>241</v>
      </c>
      <c r="J31" s="49">
        <v>272</v>
      </c>
      <c r="K31" s="49">
        <v>302</v>
      </c>
      <c r="L31" s="49">
        <v>333</v>
      </c>
      <c r="M31" s="49">
        <v>363</v>
      </c>
      <c r="N31"/>
      <c r="P31" s="130">
        <f t="shared" si="1"/>
        <v>29</v>
      </c>
      <c r="Q31" s="140">
        <f t="shared" si="1"/>
        <v>107</v>
      </c>
      <c r="R31" s="140">
        <f t="shared" si="1"/>
        <v>138</v>
      </c>
      <c r="S31" s="140">
        <f t="shared" si="1"/>
        <v>169</v>
      </c>
      <c r="T31" s="140">
        <f t="shared" si="1"/>
        <v>200</v>
      </c>
      <c r="U31" s="140">
        <f t="shared" si="1"/>
        <v>231</v>
      </c>
      <c r="V31" s="140">
        <f t="shared" si="1"/>
        <v>262</v>
      </c>
      <c r="W31" s="140">
        <f t="shared" si="1"/>
        <v>293</v>
      </c>
      <c r="X31" s="140">
        <f t="shared" si="1"/>
        <v>323</v>
      </c>
      <c r="Y31" s="140">
        <f t="shared" si="1"/>
        <v>353</v>
      </c>
      <c r="Z31" s="140">
        <f t="shared" si="1"/>
        <v>18</v>
      </c>
      <c r="AA31" s="140">
        <f t="shared" si="1"/>
        <v>48</v>
      </c>
      <c r="AB31" s="140">
        <f t="shared" si="1"/>
        <v>78</v>
      </c>
    </row>
    <row r="32" spans="1:28" x14ac:dyDescent="0.25">
      <c r="A32" s="48">
        <v>30</v>
      </c>
      <c r="B32" s="49">
        <v>30</v>
      </c>
      <c r="C32" s="49"/>
      <c r="D32" s="49">
        <v>89</v>
      </c>
      <c r="E32" s="49">
        <v>120</v>
      </c>
      <c r="F32" s="49">
        <v>150</v>
      </c>
      <c r="G32" s="49">
        <v>181</v>
      </c>
      <c r="H32" s="49">
        <v>211</v>
      </c>
      <c r="I32" s="49">
        <v>242</v>
      </c>
      <c r="J32" s="49">
        <v>273</v>
      </c>
      <c r="K32" s="49">
        <v>303</v>
      </c>
      <c r="L32" s="49">
        <v>334</v>
      </c>
      <c r="M32" s="49">
        <v>364</v>
      </c>
      <c r="N32"/>
      <c r="P32" s="130">
        <f t="shared" si="1"/>
        <v>30</v>
      </c>
      <c r="Q32" s="140">
        <f t="shared" si="1"/>
        <v>108</v>
      </c>
      <c r="R32" s="140">
        <f t="shared" si="1"/>
        <v>139</v>
      </c>
      <c r="S32" s="140">
        <f t="shared" si="1"/>
        <v>170</v>
      </c>
      <c r="T32" s="140">
        <f t="shared" si="1"/>
        <v>201</v>
      </c>
      <c r="U32" s="140">
        <f t="shared" si="1"/>
        <v>232</v>
      </c>
      <c r="V32" s="140">
        <f t="shared" si="1"/>
        <v>263</v>
      </c>
      <c r="W32" s="140">
        <f t="shared" si="1"/>
        <v>294</v>
      </c>
      <c r="X32" s="140">
        <f t="shared" si="1"/>
        <v>324</v>
      </c>
      <c r="Y32" s="140">
        <f t="shared" si="1"/>
        <v>354</v>
      </c>
      <c r="Z32" s="140">
        <f t="shared" si="1"/>
        <v>19</v>
      </c>
      <c r="AA32" s="140">
        <f t="shared" si="1"/>
        <v>49</v>
      </c>
      <c r="AB32" s="140"/>
    </row>
    <row r="33" spans="1:28" x14ac:dyDescent="0.25">
      <c r="A33" s="52">
        <v>31</v>
      </c>
      <c r="B33" s="53">
        <v>31</v>
      </c>
      <c r="C33" s="53"/>
      <c r="D33" s="53">
        <v>90</v>
      </c>
      <c r="E33" s="53"/>
      <c r="F33" s="53">
        <v>151</v>
      </c>
      <c r="G33" s="53"/>
      <c r="H33" s="53">
        <v>212</v>
      </c>
      <c r="I33" s="53">
        <v>243</v>
      </c>
      <c r="J33" s="53"/>
      <c r="K33" s="53">
        <v>304</v>
      </c>
      <c r="L33" s="53"/>
      <c r="M33" s="53">
        <v>365</v>
      </c>
      <c r="N33"/>
      <c r="P33" s="130">
        <f t="shared" si="1"/>
        <v>31</v>
      </c>
      <c r="Q33" s="140">
        <f t="shared" si="1"/>
        <v>109</v>
      </c>
      <c r="R33" s="140">
        <f t="shared" si="1"/>
        <v>140</v>
      </c>
      <c r="S33" s="140">
        <f t="shared" si="1"/>
        <v>171</v>
      </c>
      <c r="T33" s="140">
        <f t="shared" si="1"/>
        <v>202</v>
      </c>
      <c r="U33" s="140">
        <f t="shared" si="1"/>
        <v>233</v>
      </c>
      <c r="V33" s="140">
        <f t="shared" si="1"/>
        <v>264</v>
      </c>
      <c r="W33" s="140"/>
      <c r="X33" s="140"/>
      <c r="Y33" s="140"/>
      <c r="Z33" s="140"/>
      <c r="AA33" s="140"/>
      <c r="AB33" s="140"/>
    </row>
    <row r="34" spans="1:28" x14ac:dyDescent="0.25"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/>
    </row>
    <row r="35" spans="1:28" x14ac:dyDescent="0.25">
      <c r="A35" t="s">
        <v>517</v>
      </c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</row>
    <row r="36" spans="1:28" x14ac:dyDescent="0.25">
      <c r="A36" s="50"/>
      <c r="B36" s="55" t="s">
        <v>505</v>
      </c>
      <c r="C36" s="55" t="s">
        <v>506</v>
      </c>
      <c r="D36" s="55" t="s">
        <v>507</v>
      </c>
      <c r="E36" s="55" t="s">
        <v>508</v>
      </c>
      <c r="F36" s="55" t="s">
        <v>509</v>
      </c>
      <c r="G36" s="55" t="s">
        <v>510</v>
      </c>
      <c r="H36" s="55" t="s">
        <v>511</v>
      </c>
      <c r="I36" s="55" t="s">
        <v>512</v>
      </c>
      <c r="J36" s="55" t="s">
        <v>513</v>
      </c>
      <c r="K36" s="55" t="s">
        <v>514</v>
      </c>
      <c r="L36" s="55" t="s">
        <v>515</v>
      </c>
      <c r="M36" s="55" t="s">
        <v>516</v>
      </c>
    </row>
    <row r="37" spans="1:28" x14ac:dyDescent="0.25">
      <c r="A37" s="54">
        <v>1</v>
      </c>
      <c r="B37" s="56">
        <v>1</v>
      </c>
      <c r="C37" s="3">
        <v>32</v>
      </c>
      <c r="D37" s="3">
        <v>61</v>
      </c>
      <c r="E37" s="3">
        <v>92</v>
      </c>
      <c r="F37" s="3">
        <v>122</v>
      </c>
      <c r="G37" s="3">
        <v>153</v>
      </c>
      <c r="H37" s="3">
        <v>183</v>
      </c>
      <c r="I37" s="3">
        <v>214</v>
      </c>
      <c r="J37" s="3">
        <v>245</v>
      </c>
      <c r="K37" s="3">
        <v>275</v>
      </c>
      <c r="L37" s="3">
        <v>306</v>
      </c>
      <c r="M37" s="3">
        <v>336</v>
      </c>
    </row>
    <row r="38" spans="1:28" x14ac:dyDescent="0.25">
      <c r="A38" s="54">
        <v>2</v>
      </c>
      <c r="B38" s="56">
        <v>2</v>
      </c>
      <c r="C38" s="3">
        <v>33</v>
      </c>
      <c r="D38" s="3">
        <v>62</v>
      </c>
      <c r="E38" s="3">
        <v>93</v>
      </c>
      <c r="F38" s="3">
        <v>123</v>
      </c>
      <c r="G38" s="3">
        <v>154</v>
      </c>
      <c r="H38" s="3">
        <v>184</v>
      </c>
      <c r="I38" s="3">
        <v>215</v>
      </c>
      <c r="J38" s="3">
        <v>246</v>
      </c>
      <c r="K38" s="3">
        <v>276</v>
      </c>
      <c r="L38" s="3">
        <v>307</v>
      </c>
      <c r="M38" s="3">
        <v>337</v>
      </c>
    </row>
    <row r="39" spans="1:28" x14ac:dyDescent="0.25">
      <c r="A39" s="54">
        <v>3</v>
      </c>
      <c r="B39" s="56">
        <v>3</v>
      </c>
      <c r="C39" s="3">
        <v>34</v>
      </c>
      <c r="D39" s="3">
        <v>63</v>
      </c>
      <c r="E39" s="3">
        <v>94</v>
      </c>
      <c r="F39" s="3">
        <v>124</v>
      </c>
      <c r="G39" s="3">
        <v>155</v>
      </c>
      <c r="H39" s="3">
        <v>185</v>
      </c>
      <c r="I39" s="3">
        <v>216</v>
      </c>
      <c r="J39" s="3">
        <v>247</v>
      </c>
      <c r="K39" s="3">
        <v>277</v>
      </c>
      <c r="L39" s="3">
        <v>308</v>
      </c>
      <c r="M39" s="3">
        <v>338</v>
      </c>
    </row>
    <row r="40" spans="1:28" x14ac:dyDescent="0.25">
      <c r="A40" s="54">
        <v>4</v>
      </c>
      <c r="B40" s="56">
        <v>4</v>
      </c>
      <c r="C40" s="3">
        <v>35</v>
      </c>
      <c r="D40" s="3">
        <v>64</v>
      </c>
      <c r="E40" s="3">
        <v>95</v>
      </c>
      <c r="F40" s="3">
        <v>125</v>
      </c>
      <c r="G40" s="3">
        <v>156</v>
      </c>
      <c r="H40" s="3">
        <v>186</v>
      </c>
      <c r="I40" s="3">
        <v>217</v>
      </c>
      <c r="J40" s="3">
        <v>248</v>
      </c>
      <c r="K40" s="3">
        <v>278</v>
      </c>
      <c r="L40" s="3">
        <v>309</v>
      </c>
      <c r="M40" s="3">
        <v>339</v>
      </c>
    </row>
    <row r="41" spans="1:28" x14ac:dyDescent="0.25">
      <c r="A41" s="54">
        <v>5</v>
      </c>
      <c r="B41" s="56">
        <v>5</v>
      </c>
      <c r="C41" s="3">
        <v>36</v>
      </c>
      <c r="D41" s="3">
        <v>65</v>
      </c>
      <c r="E41" s="3">
        <v>96</v>
      </c>
      <c r="F41" s="3">
        <v>126</v>
      </c>
      <c r="G41" s="3">
        <v>157</v>
      </c>
      <c r="H41" s="3">
        <v>187</v>
      </c>
      <c r="I41" s="3">
        <v>218</v>
      </c>
      <c r="J41" s="3">
        <v>249</v>
      </c>
      <c r="K41" s="3">
        <v>279</v>
      </c>
      <c r="L41" s="3">
        <v>310</v>
      </c>
      <c r="M41" s="3">
        <v>340</v>
      </c>
    </row>
    <row r="42" spans="1:28" x14ac:dyDescent="0.25">
      <c r="A42" s="54">
        <v>6</v>
      </c>
      <c r="B42" s="56">
        <v>6</v>
      </c>
      <c r="C42" s="3">
        <v>37</v>
      </c>
      <c r="D42" s="3">
        <v>66</v>
      </c>
      <c r="E42" s="3">
        <v>97</v>
      </c>
      <c r="F42" s="3">
        <v>127</v>
      </c>
      <c r="G42" s="3">
        <v>158</v>
      </c>
      <c r="H42" s="3">
        <v>188</v>
      </c>
      <c r="I42" s="3">
        <v>219</v>
      </c>
      <c r="J42" s="3">
        <v>250</v>
      </c>
      <c r="K42" s="3">
        <v>280</v>
      </c>
      <c r="L42" s="3">
        <v>311</v>
      </c>
      <c r="M42" s="3">
        <v>341</v>
      </c>
    </row>
    <row r="43" spans="1:28" x14ac:dyDescent="0.25">
      <c r="A43" s="54">
        <v>7</v>
      </c>
      <c r="B43" s="56">
        <v>7</v>
      </c>
      <c r="C43" s="3">
        <v>38</v>
      </c>
      <c r="D43" s="3">
        <v>67</v>
      </c>
      <c r="E43" s="3">
        <v>98</v>
      </c>
      <c r="F43" s="3">
        <v>128</v>
      </c>
      <c r="G43" s="3">
        <v>159</v>
      </c>
      <c r="H43" s="3">
        <v>189</v>
      </c>
      <c r="I43" s="3">
        <v>220</v>
      </c>
      <c r="J43" s="3">
        <v>251</v>
      </c>
      <c r="K43" s="3">
        <v>281</v>
      </c>
      <c r="L43" s="3">
        <v>312</v>
      </c>
      <c r="M43" s="3">
        <v>342</v>
      </c>
    </row>
    <row r="44" spans="1:28" x14ac:dyDescent="0.25">
      <c r="A44" s="54">
        <v>8</v>
      </c>
      <c r="B44" s="56">
        <v>8</v>
      </c>
      <c r="C44" s="3">
        <v>39</v>
      </c>
      <c r="D44" s="3">
        <v>68</v>
      </c>
      <c r="E44" s="3">
        <v>99</v>
      </c>
      <c r="F44" s="3">
        <v>129</v>
      </c>
      <c r="G44" s="3">
        <v>160</v>
      </c>
      <c r="H44" s="3">
        <v>190</v>
      </c>
      <c r="I44" s="3">
        <v>221</v>
      </c>
      <c r="J44" s="3">
        <v>252</v>
      </c>
      <c r="K44" s="3">
        <v>282</v>
      </c>
      <c r="L44" s="3">
        <v>313</v>
      </c>
      <c r="M44" s="3">
        <v>343</v>
      </c>
    </row>
    <row r="45" spans="1:28" x14ac:dyDescent="0.25">
      <c r="A45" s="54">
        <v>9</v>
      </c>
      <c r="B45" s="56">
        <v>9</v>
      </c>
      <c r="C45" s="3">
        <v>40</v>
      </c>
      <c r="D45" s="3">
        <v>69</v>
      </c>
      <c r="E45" s="3">
        <v>100</v>
      </c>
      <c r="F45" s="3">
        <v>130</v>
      </c>
      <c r="G45" s="3">
        <v>161</v>
      </c>
      <c r="H45" s="3">
        <v>191</v>
      </c>
      <c r="I45" s="3">
        <v>222</v>
      </c>
      <c r="J45" s="3">
        <v>253</v>
      </c>
      <c r="K45" s="3">
        <v>283</v>
      </c>
      <c r="L45" s="3">
        <v>314</v>
      </c>
      <c r="M45" s="3">
        <v>344</v>
      </c>
    </row>
    <row r="46" spans="1:28" x14ac:dyDescent="0.25">
      <c r="A46" s="54">
        <v>10</v>
      </c>
      <c r="B46" s="56">
        <v>10</v>
      </c>
      <c r="C46" s="3">
        <v>41</v>
      </c>
      <c r="D46" s="3">
        <v>70</v>
      </c>
      <c r="E46" s="3">
        <v>101</v>
      </c>
      <c r="F46" s="3">
        <v>131</v>
      </c>
      <c r="G46" s="3">
        <v>162</v>
      </c>
      <c r="H46" s="3">
        <v>192</v>
      </c>
      <c r="I46" s="3">
        <v>223</v>
      </c>
      <c r="J46" s="3">
        <v>254</v>
      </c>
      <c r="K46" s="3">
        <v>284</v>
      </c>
      <c r="L46" s="3">
        <v>315</v>
      </c>
      <c r="M46" s="3">
        <v>345</v>
      </c>
    </row>
    <row r="47" spans="1:28" x14ac:dyDescent="0.25">
      <c r="A47" s="54">
        <v>11</v>
      </c>
      <c r="B47" s="56">
        <v>11</v>
      </c>
      <c r="C47" s="3">
        <v>42</v>
      </c>
      <c r="D47" s="3">
        <v>71</v>
      </c>
      <c r="E47" s="3">
        <v>102</v>
      </c>
      <c r="F47" s="3">
        <v>132</v>
      </c>
      <c r="G47" s="3">
        <v>163</v>
      </c>
      <c r="H47" s="3">
        <v>193</v>
      </c>
      <c r="I47" s="3">
        <v>224</v>
      </c>
      <c r="J47" s="3">
        <v>255</v>
      </c>
      <c r="K47" s="3">
        <v>285</v>
      </c>
      <c r="L47" s="3">
        <v>316</v>
      </c>
      <c r="M47" s="3">
        <v>346</v>
      </c>
    </row>
    <row r="48" spans="1:28" x14ac:dyDescent="0.25">
      <c r="A48" s="54">
        <v>12</v>
      </c>
      <c r="B48" s="56">
        <v>12</v>
      </c>
      <c r="C48" s="3">
        <v>43</v>
      </c>
      <c r="D48" s="3">
        <v>72</v>
      </c>
      <c r="E48" s="3">
        <v>103</v>
      </c>
      <c r="F48" s="3">
        <v>133</v>
      </c>
      <c r="G48" s="3">
        <v>164</v>
      </c>
      <c r="H48" s="3">
        <v>194</v>
      </c>
      <c r="I48" s="3">
        <v>225</v>
      </c>
      <c r="J48" s="3">
        <v>256</v>
      </c>
      <c r="K48" s="3">
        <v>286</v>
      </c>
      <c r="L48" s="3">
        <v>317</v>
      </c>
      <c r="M48" s="3">
        <v>347</v>
      </c>
    </row>
    <row r="49" spans="1:13" x14ac:dyDescent="0.25">
      <c r="A49" s="54">
        <v>13</v>
      </c>
      <c r="B49" s="56">
        <v>13</v>
      </c>
      <c r="C49" s="3">
        <v>44</v>
      </c>
      <c r="D49" s="3">
        <v>73</v>
      </c>
      <c r="E49" s="3">
        <v>104</v>
      </c>
      <c r="F49" s="3">
        <v>134</v>
      </c>
      <c r="G49" s="3">
        <v>165</v>
      </c>
      <c r="H49" s="3">
        <v>195</v>
      </c>
      <c r="I49" s="3">
        <v>226</v>
      </c>
      <c r="J49" s="3">
        <v>257</v>
      </c>
      <c r="K49" s="3">
        <v>287</v>
      </c>
      <c r="L49" s="3">
        <v>318</v>
      </c>
      <c r="M49" s="3">
        <v>348</v>
      </c>
    </row>
    <row r="50" spans="1:13" x14ac:dyDescent="0.25">
      <c r="A50" s="54">
        <v>14</v>
      </c>
      <c r="B50" s="56">
        <v>14</v>
      </c>
      <c r="C50" s="3">
        <v>45</v>
      </c>
      <c r="D50" s="3">
        <v>74</v>
      </c>
      <c r="E50" s="3">
        <v>105</v>
      </c>
      <c r="F50" s="3">
        <v>135</v>
      </c>
      <c r="G50" s="3">
        <v>166</v>
      </c>
      <c r="H50" s="3">
        <v>196</v>
      </c>
      <c r="I50" s="3">
        <v>227</v>
      </c>
      <c r="J50" s="3">
        <v>258</v>
      </c>
      <c r="K50" s="3">
        <v>288</v>
      </c>
      <c r="L50" s="3">
        <v>319</v>
      </c>
      <c r="M50" s="3">
        <v>349</v>
      </c>
    </row>
    <row r="51" spans="1:13" x14ac:dyDescent="0.25">
      <c r="A51" s="54">
        <v>15</v>
      </c>
      <c r="B51" s="56">
        <v>15</v>
      </c>
      <c r="C51" s="3">
        <v>46</v>
      </c>
      <c r="D51" s="3">
        <v>75</v>
      </c>
      <c r="E51" s="3">
        <v>106</v>
      </c>
      <c r="F51" s="3">
        <v>136</v>
      </c>
      <c r="G51" s="3">
        <v>167</v>
      </c>
      <c r="H51" s="3">
        <v>197</v>
      </c>
      <c r="I51" s="3">
        <v>228</v>
      </c>
      <c r="J51" s="3">
        <v>259</v>
      </c>
      <c r="K51" s="3">
        <v>289</v>
      </c>
      <c r="L51" s="3">
        <v>320</v>
      </c>
      <c r="M51" s="3">
        <v>350</v>
      </c>
    </row>
    <row r="52" spans="1:13" x14ac:dyDescent="0.25">
      <c r="A52" s="54">
        <v>16</v>
      </c>
      <c r="B52" s="56">
        <v>16</v>
      </c>
      <c r="C52" s="3">
        <v>47</v>
      </c>
      <c r="D52" s="3">
        <v>76</v>
      </c>
      <c r="E52" s="3">
        <v>107</v>
      </c>
      <c r="F52" s="3">
        <v>137</v>
      </c>
      <c r="G52" s="3">
        <v>168</v>
      </c>
      <c r="H52" s="3">
        <v>198</v>
      </c>
      <c r="I52" s="3">
        <v>229</v>
      </c>
      <c r="J52" s="3">
        <v>260</v>
      </c>
      <c r="K52" s="3">
        <v>290</v>
      </c>
      <c r="L52" s="3">
        <v>321</v>
      </c>
      <c r="M52" s="3">
        <v>351</v>
      </c>
    </row>
    <row r="53" spans="1:13" x14ac:dyDescent="0.25">
      <c r="A53" s="54">
        <v>17</v>
      </c>
      <c r="B53" s="56">
        <v>17</v>
      </c>
      <c r="C53" s="3">
        <v>48</v>
      </c>
      <c r="D53" s="3">
        <v>77</v>
      </c>
      <c r="E53" s="3">
        <v>108</v>
      </c>
      <c r="F53" s="3">
        <v>138</v>
      </c>
      <c r="G53" s="3">
        <v>169</v>
      </c>
      <c r="H53" s="3">
        <v>199</v>
      </c>
      <c r="I53" s="3">
        <v>230</v>
      </c>
      <c r="J53" s="3">
        <v>261</v>
      </c>
      <c r="K53" s="3">
        <v>291</v>
      </c>
      <c r="L53" s="3">
        <v>322</v>
      </c>
      <c r="M53" s="3">
        <v>352</v>
      </c>
    </row>
    <row r="54" spans="1:13" x14ac:dyDescent="0.25">
      <c r="A54" s="54">
        <v>18</v>
      </c>
      <c r="B54" s="56">
        <v>18</v>
      </c>
      <c r="C54" s="3">
        <v>49</v>
      </c>
      <c r="D54" s="3">
        <v>78</v>
      </c>
      <c r="E54" s="3">
        <v>109</v>
      </c>
      <c r="F54" s="3">
        <v>139</v>
      </c>
      <c r="G54" s="3">
        <v>170</v>
      </c>
      <c r="H54" s="3">
        <v>200</v>
      </c>
      <c r="I54" s="3">
        <v>231</v>
      </c>
      <c r="J54" s="3">
        <v>262</v>
      </c>
      <c r="K54" s="3">
        <v>292</v>
      </c>
      <c r="L54" s="3">
        <v>323</v>
      </c>
      <c r="M54" s="3">
        <v>353</v>
      </c>
    </row>
    <row r="55" spans="1:13" x14ac:dyDescent="0.25">
      <c r="A55" s="54">
        <v>19</v>
      </c>
      <c r="B55" s="56">
        <v>19</v>
      </c>
      <c r="C55" s="3">
        <v>50</v>
      </c>
      <c r="D55" s="3">
        <v>79</v>
      </c>
      <c r="E55" s="3">
        <v>110</v>
      </c>
      <c r="F55" s="3">
        <v>140</v>
      </c>
      <c r="G55" s="3">
        <v>171</v>
      </c>
      <c r="H55" s="3">
        <v>201</v>
      </c>
      <c r="I55" s="3">
        <v>232</v>
      </c>
      <c r="J55" s="3">
        <v>263</v>
      </c>
      <c r="K55" s="3">
        <v>293</v>
      </c>
      <c r="L55" s="3">
        <v>324</v>
      </c>
      <c r="M55" s="3">
        <v>354</v>
      </c>
    </row>
    <row r="56" spans="1:13" x14ac:dyDescent="0.25">
      <c r="A56" s="54">
        <v>20</v>
      </c>
      <c r="B56" s="56">
        <v>20</v>
      </c>
      <c r="C56" s="3">
        <v>51</v>
      </c>
      <c r="D56" s="3">
        <v>80</v>
      </c>
      <c r="E56" s="3">
        <v>111</v>
      </c>
      <c r="F56" s="3">
        <v>141</v>
      </c>
      <c r="G56" s="3">
        <v>172</v>
      </c>
      <c r="H56" s="3">
        <v>202</v>
      </c>
      <c r="I56" s="3">
        <v>233</v>
      </c>
      <c r="J56" s="3">
        <v>264</v>
      </c>
      <c r="K56" s="3">
        <v>294</v>
      </c>
      <c r="L56" s="3">
        <v>325</v>
      </c>
      <c r="M56" s="3">
        <v>355</v>
      </c>
    </row>
    <row r="57" spans="1:13" x14ac:dyDescent="0.25">
      <c r="A57" s="54">
        <v>21</v>
      </c>
      <c r="B57" s="56">
        <v>21</v>
      </c>
      <c r="C57" s="3">
        <v>52</v>
      </c>
      <c r="D57" s="3">
        <v>81</v>
      </c>
      <c r="E57" s="3">
        <v>112</v>
      </c>
      <c r="F57" s="3">
        <v>142</v>
      </c>
      <c r="G57" s="3">
        <v>173</v>
      </c>
      <c r="H57" s="3">
        <v>203</v>
      </c>
      <c r="I57" s="3">
        <v>234</v>
      </c>
      <c r="J57" s="3">
        <v>265</v>
      </c>
      <c r="K57" s="3">
        <v>295</v>
      </c>
      <c r="L57" s="3">
        <v>326</v>
      </c>
      <c r="M57" s="3">
        <v>356</v>
      </c>
    </row>
    <row r="58" spans="1:13" x14ac:dyDescent="0.25">
      <c r="A58" s="54">
        <v>22</v>
      </c>
      <c r="B58" s="56">
        <v>22</v>
      </c>
      <c r="C58" s="3">
        <v>53</v>
      </c>
      <c r="D58" s="3">
        <v>82</v>
      </c>
      <c r="E58" s="3">
        <v>113</v>
      </c>
      <c r="F58" s="3">
        <v>143</v>
      </c>
      <c r="G58" s="3">
        <v>174</v>
      </c>
      <c r="H58" s="3">
        <v>204</v>
      </c>
      <c r="I58" s="3">
        <v>235</v>
      </c>
      <c r="J58" s="3">
        <v>266</v>
      </c>
      <c r="K58" s="3">
        <v>296</v>
      </c>
      <c r="L58" s="3">
        <v>327</v>
      </c>
      <c r="M58" s="3">
        <v>357</v>
      </c>
    </row>
    <row r="59" spans="1:13" x14ac:dyDescent="0.25">
      <c r="A59" s="54">
        <v>23</v>
      </c>
      <c r="B59" s="56">
        <v>23</v>
      </c>
      <c r="C59" s="3">
        <v>54</v>
      </c>
      <c r="D59" s="3">
        <v>83</v>
      </c>
      <c r="E59" s="3">
        <v>114</v>
      </c>
      <c r="F59" s="3">
        <v>144</v>
      </c>
      <c r="G59" s="3">
        <v>175</v>
      </c>
      <c r="H59" s="3">
        <v>205</v>
      </c>
      <c r="I59" s="3">
        <v>236</v>
      </c>
      <c r="J59" s="3">
        <v>267</v>
      </c>
      <c r="K59" s="3">
        <v>297</v>
      </c>
      <c r="L59" s="3">
        <v>328</v>
      </c>
      <c r="M59" s="3">
        <v>358</v>
      </c>
    </row>
    <row r="60" spans="1:13" x14ac:dyDescent="0.25">
      <c r="A60" s="54">
        <v>24</v>
      </c>
      <c r="B60" s="56">
        <v>24</v>
      </c>
      <c r="C60" s="3">
        <v>55</v>
      </c>
      <c r="D60" s="3">
        <v>84</v>
      </c>
      <c r="E60" s="3">
        <v>115</v>
      </c>
      <c r="F60" s="3">
        <v>145</v>
      </c>
      <c r="G60" s="3">
        <v>176</v>
      </c>
      <c r="H60" s="3">
        <v>206</v>
      </c>
      <c r="I60" s="3">
        <v>237</v>
      </c>
      <c r="J60" s="3">
        <v>268</v>
      </c>
      <c r="K60" s="3">
        <v>298</v>
      </c>
      <c r="L60" s="3">
        <v>329</v>
      </c>
      <c r="M60" s="3">
        <v>359</v>
      </c>
    </row>
    <row r="61" spans="1:13" x14ac:dyDescent="0.25">
      <c r="A61" s="54">
        <v>25</v>
      </c>
      <c r="B61" s="56">
        <v>25</v>
      </c>
      <c r="C61" s="3">
        <v>56</v>
      </c>
      <c r="D61" s="3">
        <v>85</v>
      </c>
      <c r="E61" s="3">
        <v>116</v>
      </c>
      <c r="F61" s="3">
        <v>146</v>
      </c>
      <c r="G61" s="3">
        <v>177</v>
      </c>
      <c r="H61" s="3">
        <v>207</v>
      </c>
      <c r="I61" s="3">
        <v>238</v>
      </c>
      <c r="J61" s="3">
        <v>269</v>
      </c>
      <c r="K61" s="3">
        <v>299</v>
      </c>
      <c r="L61" s="3">
        <v>330</v>
      </c>
      <c r="M61" s="3">
        <v>360</v>
      </c>
    </row>
    <row r="62" spans="1:13" x14ac:dyDescent="0.25">
      <c r="A62" s="54">
        <v>26</v>
      </c>
      <c r="B62" s="56">
        <v>26</v>
      </c>
      <c r="C62" s="3">
        <v>57</v>
      </c>
      <c r="D62" s="3">
        <v>86</v>
      </c>
      <c r="E62" s="3">
        <v>117</v>
      </c>
      <c r="F62" s="3">
        <v>147</v>
      </c>
      <c r="G62" s="3">
        <v>178</v>
      </c>
      <c r="H62" s="3">
        <v>208</v>
      </c>
      <c r="I62" s="3">
        <v>239</v>
      </c>
      <c r="J62" s="3">
        <v>270</v>
      </c>
      <c r="K62" s="3">
        <v>300</v>
      </c>
      <c r="L62" s="3">
        <v>331</v>
      </c>
      <c r="M62" s="3">
        <v>361</v>
      </c>
    </row>
    <row r="63" spans="1:13" x14ac:dyDescent="0.25">
      <c r="A63" s="54">
        <v>27</v>
      </c>
      <c r="B63" s="56">
        <v>27</v>
      </c>
      <c r="C63" s="3">
        <v>58</v>
      </c>
      <c r="D63" s="3">
        <v>87</v>
      </c>
      <c r="E63" s="3">
        <v>118</v>
      </c>
      <c r="F63" s="3">
        <v>148</v>
      </c>
      <c r="G63" s="3">
        <v>179</v>
      </c>
      <c r="H63" s="3">
        <v>209</v>
      </c>
      <c r="I63" s="3">
        <v>240</v>
      </c>
      <c r="J63" s="3">
        <v>271</v>
      </c>
      <c r="K63" s="3">
        <v>301</v>
      </c>
      <c r="L63" s="3">
        <v>332</v>
      </c>
      <c r="M63" s="3">
        <v>362</v>
      </c>
    </row>
    <row r="64" spans="1:13" x14ac:dyDescent="0.25">
      <c r="A64" s="54">
        <v>28</v>
      </c>
      <c r="B64" s="56">
        <v>28</v>
      </c>
      <c r="C64" s="3">
        <v>59</v>
      </c>
      <c r="D64" s="3">
        <v>88</v>
      </c>
      <c r="E64" s="3">
        <v>119</v>
      </c>
      <c r="F64" s="3">
        <v>149</v>
      </c>
      <c r="G64" s="3">
        <v>180</v>
      </c>
      <c r="H64" s="3">
        <v>210</v>
      </c>
      <c r="I64" s="3">
        <v>241</v>
      </c>
      <c r="J64" s="3">
        <v>272</v>
      </c>
      <c r="K64" s="3">
        <v>302</v>
      </c>
      <c r="L64" s="3">
        <v>333</v>
      </c>
      <c r="M64" s="3">
        <v>363</v>
      </c>
    </row>
    <row r="65" spans="1:13" x14ac:dyDescent="0.25">
      <c r="A65" s="54">
        <v>29</v>
      </c>
      <c r="B65" s="56">
        <v>29</v>
      </c>
      <c r="C65" s="3">
        <v>60</v>
      </c>
      <c r="D65" s="3">
        <v>89</v>
      </c>
      <c r="E65" s="3">
        <v>120</v>
      </c>
      <c r="F65" s="3">
        <v>150</v>
      </c>
      <c r="G65" s="3">
        <v>181</v>
      </c>
      <c r="H65" s="3">
        <v>211</v>
      </c>
      <c r="I65" s="3">
        <v>242</v>
      </c>
      <c r="J65" s="3">
        <v>273</v>
      </c>
      <c r="K65" s="3">
        <v>303</v>
      </c>
      <c r="L65" s="3">
        <v>334</v>
      </c>
      <c r="M65" s="3">
        <v>364</v>
      </c>
    </row>
    <row r="66" spans="1:13" x14ac:dyDescent="0.25">
      <c r="A66" s="54">
        <v>30</v>
      </c>
      <c r="B66" s="56">
        <v>30</v>
      </c>
      <c r="C66" s="3"/>
      <c r="D66" s="3">
        <v>90</v>
      </c>
      <c r="E66" s="3">
        <v>121</v>
      </c>
      <c r="F66" s="3">
        <v>151</v>
      </c>
      <c r="G66" s="3">
        <v>182</v>
      </c>
      <c r="H66" s="3">
        <v>212</v>
      </c>
      <c r="I66" s="3">
        <v>243</v>
      </c>
      <c r="J66" s="3">
        <v>274</v>
      </c>
      <c r="K66" s="3">
        <v>304</v>
      </c>
      <c r="L66" s="3">
        <v>335</v>
      </c>
      <c r="M66" s="3">
        <v>365</v>
      </c>
    </row>
    <row r="67" spans="1:13" x14ac:dyDescent="0.25">
      <c r="A67" s="54">
        <v>31</v>
      </c>
      <c r="B67" s="56">
        <v>31</v>
      </c>
      <c r="C67" s="3"/>
      <c r="D67" s="3">
        <v>91</v>
      </c>
      <c r="E67" s="3"/>
      <c r="F67" s="3">
        <v>152</v>
      </c>
      <c r="G67" s="3"/>
      <c r="H67" s="3">
        <v>213</v>
      </c>
      <c r="I67" s="3">
        <v>244</v>
      </c>
      <c r="J67" s="3"/>
      <c r="K67" s="3">
        <v>305</v>
      </c>
      <c r="L67" s="3"/>
      <c r="M67" s="3">
        <v>366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G287"/>
  <sheetViews>
    <sheetView zoomScale="85" workbookViewId="0">
      <pane ySplit="1" topLeftCell="A2" activePane="bottomLeft" state="frozen"/>
      <selection pane="bottomLeft" activeCell="F26" sqref="F26"/>
    </sheetView>
  </sheetViews>
  <sheetFormatPr baseColWidth="10" defaultColWidth="9.1796875" defaultRowHeight="12.5" x14ac:dyDescent="0.25"/>
  <cols>
    <col min="1" max="1" width="12.1796875" style="6" customWidth="1"/>
    <col min="2" max="2" width="12.1796875" style="8" customWidth="1"/>
    <col min="3" max="3" width="84.54296875" style="6" customWidth="1"/>
    <col min="4" max="16384" width="9.1796875" style="6"/>
  </cols>
  <sheetData>
    <row r="1" spans="1:7" s="47" customFormat="1" ht="13" x14ac:dyDescent="0.3">
      <c r="A1" s="47" t="s">
        <v>113</v>
      </c>
      <c r="B1" s="41" t="s">
        <v>114</v>
      </c>
      <c r="C1" s="47" t="s">
        <v>115</v>
      </c>
    </row>
    <row r="2" spans="1:7" x14ac:dyDescent="0.25">
      <c r="A2" s="6" t="s">
        <v>116</v>
      </c>
      <c r="B2" s="8" t="s">
        <v>39</v>
      </c>
      <c r="C2" s="6" t="s">
        <v>117</v>
      </c>
    </row>
    <row r="3" spans="1:7" x14ac:dyDescent="0.25">
      <c r="A3" s="6" t="s">
        <v>518</v>
      </c>
      <c r="B3" s="8" t="s">
        <v>39</v>
      </c>
      <c r="C3" s="6" t="s">
        <v>519</v>
      </c>
    </row>
    <row r="4" spans="1:7" x14ac:dyDescent="0.25">
      <c r="A4" s="6" t="s">
        <v>118</v>
      </c>
      <c r="B4" s="8" t="s">
        <v>19</v>
      </c>
      <c r="C4" s="6" t="s">
        <v>119</v>
      </c>
    </row>
    <row r="5" spans="1:7" x14ac:dyDescent="0.25">
      <c r="A5" s="6" t="s">
        <v>120</v>
      </c>
      <c r="B5" s="8" t="s">
        <v>19</v>
      </c>
      <c r="C5" s="6" t="s">
        <v>121</v>
      </c>
    </row>
    <row r="6" spans="1:7" x14ac:dyDescent="0.25">
      <c r="A6" s="6" t="s">
        <v>520</v>
      </c>
      <c r="B6" s="8" t="s">
        <v>520</v>
      </c>
      <c r="C6" s="6" t="s">
        <v>521</v>
      </c>
    </row>
    <row r="7" spans="1:7" x14ac:dyDescent="0.25">
      <c r="A7" s="6" t="s">
        <v>122</v>
      </c>
      <c r="B7" s="8" t="s">
        <v>123</v>
      </c>
      <c r="C7" s="6" t="s">
        <v>124</v>
      </c>
    </row>
    <row r="8" spans="1:7" x14ac:dyDescent="0.25">
      <c r="A8" s="122" t="s">
        <v>702</v>
      </c>
      <c r="B8" s="123" t="s">
        <v>520</v>
      </c>
      <c r="C8" s="120" t="s">
        <v>721</v>
      </c>
    </row>
    <row r="9" spans="1:7" x14ac:dyDescent="0.25">
      <c r="A9" s="122" t="s">
        <v>700</v>
      </c>
      <c r="B9" s="123" t="s">
        <v>520</v>
      </c>
      <c r="C9" s="120" t="s">
        <v>719</v>
      </c>
    </row>
    <row r="10" spans="1:7" x14ac:dyDescent="0.25">
      <c r="A10" s="6" t="s">
        <v>522</v>
      </c>
      <c r="B10" s="8" t="s">
        <v>520</v>
      </c>
      <c r="C10" s="6" t="s">
        <v>523</v>
      </c>
    </row>
    <row r="11" spans="1:7" x14ac:dyDescent="0.25">
      <c r="A11" s="6" t="s">
        <v>524</v>
      </c>
      <c r="B11" s="8" t="s">
        <v>520</v>
      </c>
      <c r="C11" s="6" t="s">
        <v>525</v>
      </c>
    </row>
    <row r="12" spans="1:7" x14ac:dyDescent="0.25">
      <c r="A12" s="122" t="s">
        <v>701</v>
      </c>
      <c r="B12" s="123" t="s">
        <v>520</v>
      </c>
      <c r="C12" s="120" t="s">
        <v>720</v>
      </c>
    </row>
    <row r="13" spans="1:7" x14ac:dyDescent="0.25">
      <c r="A13" s="122" t="s">
        <v>697</v>
      </c>
      <c r="B13" s="123" t="s">
        <v>520</v>
      </c>
      <c r="C13" s="120" t="s">
        <v>716</v>
      </c>
    </row>
    <row r="14" spans="1:7" x14ac:dyDescent="0.25">
      <c r="A14" s="122" t="s">
        <v>703</v>
      </c>
      <c r="B14" s="123" t="s">
        <v>520</v>
      </c>
      <c r="C14" s="120" t="s">
        <v>722</v>
      </c>
      <c r="G14" s="36"/>
    </row>
    <row r="15" spans="1:7" x14ac:dyDescent="0.25">
      <c r="A15" s="122" t="s">
        <v>699</v>
      </c>
      <c r="B15" s="123" t="s">
        <v>520</v>
      </c>
      <c r="C15" s="120" t="s">
        <v>718</v>
      </c>
      <c r="G15" s="36"/>
    </row>
    <row r="16" spans="1:7" x14ac:dyDescent="0.25">
      <c r="A16" s="122" t="s">
        <v>696</v>
      </c>
      <c r="B16" s="123" t="s">
        <v>520</v>
      </c>
      <c r="C16" s="120" t="s">
        <v>715</v>
      </c>
      <c r="G16" s="36"/>
    </row>
    <row r="17" spans="1:7" x14ac:dyDescent="0.25">
      <c r="A17" s="122" t="s">
        <v>698</v>
      </c>
      <c r="B17" s="123" t="s">
        <v>520</v>
      </c>
      <c r="C17" s="120" t="s">
        <v>717</v>
      </c>
      <c r="G17" s="36"/>
    </row>
    <row r="18" spans="1:7" x14ac:dyDescent="0.25">
      <c r="A18" s="6" t="s">
        <v>526</v>
      </c>
      <c r="B18" s="8" t="s">
        <v>520</v>
      </c>
      <c r="C18" s="6" t="s">
        <v>527</v>
      </c>
      <c r="G18" s="36"/>
    </row>
    <row r="19" spans="1:7" x14ac:dyDescent="0.25">
      <c r="A19" s="6" t="s">
        <v>528</v>
      </c>
      <c r="B19" s="8" t="s">
        <v>520</v>
      </c>
      <c r="C19" s="6" t="s">
        <v>529</v>
      </c>
      <c r="G19" s="36"/>
    </row>
    <row r="20" spans="1:7" x14ac:dyDescent="0.25">
      <c r="A20" s="6" t="s">
        <v>125</v>
      </c>
      <c r="B20" s="8" t="s">
        <v>51</v>
      </c>
      <c r="C20" s="6" t="s">
        <v>126</v>
      </c>
    </row>
    <row r="21" spans="1:7" x14ac:dyDescent="0.25">
      <c r="A21" s="6" t="s">
        <v>127</v>
      </c>
      <c r="B21" s="8" t="s">
        <v>128</v>
      </c>
      <c r="C21" s="6" t="s">
        <v>129</v>
      </c>
    </row>
    <row r="22" spans="1:7" x14ac:dyDescent="0.25">
      <c r="A22" s="6" t="s">
        <v>130</v>
      </c>
      <c r="B22" s="8" t="s">
        <v>39</v>
      </c>
      <c r="C22" s="6" t="s">
        <v>131</v>
      </c>
    </row>
    <row r="23" spans="1:7" x14ac:dyDescent="0.25">
      <c r="A23" s="6" t="s">
        <v>530</v>
      </c>
      <c r="B23" s="8" t="s">
        <v>520</v>
      </c>
      <c r="C23" s="6" t="s">
        <v>531</v>
      </c>
    </row>
    <row r="24" spans="1:7" x14ac:dyDescent="0.25">
      <c r="A24" s="6" t="s">
        <v>132</v>
      </c>
      <c r="B24" s="8" t="s">
        <v>19</v>
      </c>
      <c r="C24" s="6" t="s">
        <v>133</v>
      </c>
    </row>
    <row r="25" spans="1:7" x14ac:dyDescent="0.25">
      <c r="A25" s="6" t="s">
        <v>532</v>
      </c>
      <c r="B25" s="8" t="s">
        <v>39</v>
      </c>
      <c r="C25" s="6" t="s">
        <v>519</v>
      </c>
    </row>
    <row r="26" spans="1:7" x14ac:dyDescent="0.25">
      <c r="A26" s="6" t="s">
        <v>134</v>
      </c>
      <c r="B26" s="8" t="s">
        <v>19</v>
      </c>
      <c r="C26" s="6" t="s">
        <v>135</v>
      </c>
    </row>
    <row r="27" spans="1:7" x14ac:dyDescent="0.25">
      <c r="A27" s="6" t="s">
        <v>136</v>
      </c>
      <c r="B27" s="8" t="s">
        <v>137</v>
      </c>
      <c r="C27" s="6" t="s">
        <v>138</v>
      </c>
    </row>
    <row r="28" spans="1:7" x14ac:dyDescent="0.25">
      <c r="A28" s="6" t="s">
        <v>139</v>
      </c>
      <c r="B28" s="8" t="s">
        <v>39</v>
      </c>
      <c r="C28" s="6" t="s">
        <v>140</v>
      </c>
    </row>
    <row r="29" spans="1:7" x14ac:dyDescent="0.25">
      <c r="A29" s="6" t="s">
        <v>141</v>
      </c>
      <c r="B29" s="8" t="s">
        <v>142</v>
      </c>
      <c r="C29" s="6" t="s">
        <v>143</v>
      </c>
    </row>
    <row r="30" spans="1:7" x14ac:dyDescent="0.25">
      <c r="A30" s="6" t="s">
        <v>144</v>
      </c>
      <c r="B30" s="8" t="s">
        <v>142</v>
      </c>
      <c r="C30" s="6" t="s">
        <v>145</v>
      </c>
    </row>
    <row r="31" spans="1:7" x14ac:dyDescent="0.25">
      <c r="A31" s="6" t="s">
        <v>146</v>
      </c>
      <c r="B31" s="8" t="s">
        <v>142</v>
      </c>
      <c r="C31" s="6" t="s">
        <v>147</v>
      </c>
    </row>
    <row r="32" spans="1:7" x14ac:dyDescent="0.25">
      <c r="A32" s="6" t="s">
        <v>148</v>
      </c>
      <c r="B32" s="8" t="s">
        <v>142</v>
      </c>
      <c r="C32" s="6" t="s">
        <v>149</v>
      </c>
    </row>
    <row r="33" spans="1:3" x14ac:dyDescent="0.25">
      <c r="A33" s="6" t="s">
        <v>150</v>
      </c>
      <c r="B33" s="8" t="s">
        <v>142</v>
      </c>
      <c r="C33" s="6" t="s">
        <v>151</v>
      </c>
    </row>
    <row r="34" spans="1:3" x14ac:dyDescent="0.25">
      <c r="A34" s="6" t="s">
        <v>152</v>
      </c>
      <c r="B34" s="8" t="s">
        <v>142</v>
      </c>
      <c r="C34" s="6" t="s">
        <v>153</v>
      </c>
    </row>
    <row r="35" spans="1:3" x14ac:dyDescent="0.25">
      <c r="A35" s="6" t="s">
        <v>533</v>
      </c>
      <c r="B35" s="8" t="s">
        <v>534</v>
      </c>
      <c r="C35" s="6" t="s">
        <v>535</v>
      </c>
    </row>
    <row r="36" spans="1:3" x14ac:dyDescent="0.25">
      <c r="A36" s="6" t="s">
        <v>154</v>
      </c>
      <c r="B36" s="8" t="s">
        <v>19</v>
      </c>
      <c r="C36" s="6" t="s">
        <v>155</v>
      </c>
    </row>
    <row r="37" spans="1:3" x14ac:dyDescent="0.25">
      <c r="A37" s="6" t="s">
        <v>156</v>
      </c>
      <c r="B37" s="8" t="s">
        <v>19</v>
      </c>
      <c r="C37" s="6" t="s">
        <v>157</v>
      </c>
    </row>
    <row r="38" spans="1:3" x14ac:dyDescent="0.25">
      <c r="A38" s="6" t="s">
        <v>158</v>
      </c>
      <c r="B38" s="8" t="s">
        <v>19</v>
      </c>
      <c r="C38" s="6" t="s">
        <v>159</v>
      </c>
    </row>
    <row r="39" spans="1:3" x14ac:dyDescent="0.25">
      <c r="A39" s="6" t="s">
        <v>597</v>
      </c>
      <c r="B39" s="8" t="s">
        <v>21</v>
      </c>
      <c r="C39" s="6" t="s">
        <v>598</v>
      </c>
    </row>
    <row r="40" spans="1:3" x14ac:dyDescent="0.25">
      <c r="A40" s="6" t="s">
        <v>536</v>
      </c>
      <c r="B40" s="8" t="s">
        <v>182</v>
      </c>
      <c r="C40" s="6" t="s">
        <v>537</v>
      </c>
    </row>
    <row r="41" spans="1:3" x14ac:dyDescent="0.25">
      <c r="A41" s="6" t="s">
        <v>160</v>
      </c>
      <c r="B41" s="8" t="s">
        <v>39</v>
      </c>
      <c r="C41" s="6" t="s">
        <v>161</v>
      </c>
    </row>
    <row r="42" spans="1:3" x14ac:dyDescent="0.25">
      <c r="A42" s="6" t="s">
        <v>162</v>
      </c>
      <c r="B42" s="8" t="s">
        <v>39</v>
      </c>
      <c r="C42" s="6" t="s">
        <v>163</v>
      </c>
    </row>
    <row r="43" spans="1:3" x14ac:dyDescent="0.25">
      <c r="A43" s="6" t="s">
        <v>164</v>
      </c>
      <c r="B43" s="8" t="s">
        <v>165</v>
      </c>
      <c r="C43" s="6" t="s">
        <v>166</v>
      </c>
    </row>
    <row r="44" spans="1:3" x14ac:dyDescent="0.25">
      <c r="A44" s="6" t="s">
        <v>538</v>
      </c>
      <c r="B44" s="8" t="s">
        <v>39</v>
      </c>
      <c r="C44" s="6" t="s">
        <v>519</v>
      </c>
    </row>
    <row r="45" spans="1:3" x14ac:dyDescent="0.25">
      <c r="A45" s="6" t="s">
        <v>599</v>
      </c>
      <c r="B45" s="8" t="s">
        <v>600</v>
      </c>
      <c r="C45" s="6" t="s">
        <v>601</v>
      </c>
    </row>
    <row r="46" spans="1:3" x14ac:dyDescent="0.25">
      <c r="A46" s="6" t="s">
        <v>167</v>
      </c>
      <c r="B46" s="8" t="s">
        <v>19</v>
      </c>
      <c r="C46" s="6" t="s">
        <v>168</v>
      </c>
    </row>
    <row r="47" spans="1:3" x14ac:dyDescent="0.25">
      <c r="A47" s="6" t="s">
        <v>169</v>
      </c>
      <c r="B47" s="8" t="s">
        <v>19</v>
      </c>
      <c r="C47" s="6" t="s">
        <v>170</v>
      </c>
    </row>
    <row r="48" spans="1:3" x14ac:dyDescent="0.25">
      <c r="A48" s="6" t="s">
        <v>539</v>
      </c>
      <c r="B48" s="8" t="s">
        <v>534</v>
      </c>
      <c r="C48" s="6" t="s">
        <v>540</v>
      </c>
    </row>
    <row r="49" spans="1:3" x14ac:dyDescent="0.25">
      <c r="A49" s="6" t="s">
        <v>28</v>
      </c>
      <c r="B49" s="8" t="s">
        <v>171</v>
      </c>
      <c r="C49" s="6" t="s">
        <v>172</v>
      </c>
    </row>
    <row r="50" spans="1:3" x14ac:dyDescent="0.25">
      <c r="A50" s="6" t="s">
        <v>602</v>
      </c>
      <c r="B50" s="8" t="s">
        <v>248</v>
      </c>
      <c r="C50" s="6" t="s">
        <v>603</v>
      </c>
    </row>
    <row r="51" spans="1:3" x14ac:dyDescent="0.25">
      <c r="A51" s="6" t="s">
        <v>173</v>
      </c>
      <c r="B51" s="8" t="s">
        <v>39</v>
      </c>
      <c r="C51" s="6" t="s">
        <v>174</v>
      </c>
    </row>
    <row r="52" spans="1:3" x14ac:dyDescent="0.25">
      <c r="A52" s="6" t="s">
        <v>175</v>
      </c>
      <c r="B52" s="8" t="s">
        <v>19</v>
      </c>
      <c r="C52" s="6" t="s">
        <v>176</v>
      </c>
    </row>
    <row r="53" spans="1:3" x14ac:dyDescent="0.25">
      <c r="A53" s="6" t="s">
        <v>177</v>
      </c>
      <c r="B53" s="8" t="s">
        <v>19</v>
      </c>
      <c r="C53" s="6" t="s">
        <v>178</v>
      </c>
    </row>
    <row r="54" spans="1:3" x14ac:dyDescent="0.25">
      <c r="A54" s="6" t="s">
        <v>179</v>
      </c>
      <c r="B54" s="8" t="s">
        <v>39</v>
      </c>
      <c r="C54" s="6" t="s">
        <v>180</v>
      </c>
    </row>
    <row r="55" spans="1:3" x14ac:dyDescent="0.25">
      <c r="A55" s="6" t="s">
        <v>541</v>
      </c>
      <c r="B55" s="8" t="s">
        <v>182</v>
      </c>
      <c r="C55" s="6" t="s">
        <v>542</v>
      </c>
    </row>
    <row r="56" spans="1:3" x14ac:dyDescent="0.25">
      <c r="A56" s="6" t="s">
        <v>181</v>
      </c>
      <c r="B56" s="8" t="s">
        <v>182</v>
      </c>
      <c r="C56" s="6" t="s">
        <v>183</v>
      </c>
    </row>
    <row r="57" spans="1:3" x14ac:dyDescent="0.25">
      <c r="A57" s="6" t="s">
        <v>184</v>
      </c>
      <c r="B57" s="8" t="s">
        <v>182</v>
      </c>
      <c r="C57" s="6" t="s">
        <v>185</v>
      </c>
    </row>
    <row r="58" spans="1:3" x14ac:dyDescent="0.25">
      <c r="A58" s="6" t="s">
        <v>186</v>
      </c>
      <c r="B58" s="8" t="s">
        <v>182</v>
      </c>
      <c r="C58" s="6" t="s">
        <v>187</v>
      </c>
    </row>
    <row r="59" spans="1:3" x14ac:dyDescent="0.25">
      <c r="A59" s="6" t="s">
        <v>188</v>
      </c>
      <c r="B59" s="8" t="s">
        <v>182</v>
      </c>
      <c r="C59" s="6" t="s">
        <v>189</v>
      </c>
    </row>
    <row r="60" spans="1:3" x14ac:dyDescent="0.25">
      <c r="A60" s="6" t="s">
        <v>543</v>
      </c>
      <c r="B60" s="8" t="s">
        <v>182</v>
      </c>
      <c r="C60" s="6" t="s">
        <v>544</v>
      </c>
    </row>
    <row r="61" spans="1:3" x14ac:dyDescent="0.25">
      <c r="A61" s="6" t="s">
        <v>190</v>
      </c>
      <c r="B61" s="8" t="s">
        <v>182</v>
      </c>
      <c r="C61" s="6" t="s">
        <v>191</v>
      </c>
    </row>
    <row r="62" spans="1:3" x14ac:dyDescent="0.25">
      <c r="A62" s="6" t="s">
        <v>604</v>
      </c>
      <c r="B62" s="8" t="s">
        <v>21</v>
      </c>
      <c r="C62" s="6" t="s">
        <v>605</v>
      </c>
    </row>
    <row r="63" spans="1:3" x14ac:dyDescent="0.25">
      <c r="A63" s="6" t="s">
        <v>192</v>
      </c>
      <c r="B63" s="8" t="s">
        <v>137</v>
      </c>
      <c r="C63" s="6" t="s">
        <v>193</v>
      </c>
    </row>
    <row r="64" spans="1:3" x14ac:dyDescent="0.25">
      <c r="A64" s="6" t="s">
        <v>194</v>
      </c>
      <c r="B64" s="8" t="s">
        <v>195</v>
      </c>
      <c r="C64" s="6" t="s">
        <v>196</v>
      </c>
    </row>
    <row r="65" spans="1:3" x14ac:dyDescent="0.25">
      <c r="A65" s="6" t="s">
        <v>197</v>
      </c>
      <c r="B65" s="8" t="s">
        <v>198</v>
      </c>
      <c r="C65" s="6" t="s">
        <v>199</v>
      </c>
    </row>
    <row r="66" spans="1:3" x14ac:dyDescent="0.25">
      <c r="A66" s="6" t="s">
        <v>200</v>
      </c>
      <c r="B66" s="8" t="s">
        <v>198</v>
      </c>
      <c r="C66" s="6" t="s">
        <v>201</v>
      </c>
    </row>
    <row r="67" spans="1:3" x14ac:dyDescent="0.25">
      <c r="A67" s="6" t="s">
        <v>202</v>
      </c>
      <c r="B67" s="8" t="s">
        <v>198</v>
      </c>
      <c r="C67" s="6" t="s">
        <v>203</v>
      </c>
    </row>
    <row r="68" spans="1:3" x14ac:dyDescent="0.25">
      <c r="A68" s="6" t="s">
        <v>204</v>
      </c>
      <c r="B68" s="8" t="s">
        <v>128</v>
      </c>
      <c r="C68" s="6" t="s">
        <v>205</v>
      </c>
    </row>
    <row r="69" spans="1:3" x14ac:dyDescent="0.25">
      <c r="A69" s="6" t="s">
        <v>206</v>
      </c>
      <c r="B69" s="8" t="s">
        <v>207</v>
      </c>
      <c r="C69" s="6" t="s">
        <v>208</v>
      </c>
    </row>
    <row r="70" spans="1:3" x14ac:dyDescent="0.25">
      <c r="A70" s="6" t="s">
        <v>209</v>
      </c>
      <c r="B70" s="8" t="s">
        <v>137</v>
      </c>
      <c r="C70" s="6" t="s">
        <v>210</v>
      </c>
    </row>
    <row r="71" spans="1:3" x14ac:dyDescent="0.25">
      <c r="A71" s="6" t="s">
        <v>211</v>
      </c>
      <c r="B71" s="8" t="s">
        <v>62</v>
      </c>
      <c r="C71" s="6" t="s">
        <v>212</v>
      </c>
    </row>
    <row r="72" spans="1:3" x14ac:dyDescent="0.25">
      <c r="A72" s="6" t="s">
        <v>213</v>
      </c>
      <c r="B72" s="8" t="s">
        <v>39</v>
      </c>
      <c r="C72" s="6" t="s">
        <v>214</v>
      </c>
    </row>
    <row r="73" spans="1:3" x14ac:dyDescent="0.25">
      <c r="A73" s="122" t="s">
        <v>648</v>
      </c>
      <c r="B73" s="123" t="s">
        <v>182</v>
      </c>
      <c r="C73" s="121" t="s">
        <v>728</v>
      </c>
    </row>
    <row r="74" spans="1:3" x14ac:dyDescent="0.25">
      <c r="A74" s="6" t="s">
        <v>215</v>
      </c>
      <c r="B74" s="8" t="s">
        <v>216</v>
      </c>
      <c r="C74" s="6" t="s">
        <v>217</v>
      </c>
    </row>
    <row r="75" spans="1:3" x14ac:dyDescent="0.25">
      <c r="A75" s="6" t="s">
        <v>218</v>
      </c>
      <c r="B75" s="8" t="s">
        <v>216</v>
      </c>
      <c r="C75" s="6" t="s">
        <v>219</v>
      </c>
    </row>
    <row r="76" spans="1:3" x14ac:dyDescent="0.25">
      <c r="A76" s="6" t="s">
        <v>220</v>
      </c>
      <c r="B76" s="8" t="s">
        <v>216</v>
      </c>
      <c r="C76" s="6" t="s">
        <v>221</v>
      </c>
    </row>
    <row r="77" spans="1:3" x14ac:dyDescent="0.25">
      <c r="A77" s="6" t="s">
        <v>58</v>
      </c>
      <c r="B77" s="8" t="s">
        <v>39</v>
      </c>
      <c r="C77" s="6" t="s">
        <v>222</v>
      </c>
    </row>
    <row r="78" spans="1:3" x14ac:dyDescent="0.25">
      <c r="A78" s="6" t="s">
        <v>223</v>
      </c>
      <c r="B78" s="8" t="s">
        <v>224</v>
      </c>
      <c r="C78" s="6" t="s">
        <v>225</v>
      </c>
    </row>
    <row r="79" spans="1:3" x14ac:dyDescent="0.25">
      <c r="A79" s="6" t="s">
        <v>226</v>
      </c>
      <c r="B79" s="8" t="s">
        <v>39</v>
      </c>
      <c r="C79" s="6" t="s">
        <v>227</v>
      </c>
    </row>
    <row r="80" spans="1:3" x14ac:dyDescent="0.25">
      <c r="A80" s="6" t="s">
        <v>228</v>
      </c>
      <c r="B80" s="8" t="s">
        <v>216</v>
      </c>
      <c r="C80" s="6" t="s">
        <v>229</v>
      </c>
    </row>
    <row r="81" spans="1:3" x14ac:dyDescent="0.25">
      <c r="A81" s="122" t="s">
        <v>650</v>
      </c>
      <c r="B81" s="123" t="s">
        <v>128</v>
      </c>
      <c r="C81" s="120" t="s">
        <v>724</v>
      </c>
    </row>
    <row r="82" spans="1:3" x14ac:dyDescent="0.25">
      <c r="A82" s="6" t="s">
        <v>230</v>
      </c>
      <c r="B82" s="8" t="s">
        <v>39</v>
      </c>
      <c r="C82" s="6" t="s">
        <v>231</v>
      </c>
    </row>
    <row r="83" spans="1:3" x14ac:dyDescent="0.25">
      <c r="A83" s="6" t="s">
        <v>232</v>
      </c>
      <c r="B83" s="8" t="s">
        <v>39</v>
      </c>
      <c r="C83" s="6" t="s">
        <v>233</v>
      </c>
    </row>
    <row r="84" spans="1:3" x14ac:dyDescent="0.25">
      <c r="A84" s="6" t="s">
        <v>234</v>
      </c>
      <c r="B84" s="8" t="s">
        <v>216</v>
      </c>
      <c r="C84" s="6" t="s">
        <v>235</v>
      </c>
    </row>
    <row r="85" spans="1:3" x14ac:dyDescent="0.25">
      <c r="A85" s="6" t="s">
        <v>27</v>
      </c>
      <c r="B85" s="8" t="s">
        <v>171</v>
      </c>
      <c r="C85" s="6" t="s">
        <v>236</v>
      </c>
    </row>
    <row r="86" spans="1:3" x14ac:dyDescent="0.25">
      <c r="A86" s="6" t="s">
        <v>237</v>
      </c>
      <c r="B86" s="8" t="s">
        <v>165</v>
      </c>
      <c r="C86" s="6" t="s">
        <v>238</v>
      </c>
    </row>
    <row r="87" spans="1:3" x14ac:dyDescent="0.25">
      <c r="A87" s="6" t="s">
        <v>239</v>
      </c>
      <c r="B87" s="8" t="s">
        <v>216</v>
      </c>
      <c r="C87" s="6" t="s">
        <v>240</v>
      </c>
    </row>
    <row r="88" spans="1:3" x14ac:dyDescent="0.25">
      <c r="A88" s="6" t="s">
        <v>241</v>
      </c>
      <c r="B88" s="8" t="s">
        <v>198</v>
      </c>
      <c r="C88" s="6" t="s">
        <v>242</v>
      </c>
    </row>
    <row r="89" spans="1:3" x14ac:dyDescent="0.25">
      <c r="A89" s="6" t="s">
        <v>243</v>
      </c>
      <c r="B89" s="8" t="s">
        <v>198</v>
      </c>
      <c r="C89" s="6" t="s">
        <v>244</v>
      </c>
    </row>
    <row r="90" spans="1:3" x14ac:dyDescent="0.25">
      <c r="A90" s="6" t="s">
        <v>245</v>
      </c>
      <c r="B90" s="8" t="s">
        <v>165</v>
      </c>
      <c r="C90" s="6" t="s">
        <v>246</v>
      </c>
    </row>
    <row r="91" spans="1:3" x14ac:dyDescent="0.25">
      <c r="A91" s="124" t="s">
        <v>100</v>
      </c>
      <c r="B91" s="125" t="s">
        <v>19</v>
      </c>
      <c r="C91" s="120" t="s">
        <v>727</v>
      </c>
    </row>
    <row r="92" spans="1:3" x14ac:dyDescent="0.25">
      <c r="A92" s="6" t="s">
        <v>247</v>
      </c>
      <c r="B92" s="8" t="s">
        <v>248</v>
      </c>
      <c r="C92" s="6" t="s">
        <v>249</v>
      </c>
    </row>
    <row r="93" spans="1:3" x14ac:dyDescent="0.25">
      <c r="A93" s="6" t="s">
        <v>250</v>
      </c>
      <c r="B93" s="8" t="s">
        <v>39</v>
      </c>
      <c r="C93" s="6" t="s">
        <v>251</v>
      </c>
    </row>
    <row r="94" spans="1:3" x14ac:dyDescent="0.25">
      <c r="A94" s="6" t="s">
        <v>252</v>
      </c>
      <c r="B94" s="8" t="s">
        <v>39</v>
      </c>
      <c r="C94" s="6" t="s">
        <v>253</v>
      </c>
    </row>
    <row r="95" spans="1:3" x14ac:dyDescent="0.25">
      <c r="A95" s="6" t="s">
        <v>254</v>
      </c>
      <c r="B95" s="8" t="s">
        <v>39</v>
      </c>
      <c r="C95" s="6" t="s">
        <v>255</v>
      </c>
    </row>
    <row r="96" spans="1:3" x14ac:dyDescent="0.25">
      <c r="A96" s="6" t="s">
        <v>256</v>
      </c>
      <c r="B96" s="8" t="s">
        <v>39</v>
      </c>
      <c r="C96" s="6" t="s">
        <v>257</v>
      </c>
    </row>
    <row r="97" spans="1:3" x14ac:dyDescent="0.25">
      <c r="A97" s="6" t="s">
        <v>258</v>
      </c>
      <c r="B97" s="8" t="s">
        <v>39</v>
      </c>
      <c r="C97" s="6" t="s">
        <v>259</v>
      </c>
    </row>
    <row r="98" spans="1:3" x14ac:dyDescent="0.25">
      <c r="A98" s="6" t="s">
        <v>260</v>
      </c>
      <c r="B98" s="8" t="s">
        <v>39</v>
      </c>
      <c r="C98" s="6" t="s">
        <v>261</v>
      </c>
    </row>
    <row r="99" spans="1:3" x14ac:dyDescent="0.25">
      <c r="A99" s="6" t="s">
        <v>262</v>
      </c>
      <c r="B99" s="8" t="s">
        <v>39</v>
      </c>
      <c r="C99" s="6" t="s">
        <v>263</v>
      </c>
    </row>
    <row r="100" spans="1:3" x14ac:dyDescent="0.25">
      <c r="A100" s="179" t="s">
        <v>825</v>
      </c>
      <c r="B100" s="8" t="s">
        <v>39</v>
      </c>
      <c r="C100" s="6" t="s">
        <v>297</v>
      </c>
    </row>
    <row r="101" spans="1:3" x14ac:dyDescent="0.25">
      <c r="A101" s="6" t="s">
        <v>264</v>
      </c>
      <c r="B101" s="8" t="s">
        <v>142</v>
      </c>
      <c r="C101" s="6" t="s">
        <v>265</v>
      </c>
    </row>
    <row r="102" spans="1:3" x14ac:dyDescent="0.25">
      <c r="A102" s="6" t="s">
        <v>266</v>
      </c>
      <c r="B102" s="8" t="s">
        <v>267</v>
      </c>
      <c r="C102" s="6" t="s">
        <v>268</v>
      </c>
    </row>
    <row r="103" spans="1:3" x14ac:dyDescent="0.25">
      <c r="A103" s="6" t="s">
        <v>269</v>
      </c>
      <c r="B103" s="8" t="s">
        <v>142</v>
      </c>
      <c r="C103" s="6" t="s">
        <v>270</v>
      </c>
    </row>
    <row r="104" spans="1:3" x14ac:dyDescent="0.25">
      <c r="A104" s="6" t="s">
        <v>271</v>
      </c>
      <c r="B104" s="8" t="s">
        <v>248</v>
      </c>
      <c r="C104" s="6" t="s">
        <v>272</v>
      </c>
    </row>
    <row r="105" spans="1:3" x14ac:dyDescent="0.25">
      <c r="A105" s="6" t="s">
        <v>273</v>
      </c>
      <c r="B105" s="8" t="s">
        <v>207</v>
      </c>
      <c r="C105" s="6" t="s">
        <v>274</v>
      </c>
    </row>
    <row r="106" spans="1:3" x14ac:dyDescent="0.25">
      <c r="A106" s="6" t="s">
        <v>275</v>
      </c>
      <c r="B106" s="8" t="s">
        <v>39</v>
      </c>
      <c r="C106" s="6" t="s">
        <v>276</v>
      </c>
    </row>
    <row r="107" spans="1:3" x14ac:dyDescent="0.25">
      <c r="A107" s="6" t="s">
        <v>277</v>
      </c>
      <c r="B107" s="8" t="s">
        <v>224</v>
      </c>
      <c r="C107" s="6" t="s">
        <v>278</v>
      </c>
    </row>
    <row r="108" spans="1:3" x14ac:dyDescent="0.25">
      <c r="A108" s="6" t="s">
        <v>279</v>
      </c>
      <c r="B108" s="8" t="s">
        <v>207</v>
      </c>
      <c r="C108" s="6" t="s">
        <v>280</v>
      </c>
    </row>
    <row r="109" spans="1:3" x14ac:dyDescent="0.25">
      <c r="A109" s="6" t="s">
        <v>281</v>
      </c>
      <c r="B109" s="8" t="s">
        <v>282</v>
      </c>
      <c r="C109" s="6" t="s">
        <v>283</v>
      </c>
    </row>
    <row r="110" spans="1:3" x14ac:dyDescent="0.25">
      <c r="A110" s="6" t="s">
        <v>284</v>
      </c>
      <c r="B110" s="8" t="s">
        <v>285</v>
      </c>
      <c r="C110" s="6" t="s">
        <v>286</v>
      </c>
    </row>
    <row r="111" spans="1:3" x14ac:dyDescent="0.25">
      <c r="A111" s="6" t="s">
        <v>287</v>
      </c>
      <c r="B111" s="8" t="s">
        <v>39</v>
      </c>
      <c r="C111" s="6" t="s">
        <v>288</v>
      </c>
    </row>
    <row r="112" spans="1:3" x14ac:dyDescent="0.25">
      <c r="A112" s="6" t="s">
        <v>289</v>
      </c>
      <c r="B112" s="8" t="s">
        <v>39</v>
      </c>
      <c r="C112" s="6" t="s">
        <v>290</v>
      </c>
    </row>
    <row r="113" spans="1:3" x14ac:dyDescent="0.25">
      <c r="A113" s="6" t="s">
        <v>291</v>
      </c>
      <c r="B113" s="8" t="s">
        <v>285</v>
      </c>
      <c r="C113" s="6" t="s">
        <v>292</v>
      </c>
    </row>
    <row r="114" spans="1:3" x14ac:dyDescent="0.25">
      <c r="A114" s="6" t="s">
        <v>293</v>
      </c>
      <c r="B114" s="8" t="s">
        <v>39</v>
      </c>
      <c r="C114" s="6" t="s">
        <v>294</v>
      </c>
    </row>
    <row r="115" spans="1:3" x14ac:dyDescent="0.25">
      <c r="A115" s="6" t="s">
        <v>295</v>
      </c>
      <c r="B115" s="8" t="s">
        <v>128</v>
      </c>
      <c r="C115" s="6" t="s">
        <v>296</v>
      </c>
    </row>
    <row r="116" spans="1:3" x14ac:dyDescent="0.25">
      <c r="A116" s="6" t="s">
        <v>545</v>
      </c>
      <c r="B116" s="8" t="s">
        <v>39</v>
      </c>
      <c r="C116" s="6" t="s">
        <v>519</v>
      </c>
    </row>
    <row r="117" spans="1:3" x14ac:dyDescent="0.25">
      <c r="A117" s="6" t="s">
        <v>546</v>
      </c>
      <c r="B117" s="8" t="s">
        <v>547</v>
      </c>
      <c r="C117" s="6" t="s">
        <v>548</v>
      </c>
    </row>
    <row r="118" spans="1:3" x14ac:dyDescent="0.25">
      <c r="A118" s="179" t="s">
        <v>824</v>
      </c>
      <c r="B118" s="8" t="s">
        <v>39</v>
      </c>
      <c r="C118" s="6" t="s">
        <v>297</v>
      </c>
    </row>
    <row r="119" spans="1:3" x14ac:dyDescent="0.25">
      <c r="A119" s="6" t="s">
        <v>298</v>
      </c>
      <c r="B119" s="8" t="s">
        <v>39</v>
      </c>
      <c r="C119" s="6" t="s">
        <v>299</v>
      </c>
    </row>
    <row r="120" spans="1:3" x14ac:dyDescent="0.25">
      <c r="A120" s="6" t="s">
        <v>549</v>
      </c>
      <c r="B120" s="8" t="s">
        <v>39</v>
      </c>
      <c r="C120" s="6" t="s">
        <v>550</v>
      </c>
    </row>
    <row r="121" spans="1:3" x14ac:dyDescent="0.25">
      <c r="A121" s="6" t="s">
        <v>300</v>
      </c>
      <c r="B121" s="8" t="s">
        <v>207</v>
      </c>
      <c r="C121" s="6" t="s">
        <v>301</v>
      </c>
    </row>
    <row r="122" spans="1:3" x14ac:dyDescent="0.25">
      <c r="A122" s="6" t="s">
        <v>302</v>
      </c>
      <c r="B122" s="8" t="s">
        <v>142</v>
      </c>
      <c r="C122" s="6" t="s">
        <v>303</v>
      </c>
    </row>
    <row r="123" spans="1:3" x14ac:dyDescent="0.25">
      <c r="A123" s="6" t="s">
        <v>304</v>
      </c>
      <c r="B123" s="8" t="s">
        <v>224</v>
      </c>
      <c r="C123" s="6" t="s">
        <v>305</v>
      </c>
    </row>
    <row r="124" spans="1:3" x14ac:dyDescent="0.25">
      <c r="A124" s="6" t="s">
        <v>306</v>
      </c>
      <c r="B124" s="8" t="s">
        <v>128</v>
      </c>
      <c r="C124" s="6" t="s">
        <v>307</v>
      </c>
    </row>
    <row r="125" spans="1:3" x14ac:dyDescent="0.25">
      <c r="A125" s="6" t="s">
        <v>308</v>
      </c>
      <c r="B125" s="8" t="s">
        <v>248</v>
      </c>
      <c r="C125" s="6" t="s">
        <v>309</v>
      </c>
    </row>
    <row r="126" spans="1:3" x14ac:dyDescent="0.25">
      <c r="A126" s="6" t="s">
        <v>310</v>
      </c>
      <c r="B126" s="8" t="s">
        <v>311</v>
      </c>
      <c r="C126" s="6" t="s">
        <v>312</v>
      </c>
    </row>
    <row r="127" spans="1:3" x14ac:dyDescent="0.25">
      <c r="A127" s="6" t="s">
        <v>313</v>
      </c>
      <c r="B127" s="8" t="s">
        <v>248</v>
      </c>
      <c r="C127" s="6" t="s">
        <v>314</v>
      </c>
    </row>
    <row r="128" spans="1:3" x14ac:dyDescent="0.25">
      <c r="A128" s="6" t="s">
        <v>606</v>
      </c>
      <c r="B128" s="8" t="s">
        <v>311</v>
      </c>
      <c r="C128" s="6" t="s">
        <v>607</v>
      </c>
    </row>
    <row r="129" spans="1:3" x14ac:dyDescent="0.25">
      <c r="A129" s="6" t="s">
        <v>315</v>
      </c>
      <c r="B129" s="8" t="s">
        <v>248</v>
      </c>
    </row>
    <row r="130" spans="1:3" x14ac:dyDescent="0.25">
      <c r="A130" s="6" t="s">
        <v>317</v>
      </c>
      <c r="B130" s="8" t="s">
        <v>142</v>
      </c>
      <c r="C130" s="6" t="s">
        <v>316</v>
      </c>
    </row>
    <row r="131" spans="1:3" x14ac:dyDescent="0.25">
      <c r="A131" s="6" t="s">
        <v>97</v>
      </c>
      <c r="B131" s="8" t="s">
        <v>142</v>
      </c>
      <c r="C131" s="6" t="s">
        <v>318</v>
      </c>
    </row>
    <row r="132" spans="1:3" x14ac:dyDescent="0.25">
      <c r="A132" s="6" t="s">
        <v>319</v>
      </c>
      <c r="B132" s="8" t="s">
        <v>51</v>
      </c>
      <c r="C132" s="6" t="s">
        <v>320</v>
      </c>
    </row>
    <row r="133" spans="1:3" x14ac:dyDescent="0.25">
      <c r="A133" s="6" t="s">
        <v>321</v>
      </c>
      <c r="B133" s="8" t="s">
        <v>39</v>
      </c>
      <c r="C133" s="6" t="s">
        <v>322</v>
      </c>
    </row>
    <row r="134" spans="1:3" x14ac:dyDescent="0.25">
      <c r="A134" s="6" t="s">
        <v>323</v>
      </c>
      <c r="B134" s="8" t="s">
        <v>248</v>
      </c>
      <c r="C134" s="6" t="s">
        <v>324</v>
      </c>
    </row>
    <row r="135" spans="1:3" x14ac:dyDescent="0.25">
      <c r="A135" s="6" t="s">
        <v>325</v>
      </c>
      <c r="B135" s="8" t="s">
        <v>142</v>
      </c>
      <c r="C135" s="6" t="s">
        <v>326</v>
      </c>
    </row>
    <row r="136" spans="1:3" x14ac:dyDescent="0.25">
      <c r="A136" s="6" t="s">
        <v>327</v>
      </c>
      <c r="B136" s="8" t="s">
        <v>248</v>
      </c>
      <c r="C136" s="6" t="s">
        <v>328</v>
      </c>
    </row>
    <row r="137" spans="1:3" x14ac:dyDescent="0.25">
      <c r="A137" s="6" t="s">
        <v>329</v>
      </c>
      <c r="B137" s="8" t="s">
        <v>51</v>
      </c>
      <c r="C137" s="6" t="s">
        <v>330</v>
      </c>
    </row>
    <row r="138" spans="1:3" x14ac:dyDescent="0.25">
      <c r="A138" s="6" t="s">
        <v>331</v>
      </c>
      <c r="B138" s="8" t="s">
        <v>142</v>
      </c>
      <c r="C138" s="6" t="s">
        <v>332</v>
      </c>
    </row>
    <row r="139" spans="1:3" x14ac:dyDescent="0.25">
      <c r="A139" s="6" t="s">
        <v>333</v>
      </c>
      <c r="B139" s="8" t="s">
        <v>62</v>
      </c>
      <c r="C139" s="6" t="s">
        <v>334</v>
      </c>
    </row>
    <row r="140" spans="1:3" x14ac:dyDescent="0.25">
      <c r="A140" s="6" t="s">
        <v>335</v>
      </c>
      <c r="B140" s="8" t="s">
        <v>142</v>
      </c>
      <c r="C140" s="6" t="s">
        <v>336</v>
      </c>
    </row>
    <row r="141" spans="1:3" x14ac:dyDescent="0.25">
      <c r="A141" s="6" t="s">
        <v>337</v>
      </c>
      <c r="B141" s="8" t="s">
        <v>142</v>
      </c>
      <c r="C141" s="6" t="s">
        <v>338</v>
      </c>
    </row>
    <row r="142" spans="1:3" x14ac:dyDescent="0.25">
      <c r="A142" s="6" t="s">
        <v>339</v>
      </c>
      <c r="B142" s="8" t="s">
        <v>142</v>
      </c>
      <c r="C142" s="6" t="s">
        <v>340</v>
      </c>
    </row>
    <row r="143" spans="1:3" x14ac:dyDescent="0.25">
      <c r="A143" s="6" t="s">
        <v>341</v>
      </c>
      <c r="B143" s="8" t="s">
        <v>248</v>
      </c>
      <c r="C143" s="6" t="s">
        <v>342</v>
      </c>
    </row>
    <row r="144" spans="1:3" x14ac:dyDescent="0.25">
      <c r="A144" s="6" t="s">
        <v>343</v>
      </c>
      <c r="B144" s="8" t="s">
        <v>248</v>
      </c>
    </row>
    <row r="145" spans="1:3" x14ac:dyDescent="0.25">
      <c r="A145" s="6" t="s">
        <v>344</v>
      </c>
      <c r="B145" s="8" t="s">
        <v>345</v>
      </c>
      <c r="C145" s="6" t="s">
        <v>346</v>
      </c>
    </row>
    <row r="146" spans="1:3" x14ac:dyDescent="0.25">
      <c r="A146" s="122" t="s">
        <v>637</v>
      </c>
      <c r="B146" s="123" t="s">
        <v>216</v>
      </c>
      <c r="C146" s="120" t="s">
        <v>725</v>
      </c>
    </row>
    <row r="147" spans="1:3" x14ac:dyDescent="0.25">
      <c r="A147" s="6" t="s">
        <v>608</v>
      </c>
      <c r="B147" s="8" t="s">
        <v>248</v>
      </c>
      <c r="C147" s="6" t="s">
        <v>609</v>
      </c>
    </row>
    <row r="148" spans="1:3" x14ac:dyDescent="0.25">
      <c r="A148" s="6" t="s">
        <v>347</v>
      </c>
      <c r="B148" s="8" t="s">
        <v>39</v>
      </c>
      <c r="C148" s="6" t="s">
        <v>348</v>
      </c>
    </row>
    <row r="149" spans="1:3" x14ac:dyDescent="0.25">
      <c r="A149" s="6" t="s">
        <v>349</v>
      </c>
      <c r="B149" s="8" t="s">
        <v>198</v>
      </c>
      <c r="C149" s="6" t="s">
        <v>350</v>
      </c>
    </row>
    <row r="150" spans="1:3" x14ac:dyDescent="0.25">
      <c r="A150" s="6" t="s">
        <v>351</v>
      </c>
      <c r="B150" s="8" t="s">
        <v>352</v>
      </c>
      <c r="C150" s="6" t="s">
        <v>353</v>
      </c>
    </row>
    <row r="151" spans="1:3" x14ac:dyDescent="0.25">
      <c r="A151" s="6" t="s">
        <v>551</v>
      </c>
      <c r="B151" s="8" t="s">
        <v>39</v>
      </c>
      <c r="C151" s="6" t="s">
        <v>552</v>
      </c>
    </row>
    <row r="152" spans="1:3" x14ac:dyDescent="0.25">
      <c r="A152" s="6" t="s">
        <v>354</v>
      </c>
      <c r="B152" s="8" t="s">
        <v>355</v>
      </c>
      <c r="C152" s="6" t="s">
        <v>356</v>
      </c>
    </row>
    <row r="153" spans="1:3" x14ac:dyDescent="0.25">
      <c r="A153" s="6" t="s">
        <v>357</v>
      </c>
      <c r="B153" s="8" t="s">
        <v>355</v>
      </c>
      <c r="C153" s="6" t="s">
        <v>358</v>
      </c>
    </row>
    <row r="154" spans="1:3" x14ac:dyDescent="0.25">
      <c r="A154" s="6" t="s">
        <v>359</v>
      </c>
      <c r="B154" s="8" t="s">
        <v>39</v>
      </c>
      <c r="C154" s="6" t="s">
        <v>360</v>
      </c>
    </row>
    <row r="155" spans="1:3" x14ac:dyDescent="0.25">
      <c r="A155" s="6" t="s">
        <v>361</v>
      </c>
      <c r="B155" s="8" t="s">
        <v>39</v>
      </c>
      <c r="C155" s="6" t="s">
        <v>362</v>
      </c>
    </row>
    <row r="156" spans="1:3" x14ac:dyDescent="0.25">
      <c r="A156" s="6" t="s">
        <v>553</v>
      </c>
      <c r="B156" s="8" t="s">
        <v>534</v>
      </c>
      <c r="C156" s="6" t="s">
        <v>554</v>
      </c>
    </row>
    <row r="157" spans="1:3" x14ac:dyDescent="0.25">
      <c r="A157" s="6" t="s">
        <v>555</v>
      </c>
      <c r="B157" s="8" t="s">
        <v>39</v>
      </c>
      <c r="C157" s="6" t="s">
        <v>556</v>
      </c>
    </row>
    <row r="158" spans="1:3" x14ac:dyDescent="0.25">
      <c r="A158" s="6" t="s">
        <v>557</v>
      </c>
      <c r="B158" s="8" t="s">
        <v>39</v>
      </c>
      <c r="C158" s="6" t="s">
        <v>558</v>
      </c>
    </row>
    <row r="159" spans="1:3" x14ac:dyDescent="0.25">
      <c r="A159" s="6" t="s">
        <v>559</v>
      </c>
      <c r="B159" s="8" t="s">
        <v>39</v>
      </c>
      <c r="C159" s="6" t="s">
        <v>560</v>
      </c>
    </row>
    <row r="160" spans="1:3" x14ac:dyDescent="0.25">
      <c r="A160" s="6" t="s">
        <v>363</v>
      </c>
      <c r="B160" s="8" t="s">
        <v>39</v>
      </c>
      <c r="C160" s="6" t="s">
        <v>364</v>
      </c>
    </row>
    <row r="161" spans="1:3" x14ac:dyDescent="0.25">
      <c r="A161" s="6" t="s">
        <v>365</v>
      </c>
      <c r="B161" s="8" t="s">
        <v>19</v>
      </c>
      <c r="C161" s="6" t="s">
        <v>366</v>
      </c>
    </row>
    <row r="162" spans="1:3" x14ac:dyDescent="0.25">
      <c r="A162" s="6" t="s">
        <v>561</v>
      </c>
      <c r="B162" s="8" t="s">
        <v>39</v>
      </c>
      <c r="C162" s="6" t="s">
        <v>562</v>
      </c>
    </row>
    <row r="163" spans="1:3" x14ac:dyDescent="0.25">
      <c r="A163" s="6" t="s">
        <v>367</v>
      </c>
      <c r="B163" s="8" t="s">
        <v>39</v>
      </c>
      <c r="C163" s="6" t="s">
        <v>368</v>
      </c>
    </row>
    <row r="164" spans="1:3" x14ac:dyDescent="0.25">
      <c r="A164" s="6" t="s">
        <v>369</v>
      </c>
      <c r="B164" s="8" t="s">
        <v>282</v>
      </c>
      <c r="C164" s="6" t="s">
        <v>370</v>
      </c>
    </row>
    <row r="165" spans="1:3" x14ac:dyDescent="0.25">
      <c r="A165" s="6" t="s">
        <v>371</v>
      </c>
      <c r="B165" s="8" t="s">
        <v>207</v>
      </c>
      <c r="C165" s="6" t="s">
        <v>372</v>
      </c>
    </row>
    <row r="166" spans="1:3" x14ac:dyDescent="0.25">
      <c r="A166" s="6" t="s">
        <v>373</v>
      </c>
      <c r="B166" s="8" t="s">
        <v>207</v>
      </c>
      <c r="C166" s="6" t="s">
        <v>374</v>
      </c>
    </row>
    <row r="167" spans="1:3" x14ac:dyDescent="0.25">
      <c r="A167" s="6" t="s">
        <v>563</v>
      </c>
      <c r="B167" s="8" t="s">
        <v>547</v>
      </c>
      <c r="C167" s="6" t="s">
        <v>564</v>
      </c>
    </row>
    <row r="168" spans="1:3" x14ac:dyDescent="0.25">
      <c r="A168" s="6" t="s">
        <v>375</v>
      </c>
      <c r="B168" s="8" t="s">
        <v>39</v>
      </c>
      <c r="C168" s="6" t="s">
        <v>18</v>
      </c>
    </row>
    <row r="169" spans="1:3" x14ac:dyDescent="0.25">
      <c r="A169" s="6" t="s">
        <v>376</v>
      </c>
      <c r="B169" s="8" t="s">
        <v>137</v>
      </c>
      <c r="C169" s="6" t="s">
        <v>377</v>
      </c>
    </row>
    <row r="170" spans="1:3" x14ac:dyDescent="0.25">
      <c r="A170" s="6" t="s">
        <v>378</v>
      </c>
      <c r="B170" s="8" t="s">
        <v>198</v>
      </c>
      <c r="C170" s="6" t="s">
        <v>379</v>
      </c>
    </row>
    <row r="171" spans="1:3" x14ac:dyDescent="0.25">
      <c r="A171" s="6" t="s">
        <v>380</v>
      </c>
      <c r="B171" s="8" t="s">
        <v>165</v>
      </c>
      <c r="C171" s="6" t="s">
        <v>381</v>
      </c>
    </row>
    <row r="172" spans="1:3" x14ac:dyDescent="0.25">
      <c r="A172" s="6" t="s">
        <v>382</v>
      </c>
      <c r="B172" s="8" t="s">
        <v>383</v>
      </c>
      <c r="C172" s="6" t="s">
        <v>384</v>
      </c>
    </row>
    <row r="173" spans="1:3" x14ac:dyDescent="0.25">
      <c r="A173" s="6" t="s">
        <v>385</v>
      </c>
      <c r="B173" s="8" t="s">
        <v>142</v>
      </c>
      <c r="C173" s="6" t="s">
        <v>386</v>
      </c>
    </row>
    <row r="174" spans="1:3" x14ac:dyDescent="0.25">
      <c r="A174" s="6" t="s">
        <v>387</v>
      </c>
      <c r="B174" s="8" t="s">
        <v>142</v>
      </c>
      <c r="C174" s="6" t="s">
        <v>388</v>
      </c>
    </row>
    <row r="175" spans="1:3" x14ac:dyDescent="0.25">
      <c r="A175" s="6" t="s">
        <v>389</v>
      </c>
      <c r="B175" s="8" t="s">
        <v>142</v>
      </c>
      <c r="C175" s="6" t="s">
        <v>390</v>
      </c>
    </row>
    <row r="176" spans="1:3" x14ac:dyDescent="0.25">
      <c r="A176" s="6" t="s">
        <v>391</v>
      </c>
      <c r="B176" s="8" t="s">
        <v>311</v>
      </c>
      <c r="C176" s="6" t="s">
        <v>392</v>
      </c>
    </row>
    <row r="177" spans="1:3" x14ac:dyDescent="0.25">
      <c r="A177" s="6" t="s">
        <v>393</v>
      </c>
      <c r="B177" s="8" t="s">
        <v>311</v>
      </c>
      <c r="C177" s="6" t="s">
        <v>394</v>
      </c>
    </row>
    <row r="178" spans="1:3" x14ac:dyDescent="0.25">
      <c r="A178" s="6" t="s">
        <v>565</v>
      </c>
      <c r="B178" s="8" t="s">
        <v>566</v>
      </c>
      <c r="C178" s="6" t="s">
        <v>567</v>
      </c>
    </row>
    <row r="179" spans="1:3" x14ac:dyDescent="0.25">
      <c r="A179" s="6" t="s">
        <v>568</v>
      </c>
      <c r="B179" s="8" t="s">
        <v>566</v>
      </c>
      <c r="C179" s="6" t="s">
        <v>569</v>
      </c>
    </row>
    <row r="180" spans="1:3" x14ac:dyDescent="0.25">
      <c r="A180" s="6" t="s">
        <v>570</v>
      </c>
      <c r="B180" s="8" t="s">
        <v>39</v>
      </c>
      <c r="C180" s="6" t="s">
        <v>519</v>
      </c>
    </row>
    <row r="181" spans="1:3" x14ac:dyDescent="0.25">
      <c r="A181" s="6" t="s">
        <v>395</v>
      </c>
      <c r="B181" s="8" t="s">
        <v>51</v>
      </c>
      <c r="C181" s="6" t="s">
        <v>396</v>
      </c>
    </row>
    <row r="182" spans="1:3" x14ac:dyDescent="0.25">
      <c r="A182" s="6" t="s">
        <v>397</v>
      </c>
      <c r="B182" s="8" t="s">
        <v>207</v>
      </c>
      <c r="C182" s="6" t="s">
        <v>398</v>
      </c>
    </row>
    <row r="183" spans="1:3" x14ac:dyDescent="0.25">
      <c r="A183" s="6" t="s">
        <v>15</v>
      </c>
      <c r="B183" s="8" t="s">
        <v>399</v>
      </c>
      <c r="C183" s="6" t="s">
        <v>400</v>
      </c>
    </row>
    <row r="184" spans="1:3" x14ac:dyDescent="0.25">
      <c r="A184" s="6" t="s">
        <v>401</v>
      </c>
    </row>
    <row r="185" spans="1:3" x14ac:dyDescent="0.25">
      <c r="A185" s="6" t="s">
        <v>571</v>
      </c>
      <c r="B185" s="8" t="s">
        <v>39</v>
      </c>
      <c r="C185" s="6" t="s">
        <v>519</v>
      </c>
    </row>
    <row r="186" spans="1:3" x14ac:dyDescent="0.25">
      <c r="A186" s="6" t="s">
        <v>402</v>
      </c>
      <c r="B186" s="8" t="s">
        <v>403</v>
      </c>
      <c r="C186" s="6" t="s">
        <v>404</v>
      </c>
    </row>
    <row r="187" spans="1:3" x14ac:dyDescent="0.25">
      <c r="A187" s="6" t="s">
        <v>405</v>
      </c>
      <c r="B187" s="8" t="s">
        <v>403</v>
      </c>
      <c r="C187" s="6" t="s">
        <v>406</v>
      </c>
    </row>
    <row r="188" spans="1:3" x14ac:dyDescent="0.25">
      <c r="A188" s="6" t="s">
        <v>572</v>
      </c>
      <c r="B188" s="8" t="s">
        <v>21</v>
      </c>
      <c r="C188" s="6" t="s">
        <v>573</v>
      </c>
    </row>
    <row r="189" spans="1:3" x14ac:dyDescent="0.25">
      <c r="A189" s="6" t="s">
        <v>407</v>
      </c>
      <c r="B189" s="8" t="s">
        <v>403</v>
      </c>
      <c r="C189" s="6" t="s">
        <v>408</v>
      </c>
    </row>
    <row r="190" spans="1:3" x14ac:dyDescent="0.25">
      <c r="A190" s="6" t="s">
        <v>409</v>
      </c>
      <c r="B190" s="8" t="s">
        <v>403</v>
      </c>
      <c r="C190" s="6" t="s">
        <v>410</v>
      </c>
    </row>
    <row r="191" spans="1:3" x14ac:dyDescent="0.25">
      <c r="A191" s="6" t="s">
        <v>411</v>
      </c>
      <c r="B191" s="8" t="s">
        <v>403</v>
      </c>
      <c r="C191" s="6" t="s">
        <v>412</v>
      </c>
    </row>
    <row r="192" spans="1:3" x14ac:dyDescent="0.25">
      <c r="A192" s="6" t="s">
        <v>574</v>
      </c>
      <c r="B192" s="8" t="s">
        <v>21</v>
      </c>
      <c r="C192" s="6" t="s">
        <v>575</v>
      </c>
    </row>
    <row r="193" spans="1:3" x14ac:dyDescent="0.25">
      <c r="A193" s="6" t="s">
        <v>413</v>
      </c>
      <c r="B193" s="8" t="s">
        <v>403</v>
      </c>
      <c r="C193" s="6" t="s">
        <v>414</v>
      </c>
    </row>
    <row r="194" spans="1:3" x14ac:dyDescent="0.25">
      <c r="A194" s="6" t="s">
        <v>415</v>
      </c>
      <c r="B194" s="8" t="s">
        <v>101</v>
      </c>
      <c r="C194" s="6" t="s">
        <v>416</v>
      </c>
    </row>
    <row r="195" spans="1:3" x14ac:dyDescent="0.25">
      <c r="A195" s="6" t="s">
        <v>417</v>
      </c>
      <c r="B195" s="8" t="s">
        <v>39</v>
      </c>
      <c r="C195" s="6" t="s">
        <v>418</v>
      </c>
    </row>
    <row r="196" spans="1:3" x14ac:dyDescent="0.25">
      <c r="A196" s="124" t="s">
        <v>649</v>
      </c>
      <c r="B196" s="125" t="s">
        <v>21</v>
      </c>
      <c r="C196" s="120" t="s">
        <v>723</v>
      </c>
    </row>
    <row r="197" spans="1:3" x14ac:dyDescent="0.25">
      <c r="A197" s="6" t="s">
        <v>16</v>
      </c>
      <c r="B197" s="8" t="s">
        <v>21</v>
      </c>
      <c r="C197" s="6" t="s">
        <v>419</v>
      </c>
    </row>
    <row r="198" spans="1:3" x14ac:dyDescent="0.25">
      <c r="A198" s="6" t="s">
        <v>576</v>
      </c>
      <c r="B198" s="8" t="s">
        <v>21</v>
      </c>
      <c r="C198" s="6" t="s">
        <v>577</v>
      </c>
    </row>
    <row r="199" spans="1:3" x14ac:dyDescent="0.25">
      <c r="A199" s="6" t="s">
        <v>420</v>
      </c>
      <c r="B199" s="8" t="s">
        <v>21</v>
      </c>
      <c r="C199" s="6" t="s">
        <v>421</v>
      </c>
    </row>
    <row r="200" spans="1:3" x14ac:dyDescent="0.25">
      <c r="A200" s="6" t="s">
        <v>578</v>
      </c>
      <c r="B200" s="8" t="s">
        <v>21</v>
      </c>
      <c r="C200" s="6" t="s">
        <v>579</v>
      </c>
    </row>
    <row r="201" spans="1:3" x14ac:dyDescent="0.25">
      <c r="A201" s="6" t="s">
        <v>29</v>
      </c>
      <c r="B201" s="8" t="s">
        <v>21</v>
      </c>
      <c r="C201" s="6" t="s">
        <v>422</v>
      </c>
    </row>
    <row r="202" spans="1:3" x14ac:dyDescent="0.25">
      <c r="A202" s="6" t="s">
        <v>580</v>
      </c>
      <c r="B202" s="8" t="s">
        <v>21</v>
      </c>
      <c r="C202" s="6" t="s">
        <v>581</v>
      </c>
    </row>
    <row r="203" spans="1:3" x14ac:dyDescent="0.25">
      <c r="A203" s="6" t="s">
        <v>423</v>
      </c>
      <c r="B203" s="8" t="s">
        <v>21</v>
      </c>
      <c r="C203" s="6" t="s">
        <v>424</v>
      </c>
    </row>
    <row r="204" spans="1:3" x14ac:dyDescent="0.25">
      <c r="A204" s="6" t="s">
        <v>425</v>
      </c>
      <c r="B204" s="8" t="s">
        <v>21</v>
      </c>
      <c r="C204" s="6" t="s">
        <v>426</v>
      </c>
    </row>
    <row r="205" spans="1:3" x14ac:dyDescent="0.25">
      <c r="A205" s="6" t="s">
        <v>427</v>
      </c>
      <c r="B205" s="8" t="s">
        <v>21</v>
      </c>
      <c r="C205" s="6" t="s">
        <v>428</v>
      </c>
    </row>
    <row r="206" spans="1:3" x14ac:dyDescent="0.25">
      <c r="A206" s="6" t="s">
        <v>582</v>
      </c>
      <c r="B206" s="8" t="s">
        <v>21</v>
      </c>
      <c r="C206" s="6" t="s">
        <v>583</v>
      </c>
    </row>
    <row r="207" spans="1:3" x14ac:dyDescent="0.25">
      <c r="A207" s="6" t="s">
        <v>429</v>
      </c>
      <c r="B207" s="8" t="s">
        <v>21</v>
      </c>
      <c r="C207" s="6" t="s">
        <v>430</v>
      </c>
    </row>
    <row r="208" spans="1:3" x14ac:dyDescent="0.25">
      <c r="A208" s="6" t="s">
        <v>431</v>
      </c>
      <c r="B208" s="8" t="s">
        <v>21</v>
      </c>
      <c r="C208" s="6" t="s">
        <v>432</v>
      </c>
    </row>
    <row r="209" spans="1:3" x14ac:dyDescent="0.25">
      <c r="A209" s="6" t="s">
        <v>584</v>
      </c>
      <c r="B209" s="8" t="s">
        <v>21</v>
      </c>
      <c r="C209" s="6" t="s">
        <v>585</v>
      </c>
    </row>
    <row r="210" spans="1:3" x14ac:dyDescent="0.25">
      <c r="A210" s="6" t="s">
        <v>433</v>
      </c>
      <c r="B210" s="8" t="s">
        <v>19</v>
      </c>
      <c r="C210" s="6" t="s">
        <v>434</v>
      </c>
    </row>
    <row r="211" spans="1:3" x14ac:dyDescent="0.25">
      <c r="A211" s="6" t="s">
        <v>435</v>
      </c>
      <c r="B211" s="8" t="s">
        <v>19</v>
      </c>
      <c r="C211" s="6" t="s">
        <v>436</v>
      </c>
    </row>
    <row r="212" spans="1:3" x14ac:dyDescent="0.25">
      <c r="A212" s="6" t="s">
        <v>437</v>
      </c>
      <c r="B212" s="8" t="s">
        <v>165</v>
      </c>
      <c r="C212" s="6" t="s">
        <v>438</v>
      </c>
    </row>
    <row r="213" spans="1:3" x14ac:dyDescent="0.25">
      <c r="A213" s="6" t="s">
        <v>439</v>
      </c>
      <c r="B213" s="8" t="s">
        <v>51</v>
      </c>
      <c r="C213" s="6" t="s">
        <v>440</v>
      </c>
    </row>
    <row r="214" spans="1:3" x14ac:dyDescent="0.25">
      <c r="A214" s="6" t="s">
        <v>441</v>
      </c>
      <c r="B214" s="8" t="s">
        <v>21</v>
      </c>
      <c r="C214" s="6" t="s">
        <v>619</v>
      </c>
    </row>
    <row r="215" spans="1:3" x14ac:dyDescent="0.25">
      <c r="A215" s="6" t="s">
        <v>442</v>
      </c>
      <c r="B215" s="8" t="s">
        <v>19</v>
      </c>
      <c r="C215" s="6" t="s">
        <v>443</v>
      </c>
    </row>
    <row r="216" spans="1:3" x14ac:dyDescent="0.25">
      <c r="A216" s="6" t="s">
        <v>444</v>
      </c>
      <c r="B216" s="8" t="s">
        <v>19</v>
      </c>
      <c r="C216" s="6" t="s">
        <v>445</v>
      </c>
    </row>
    <row r="217" spans="1:3" x14ac:dyDescent="0.25">
      <c r="A217" s="6" t="s">
        <v>610</v>
      </c>
      <c r="B217" s="8" t="s">
        <v>21</v>
      </c>
      <c r="C217" s="6" t="s">
        <v>611</v>
      </c>
    </row>
    <row r="218" spans="1:3" x14ac:dyDescent="0.25">
      <c r="A218" s="6" t="s">
        <v>612</v>
      </c>
      <c r="B218" s="8" t="s">
        <v>21</v>
      </c>
      <c r="C218" s="6" t="s">
        <v>613</v>
      </c>
    </row>
    <row r="219" spans="1:3" x14ac:dyDescent="0.25">
      <c r="A219" s="6" t="s">
        <v>614</v>
      </c>
      <c r="B219" s="8" t="s">
        <v>21</v>
      </c>
      <c r="C219" s="6" t="s">
        <v>615</v>
      </c>
    </row>
    <row r="220" spans="1:3" x14ac:dyDescent="0.25">
      <c r="A220" s="6" t="s">
        <v>616</v>
      </c>
      <c r="B220" s="8" t="s">
        <v>21</v>
      </c>
      <c r="C220" s="6" t="s">
        <v>617</v>
      </c>
    </row>
    <row r="221" spans="1:3" x14ac:dyDescent="0.25">
      <c r="A221" s="6" t="s">
        <v>618</v>
      </c>
      <c r="B221" s="8" t="s">
        <v>21</v>
      </c>
      <c r="C221" s="6" t="s">
        <v>619</v>
      </c>
    </row>
    <row r="222" spans="1:3" x14ac:dyDescent="0.25">
      <c r="A222" s="6" t="s">
        <v>620</v>
      </c>
      <c r="B222" s="8" t="s">
        <v>21</v>
      </c>
      <c r="C222" s="6" t="s">
        <v>621</v>
      </c>
    </row>
    <row r="223" spans="1:3" x14ac:dyDescent="0.25">
      <c r="A223" s="6" t="s">
        <v>622</v>
      </c>
      <c r="B223" s="8" t="s">
        <v>21</v>
      </c>
      <c r="C223" s="6" t="s">
        <v>623</v>
      </c>
    </row>
    <row r="224" spans="1:3" x14ac:dyDescent="0.25">
      <c r="A224" s="6" t="s">
        <v>624</v>
      </c>
      <c r="B224" s="8" t="s">
        <v>21</v>
      </c>
      <c r="C224" s="6" t="s">
        <v>625</v>
      </c>
    </row>
    <row r="225" spans="1:3" x14ac:dyDescent="0.25">
      <c r="A225" s="6" t="s">
        <v>626</v>
      </c>
      <c r="B225" s="8" t="s">
        <v>21</v>
      </c>
      <c r="C225" s="6" t="s">
        <v>627</v>
      </c>
    </row>
    <row r="226" spans="1:3" x14ac:dyDescent="0.25">
      <c r="A226" s="6" t="s">
        <v>628</v>
      </c>
      <c r="B226" s="8" t="s">
        <v>21</v>
      </c>
      <c r="C226" s="6" t="s">
        <v>629</v>
      </c>
    </row>
    <row r="227" spans="1:3" x14ac:dyDescent="0.25">
      <c r="A227" s="6" t="s">
        <v>630</v>
      </c>
      <c r="B227" s="8" t="s">
        <v>21</v>
      </c>
      <c r="C227" s="6" t="s">
        <v>631</v>
      </c>
    </row>
    <row r="228" spans="1:3" x14ac:dyDescent="0.25">
      <c r="A228" s="6" t="s">
        <v>632</v>
      </c>
      <c r="B228" s="8" t="s">
        <v>21</v>
      </c>
      <c r="C228" s="6" t="s">
        <v>633</v>
      </c>
    </row>
    <row r="229" spans="1:3" x14ac:dyDescent="0.25">
      <c r="A229" s="6" t="s">
        <v>586</v>
      </c>
      <c r="B229" s="8" t="s">
        <v>182</v>
      </c>
      <c r="C229" s="6" t="s">
        <v>587</v>
      </c>
    </row>
    <row r="230" spans="1:3" x14ac:dyDescent="0.25">
      <c r="A230" s="6" t="s">
        <v>588</v>
      </c>
      <c r="B230" s="8" t="s">
        <v>589</v>
      </c>
      <c r="C230" s="6" t="s">
        <v>590</v>
      </c>
    </row>
    <row r="231" spans="1:3" x14ac:dyDescent="0.25">
      <c r="A231" s="6" t="s">
        <v>591</v>
      </c>
      <c r="B231" s="8" t="s">
        <v>39</v>
      </c>
      <c r="C231" s="6" t="s">
        <v>592</v>
      </c>
    </row>
    <row r="232" spans="1:3" x14ac:dyDescent="0.25">
      <c r="A232" s="6" t="s">
        <v>446</v>
      </c>
      <c r="B232" s="8" t="s">
        <v>216</v>
      </c>
    </row>
    <row r="233" spans="1:3" x14ac:dyDescent="0.25">
      <c r="A233" s="6" t="s">
        <v>447</v>
      </c>
      <c r="C233" s="6" t="s">
        <v>448</v>
      </c>
    </row>
    <row r="234" spans="1:3" x14ac:dyDescent="0.25">
      <c r="A234" s="6" t="s">
        <v>449</v>
      </c>
      <c r="B234" s="8" t="s">
        <v>450</v>
      </c>
      <c r="C234" s="6" t="s">
        <v>451</v>
      </c>
    </row>
    <row r="235" spans="1:3" x14ac:dyDescent="0.25">
      <c r="A235" s="6" t="s">
        <v>452</v>
      </c>
      <c r="B235" s="8" t="s">
        <v>39</v>
      </c>
      <c r="C235" s="6" t="s">
        <v>453</v>
      </c>
    </row>
    <row r="236" spans="1:3" x14ac:dyDescent="0.25">
      <c r="A236" s="6" t="s">
        <v>454</v>
      </c>
      <c r="B236" s="8" t="s">
        <v>450</v>
      </c>
      <c r="C236" s="6" t="s">
        <v>455</v>
      </c>
    </row>
    <row r="237" spans="1:3" x14ac:dyDescent="0.25">
      <c r="A237" s="6" t="s">
        <v>456</v>
      </c>
      <c r="B237" s="8" t="s">
        <v>450</v>
      </c>
      <c r="C237" s="6" t="s">
        <v>457</v>
      </c>
    </row>
    <row r="238" spans="1:3" x14ac:dyDescent="0.25">
      <c r="A238" s="6" t="s">
        <v>593</v>
      </c>
      <c r="B238" s="8" t="s">
        <v>39</v>
      </c>
      <c r="C238" s="6" t="s">
        <v>594</v>
      </c>
    </row>
    <row r="239" spans="1:3" x14ac:dyDescent="0.25">
      <c r="A239" s="6" t="s">
        <v>595</v>
      </c>
      <c r="B239" s="8" t="s">
        <v>39</v>
      </c>
      <c r="C239" s="6" t="s">
        <v>596</v>
      </c>
    </row>
    <row r="240" spans="1:3" x14ac:dyDescent="0.25">
      <c r="A240" s="6" t="s">
        <v>458</v>
      </c>
      <c r="B240" s="8" t="s">
        <v>19</v>
      </c>
      <c r="C240" s="6" t="s">
        <v>459</v>
      </c>
    </row>
    <row r="241" spans="1:3" x14ac:dyDescent="0.25">
      <c r="A241" s="6" t="s">
        <v>460</v>
      </c>
      <c r="B241" s="8" t="s">
        <v>39</v>
      </c>
      <c r="C241" s="6" t="s">
        <v>461</v>
      </c>
    </row>
    <row r="242" spans="1:3" x14ac:dyDescent="0.25">
      <c r="A242" s="122" t="s">
        <v>638</v>
      </c>
      <c r="B242" s="123" t="s">
        <v>51</v>
      </c>
      <c r="C242" s="121" t="s">
        <v>726</v>
      </c>
    </row>
    <row r="243" spans="1:3" x14ac:dyDescent="0.25">
      <c r="A243" s="122" t="s">
        <v>639</v>
      </c>
      <c r="B243" s="123" t="s">
        <v>729</v>
      </c>
      <c r="C243" s="121" t="s">
        <v>726</v>
      </c>
    </row>
    <row r="244" spans="1:3" x14ac:dyDescent="0.25">
      <c r="A244" s="122" t="s">
        <v>640</v>
      </c>
      <c r="B244" s="123" t="s">
        <v>730</v>
      </c>
      <c r="C244" s="121" t="s">
        <v>726</v>
      </c>
    </row>
    <row r="245" spans="1:3" x14ac:dyDescent="0.25">
      <c r="A245" s="122" t="s">
        <v>641</v>
      </c>
      <c r="B245" s="123" t="s">
        <v>731</v>
      </c>
      <c r="C245" s="121" t="s">
        <v>726</v>
      </c>
    </row>
    <row r="246" spans="1:3" x14ac:dyDescent="0.25">
      <c r="A246" s="6" t="s">
        <v>462</v>
      </c>
      <c r="B246" s="8" t="s">
        <v>19</v>
      </c>
      <c r="C246" s="6" t="s">
        <v>463</v>
      </c>
    </row>
    <row r="247" spans="1:3" x14ac:dyDescent="0.25">
      <c r="A247" s="6" t="s">
        <v>464</v>
      </c>
      <c r="B247" s="8" t="s">
        <v>51</v>
      </c>
      <c r="C247" s="6" t="s">
        <v>465</v>
      </c>
    </row>
    <row r="248" spans="1:3" x14ac:dyDescent="0.25">
      <c r="A248" s="6" t="s">
        <v>466</v>
      </c>
      <c r="B248" s="8" t="s">
        <v>51</v>
      </c>
      <c r="C248" s="6" t="s">
        <v>467</v>
      </c>
    </row>
    <row r="249" spans="1:3" x14ac:dyDescent="0.25">
      <c r="A249" s="6" t="s">
        <v>468</v>
      </c>
      <c r="B249" s="8" t="s">
        <v>19</v>
      </c>
      <c r="C249" s="6" t="s">
        <v>469</v>
      </c>
    </row>
    <row r="250" spans="1:3" x14ac:dyDescent="0.25">
      <c r="A250" s="6" t="s">
        <v>470</v>
      </c>
      <c r="B250" s="8" t="s">
        <v>19</v>
      </c>
      <c r="C250" s="6" t="s">
        <v>471</v>
      </c>
    </row>
    <row r="251" spans="1:3" x14ac:dyDescent="0.25">
      <c r="A251" s="6" t="s">
        <v>472</v>
      </c>
      <c r="B251" s="8" t="s">
        <v>39</v>
      </c>
      <c r="C251" s="6" t="s">
        <v>473</v>
      </c>
    </row>
    <row r="252" spans="1:3" x14ac:dyDescent="0.25">
      <c r="A252" s="6" t="s">
        <v>474</v>
      </c>
      <c r="B252" s="8" t="s">
        <v>39</v>
      </c>
      <c r="C252" s="6" t="s">
        <v>475</v>
      </c>
    </row>
    <row r="253" spans="1:3" x14ac:dyDescent="0.25">
      <c r="A253" s="6" t="s">
        <v>476</v>
      </c>
      <c r="B253" s="8" t="s">
        <v>39</v>
      </c>
      <c r="C253" s="6" t="s">
        <v>477</v>
      </c>
    </row>
    <row r="254" spans="1:3" x14ac:dyDescent="0.25">
      <c r="A254" s="6" t="s">
        <v>478</v>
      </c>
      <c r="B254" s="8" t="s">
        <v>39</v>
      </c>
      <c r="C254" s="6" t="s">
        <v>479</v>
      </c>
    </row>
    <row r="255" spans="1:3" x14ac:dyDescent="0.25">
      <c r="A255" s="6" t="s">
        <v>480</v>
      </c>
      <c r="B255" s="8" t="s">
        <v>39</v>
      </c>
      <c r="C255" s="6" t="s">
        <v>481</v>
      </c>
    </row>
    <row r="256" spans="1:3" x14ac:dyDescent="0.25">
      <c r="A256" s="6" t="s">
        <v>482</v>
      </c>
      <c r="B256" s="8" t="s">
        <v>39</v>
      </c>
      <c r="C256" s="6" t="s">
        <v>483</v>
      </c>
    </row>
    <row r="257" spans="1:3" x14ac:dyDescent="0.25">
      <c r="A257" s="6" t="s">
        <v>484</v>
      </c>
      <c r="B257" s="8" t="s">
        <v>39</v>
      </c>
      <c r="C257" s="6" t="s">
        <v>485</v>
      </c>
    </row>
    <row r="258" spans="1:3" x14ac:dyDescent="0.25">
      <c r="A258" s="6" t="s">
        <v>486</v>
      </c>
      <c r="B258" s="8" t="s">
        <v>51</v>
      </c>
      <c r="C258" s="6" t="s">
        <v>487</v>
      </c>
    </row>
    <row r="259" spans="1:3" x14ac:dyDescent="0.25">
      <c r="A259" s="6" t="s">
        <v>488</v>
      </c>
      <c r="B259" s="8" t="s">
        <v>207</v>
      </c>
      <c r="C259" s="6" t="s">
        <v>489</v>
      </c>
    </row>
    <row r="260" spans="1:3" x14ac:dyDescent="0.25">
      <c r="A260" s="6" t="s">
        <v>490</v>
      </c>
      <c r="B260" s="8" t="s">
        <v>51</v>
      </c>
      <c r="C260" s="6" t="s">
        <v>491</v>
      </c>
    </row>
    <row r="261" spans="1:3" x14ac:dyDescent="0.25">
      <c r="A261" s="6" t="s">
        <v>492</v>
      </c>
      <c r="B261" s="8" t="s">
        <v>51</v>
      </c>
      <c r="C261" s="6" t="s">
        <v>493</v>
      </c>
    </row>
    <row r="262" spans="1:3" x14ac:dyDescent="0.25">
      <c r="A262" s="6" t="s">
        <v>494</v>
      </c>
      <c r="B262" s="8" t="s">
        <v>51</v>
      </c>
      <c r="C262" s="6" t="s">
        <v>495</v>
      </c>
    </row>
    <row r="263" spans="1:3" x14ac:dyDescent="0.25">
      <c r="A263" s="6" t="s">
        <v>496</v>
      </c>
      <c r="B263" s="8" t="s">
        <v>311</v>
      </c>
      <c r="C263" s="6" t="s">
        <v>497</v>
      </c>
    </row>
    <row r="264" spans="1:3" x14ac:dyDescent="0.25">
      <c r="A264" s="6" t="s">
        <v>498</v>
      </c>
      <c r="B264" s="8" t="s">
        <v>248</v>
      </c>
      <c r="C264" s="6" t="s">
        <v>499</v>
      </c>
    </row>
    <row r="265" spans="1:3" x14ac:dyDescent="0.25">
      <c r="A265" s="6" t="s">
        <v>500</v>
      </c>
      <c r="B265" s="8" t="s">
        <v>248</v>
      </c>
      <c r="C265" s="6" t="s">
        <v>501</v>
      </c>
    </row>
    <row r="266" spans="1:3" x14ac:dyDescent="0.25">
      <c r="A266" s="6" t="s">
        <v>502</v>
      </c>
      <c r="B266" s="8" t="s">
        <v>39</v>
      </c>
      <c r="C266" s="6" t="s">
        <v>503</v>
      </c>
    </row>
    <row r="268" spans="1:3" ht="13" x14ac:dyDescent="0.3">
      <c r="A268" s="128" t="s">
        <v>732</v>
      </c>
      <c r="B268" s="8" t="s">
        <v>19</v>
      </c>
      <c r="C268" s="6" t="s">
        <v>752</v>
      </c>
    </row>
    <row r="269" spans="1:3" ht="13" x14ac:dyDescent="0.3">
      <c r="A269" s="128" t="s">
        <v>733</v>
      </c>
      <c r="B269" s="8" t="s">
        <v>21</v>
      </c>
      <c r="C269" s="6" t="s">
        <v>753</v>
      </c>
    </row>
    <row r="270" spans="1:3" ht="13" x14ac:dyDescent="0.3">
      <c r="A270" s="128" t="s">
        <v>734</v>
      </c>
      <c r="B270" s="8" t="s">
        <v>21</v>
      </c>
      <c r="C270" s="6" t="s">
        <v>754</v>
      </c>
    </row>
    <row r="271" spans="1:3" ht="13" x14ac:dyDescent="0.3">
      <c r="A271" s="128" t="s">
        <v>735</v>
      </c>
      <c r="B271" s="8" t="s">
        <v>757</v>
      </c>
      <c r="C271" s="6" t="s">
        <v>755</v>
      </c>
    </row>
    <row r="272" spans="1:3" ht="13" x14ac:dyDescent="0.3">
      <c r="A272" s="128" t="s">
        <v>736</v>
      </c>
      <c r="B272" s="8" t="s">
        <v>19</v>
      </c>
      <c r="C272" s="6" t="s">
        <v>756</v>
      </c>
    </row>
    <row r="273" spans="1:3" ht="13" x14ac:dyDescent="0.3">
      <c r="A273" s="128" t="s">
        <v>737</v>
      </c>
      <c r="B273" s="8" t="s">
        <v>19</v>
      </c>
      <c r="C273" s="6" t="s">
        <v>758</v>
      </c>
    </row>
    <row r="274" spans="1:3" ht="13" x14ac:dyDescent="0.3">
      <c r="A274" s="128" t="s">
        <v>738</v>
      </c>
      <c r="B274" s="8" t="s">
        <v>21</v>
      </c>
      <c r="C274" s="6" t="s">
        <v>759</v>
      </c>
    </row>
    <row r="275" spans="1:3" ht="13" x14ac:dyDescent="0.3">
      <c r="A275" s="128" t="s">
        <v>739</v>
      </c>
      <c r="B275" s="8" t="s">
        <v>21</v>
      </c>
      <c r="C275" s="6" t="s">
        <v>760</v>
      </c>
    </row>
    <row r="276" spans="1:3" ht="13" x14ac:dyDescent="0.3">
      <c r="A276" s="128" t="s">
        <v>740</v>
      </c>
      <c r="B276" s="8" t="s">
        <v>757</v>
      </c>
      <c r="C276" s="6" t="s">
        <v>761</v>
      </c>
    </row>
    <row r="277" spans="1:3" ht="13" x14ac:dyDescent="0.3">
      <c r="A277" s="128" t="s">
        <v>741</v>
      </c>
      <c r="B277" s="8" t="s">
        <v>19</v>
      </c>
      <c r="C277" s="6" t="s">
        <v>762</v>
      </c>
    </row>
    <row r="278" spans="1:3" ht="13" x14ac:dyDescent="0.3">
      <c r="A278" s="128" t="s">
        <v>742</v>
      </c>
      <c r="B278" s="8" t="s">
        <v>19</v>
      </c>
      <c r="C278" s="6" t="s">
        <v>763</v>
      </c>
    </row>
    <row r="279" spans="1:3" ht="13" x14ac:dyDescent="0.3">
      <c r="A279" s="128" t="s">
        <v>743</v>
      </c>
      <c r="B279" s="8" t="s">
        <v>21</v>
      </c>
      <c r="C279" s="6" t="s">
        <v>764</v>
      </c>
    </row>
    <row r="280" spans="1:3" ht="13" x14ac:dyDescent="0.3">
      <c r="A280" s="128" t="s">
        <v>744</v>
      </c>
      <c r="B280" s="8" t="s">
        <v>21</v>
      </c>
      <c r="C280" s="6" t="s">
        <v>765</v>
      </c>
    </row>
    <row r="281" spans="1:3" ht="13" x14ac:dyDescent="0.3">
      <c r="A281" s="128" t="s">
        <v>745</v>
      </c>
      <c r="B281" s="8" t="s">
        <v>757</v>
      </c>
      <c r="C281" s="6" t="s">
        <v>766</v>
      </c>
    </row>
    <row r="282" spans="1:3" ht="13" x14ac:dyDescent="0.3">
      <c r="A282" s="128" t="s">
        <v>746</v>
      </c>
      <c r="B282" s="8" t="s">
        <v>19</v>
      </c>
      <c r="C282" s="6" t="s">
        <v>767</v>
      </c>
    </row>
    <row r="283" spans="1:3" ht="13" x14ac:dyDescent="0.3">
      <c r="A283" s="128" t="s">
        <v>747</v>
      </c>
      <c r="B283" s="8" t="s">
        <v>19</v>
      </c>
      <c r="C283" s="6" t="s">
        <v>768</v>
      </c>
    </row>
    <row r="284" spans="1:3" ht="13" x14ac:dyDescent="0.3">
      <c r="A284" s="128" t="s">
        <v>748</v>
      </c>
      <c r="B284" s="8" t="s">
        <v>21</v>
      </c>
      <c r="C284" s="6" t="s">
        <v>769</v>
      </c>
    </row>
    <row r="285" spans="1:3" ht="13" x14ac:dyDescent="0.3">
      <c r="A285" s="128" t="s">
        <v>749</v>
      </c>
      <c r="B285" s="8" t="s">
        <v>21</v>
      </c>
      <c r="C285" s="6" t="s">
        <v>770</v>
      </c>
    </row>
    <row r="286" spans="1:3" ht="13" x14ac:dyDescent="0.3">
      <c r="A286" s="128" t="s">
        <v>750</v>
      </c>
      <c r="B286" s="8" t="s">
        <v>757</v>
      </c>
      <c r="C286" s="6" t="s">
        <v>771</v>
      </c>
    </row>
    <row r="287" spans="1:3" ht="13" x14ac:dyDescent="0.3">
      <c r="A287" s="128" t="s">
        <v>751</v>
      </c>
      <c r="B287" s="8" t="s">
        <v>19</v>
      </c>
      <c r="C287" s="6" t="s">
        <v>772</v>
      </c>
    </row>
  </sheetData>
  <sortState xmlns:xlrd2="http://schemas.microsoft.com/office/spreadsheetml/2017/richdata2" ref="A2:C266">
    <sortCondition ref="A2:A266"/>
  </sortState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Run</vt:lpstr>
      <vt:lpstr>DailyO</vt:lpstr>
      <vt:lpstr>Figures</vt:lpstr>
      <vt:lpstr>YearlyO</vt:lpstr>
      <vt:lpstr>LayerO</vt:lpstr>
      <vt:lpstr>Location</vt:lpstr>
      <vt:lpstr>Manag</vt:lpstr>
      <vt:lpstr>Soil</vt:lpstr>
      <vt:lpstr>Crop</vt:lpstr>
      <vt:lpstr>DOY</vt:lpstr>
      <vt:lpstr>Help</vt:lpstr>
    </vt:vector>
  </TitlesOfParts>
  <Company>soltani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afshin</dc:creator>
  <cp:lastModifiedBy>Hélène Marrou</cp:lastModifiedBy>
  <dcterms:created xsi:type="dcterms:W3CDTF">2009-02-20T09:44:29Z</dcterms:created>
  <dcterms:modified xsi:type="dcterms:W3CDTF">2020-03-20T13:34:26Z</dcterms:modified>
</cp:coreProperties>
</file>